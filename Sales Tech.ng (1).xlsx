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19320" windowHeight="6735"/>
  </bookViews>
  <sheets>
    <sheet name="Sales Dataset" sheetId="1" r:id="rId1"/>
    <sheet name="Product-cost" sheetId="5" r:id="rId2"/>
    <sheet name="Taxrate" sheetId="2" r:id="rId3"/>
    <sheet name="Discount Rate" sheetId="3" r:id="rId4"/>
  </sheets>
  <definedNames>
    <definedName name="_xlnm._FilterDatabase" localSheetId="0" hidden="1">'Sales Dataset'!$A$1:$AF$1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2" i="1"/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2" i="1"/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2" i="1"/>
  <c r="S3" i="1"/>
  <c r="Y3" i="1" s="1"/>
  <c r="S4" i="1"/>
  <c r="Y4" i="1" s="1"/>
  <c r="S5" i="1"/>
  <c r="Y5" i="1" s="1"/>
  <c r="S6" i="1"/>
  <c r="Y6" i="1" s="1"/>
  <c r="S7" i="1"/>
  <c r="Y7" i="1" s="1"/>
  <c r="S8" i="1"/>
  <c r="Y8" i="1" s="1"/>
  <c r="S9" i="1"/>
  <c r="Y9" i="1" s="1"/>
  <c r="S10" i="1"/>
  <c r="Y10" i="1" s="1"/>
  <c r="S11" i="1"/>
  <c r="Y11" i="1" s="1"/>
  <c r="S12" i="1"/>
  <c r="Y12" i="1" s="1"/>
  <c r="S13" i="1"/>
  <c r="Y13" i="1" s="1"/>
  <c r="S14" i="1"/>
  <c r="Y14" i="1" s="1"/>
  <c r="S15" i="1"/>
  <c r="Y15" i="1" s="1"/>
  <c r="S16" i="1"/>
  <c r="Y16" i="1" s="1"/>
  <c r="S17" i="1"/>
  <c r="Y17" i="1" s="1"/>
  <c r="S18" i="1"/>
  <c r="Y18" i="1" s="1"/>
  <c r="S19" i="1"/>
  <c r="Y19" i="1" s="1"/>
  <c r="S20" i="1"/>
  <c r="Y20" i="1" s="1"/>
  <c r="S21" i="1"/>
  <c r="Y21" i="1" s="1"/>
  <c r="S22" i="1"/>
  <c r="Y22" i="1" s="1"/>
  <c r="S23" i="1"/>
  <c r="Y23" i="1" s="1"/>
  <c r="S24" i="1"/>
  <c r="Y24" i="1" s="1"/>
  <c r="S25" i="1"/>
  <c r="Y25" i="1" s="1"/>
  <c r="S26" i="1"/>
  <c r="Y26" i="1" s="1"/>
  <c r="S27" i="1"/>
  <c r="Y27" i="1" s="1"/>
  <c r="S28" i="1"/>
  <c r="Y28" i="1" s="1"/>
  <c r="S29" i="1"/>
  <c r="Y29" i="1" s="1"/>
  <c r="S30" i="1"/>
  <c r="Y30" i="1" s="1"/>
  <c r="S31" i="1"/>
  <c r="Y31" i="1" s="1"/>
  <c r="S32" i="1"/>
  <c r="Y32" i="1" s="1"/>
  <c r="S33" i="1"/>
  <c r="Y33" i="1" s="1"/>
  <c r="S34" i="1"/>
  <c r="Y34" i="1" s="1"/>
  <c r="S35" i="1"/>
  <c r="Y35" i="1" s="1"/>
  <c r="S36" i="1"/>
  <c r="Y36" i="1" s="1"/>
  <c r="S37" i="1"/>
  <c r="Y37" i="1" s="1"/>
  <c r="S38" i="1"/>
  <c r="Y38" i="1" s="1"/>
  <c r="S39" i="1"/>
  <c r="Y39" i="1" s="1"/>
  <c r="S40" i="1"/>
  <c r="Y40" i="1" s="1"/>
  <c r="S41" i="1"/>
  <c r="Y41" i="1" s="1"/>
  <c r="S42" i="1"/>
  <c r="Y42" i="1" s="1"/>
  <c r="S43" i="1"/>
  <c r="Y43" i="1" s="1"/>
  <c r="S44" i="1"/>
  <c r="Y44" i="1" s="1"/>
  <c r="S45" i="1"/>
  <c r="Y45" i="1" s="1"/>
  <c r="S46" i="1"/>
  <c r="Y46" i="1" s="1"/>
  <c r="S47" i="1"/>
  <c r="Y47" i="1" s="1"/>
  <c r="S48" i="1"/>
  <c r="Y48" i="1" s="1"/>
  <c r="S49" i="1"/>
  <c r="Y49" i="1" s="1"/>
  <c r="S50" i="1"/>
  <c r="Y50" i="1" s="1"/>
  <c r="S51" i="1"/>
  <c r="Y51" i="1" s="1"/>
  <c r="S52" i="1"/>
  <c r="Y52" i="1" s="1"/>
  <c r="S53" i="1"/>
  <c r="Y53" i="1" s="1"/>
  <c r="S54" i="1"/>
  <c r="Y54" i="1" s="1"/>
  <c r="S55" i="1"/>
  <c r="Y55" i="1" s="1"/>
  <c r="S56" i="1"/>
  <c r="Y56" i="1" s="1"/>
  <c r="S57" i="1"/>
  <c r="Y57" i="1" s="1"/>
  <c r="S58" i="1"/>
  <c r="Y58" i="1" s="1"/>
  <c r="S59" i="1"/>
  <c r="Y59" i="1" s="1"/>
  <c r="S60" i="1"/>
  <c r="Y60" i="1" s="1"/>
  <c r="S61" i="1"/>
  <c r="Y61" i="1" s="1"/>
  <c r="S62" i="1"/>
  <c r="Y62" i="1" s="1"/>
  <c r="S63" i="1"/>
  <c r="Y63" i="1" s="1"/>
  <c r="S64" i="1"/>
  <c r="Y64" i="1" s="1"/>
  <c r="S65" i="1"/>
  <c r="Y65" i="1" s="1"/>
  <c r="S66" i="1"/>
  <c r="Y66" i="1" s="1"/>
  <c r="S67" i="1"/>
  <c r="Y67" i="1" s="1"/>
  <c r="S68" i="1"/>
  <c r="Y68" i="1" s="1"/>
  <c r="S69" i="1"/>
  <c r="Y69" i="1" s="1"/>
  <c r="S70" i="1"/>
  <c r="Y70" i="1" s="1"/>
  <c r="S71" i="1"/>
  <c r="Y71" i="1" s="1"/>
  <c r="S72" i="1"/>
  <c r="Y72" i="1" s="1"/>
  <c r="S73" i="1"/>
  <c r="Y73" i="1" s="1"/>
  <c r="S74" i="1"/>
  <c r="Y74" i="1" s="1"/>
  <c r="S75" i="1"/>
  <c r="Y75" i="1" s="1"/>
  <c r="S76" i="1"/>
  <c r="Y76" i="1" s="1"/>
  <c r="S77" i="1"/>
  <c r="Y77" i="1" s="1"/>
  <c r="S78" i="1"/>
  <c r="Y78" i="1" s="1"/>
  <c r="S79" i="1"/>
  <c r="Y79" i="1" s="1"/>
  <c r="S80" i="1"/>
  <c r="Y80" i="1" s="1"/>
  <c r="S81" i="1"/>
  <c r="Y81" i="1" s="1"/>
  <c r="S82" i="1"/>
  <c r="Y82" i="1" s="1"/>
  <c r="S83" i="1"/>
  <c r="Y83" i="1" s="1"/>
  <c r="S84" i="1"/>
  <c r="Y84" i="1" s="1"/>
  <c r="S85" i="1"/>
  <c r="Y85" i="1" s="1"/>
  <c r="S86" i="1"/>
  <c r="Y86" i="1" s="1"/>
  <c r="S87" i="1"/>
  <c r="Y87" i="1" s="1"/>
  <c r="S88" i="1"/>
  <c r="Y88" i="1" s="1"/>
  <c r="S89" i="1"/>
  <c r="Y89" i="1" s="1"/>
  <c r="S90" i="1"/>
  <c r="Y90" i="1" s="1"/>
  <c r="S91" i="1"/>
  <c r="Y91" i="1" s="1"/>
  <c r="S92" i="1"/>
  <c r="Y92" i="1" s="1"/>
  <c r="S93" i="1"/>
  <c r="Y93" i="1" s="1"/>
  <c r="S94" i="1"/>
  <c r="Y94" i="1" s="1"/>
  <c r="S95" i="1"/>
  <c r="Y95" i="1" s="1"/>
  <c r="S96" i="1"/>
  <c r="Y96" i="1" s="1"/>
  <c r="S97" i="1"/>
  <c r="Y97" i="1" s="1"/>
  <c r="S98" i="1"/>
  <c r="Y98" i="1" s="1"/>
  <c r="S99" i="1"/>
  <c r="Y99" i="1" s="1"/>
  <c r="S100" i="1"/>
  <c r="Y100" i="1" s="1"/>
  <c r="S101" i="1"/>
  <c r="Y101" i="1" s="1"/>
  <c r="S102" i="1"/>
  <c r="Y102" i="1" s="1"/>
  <c r="S103" i="1"/>
  <c r="Y103" i="1" s="1"/>
  <c r="S104" i="1"/>
  <c r="Y104" i="1" s="1"/>
  <c r="S105" i="1"/>
  <c r="Y105" i="1" s="1"/>
  <c r="S106" i="1"/>
  <c r="Y106" i="1" s="1"/>
  <c r="S107" i="1"/>
  <c r="Y107" i="1" s="1"/>
  <c r="S108" i="1"/>
  <c r="Y108" i="1" s="1"/>
  <c r="S109" i="1"/>
  <c r="Y109" i="1" s="1"/>
  <c r="S110" i="1"/>
  <c r="Y110" i="1" s="1"/>
  <c r="S111" i="1"/>
  <c r="Y111" i="1" s="1"/>
  <c r="S112" i="1"/>
  <c r="Y112" i="1" s="1"/>
  <c r="S113" i="1"/>
  <c r="Y113" i="1" s="1"/>
  <c r="S114" i="1"/>
  <c r="Y114" i="1" s="1"/>
  <c r="S115" i="1"/>
  <c r="Y115" i="1" s="1"/>
  <c r="S116" i="1"/>
  <c r="Y116" i="1" s="1"/>
  <c r="S117" i="1"/>
  <c r="Y117" i="1" s="1"/>
  <c r="S118" i="1"/>
  <c r="Y118" i="1" s="1"/>
  <c r="S119" i="1"/>
  <c r="Y119" i="1" s="1"/>
  <c r="S120" i="1"/>
  <c r="Y120" i="1" s="1"/>
  <c r="S121" i="1"/>
  <c r="Y121" i="1" s="1"/>
  <c r="S122" i="1"/>
  <c r="Y122" i="1" s="1"/>
  <c r="S123" i="1"/>
  <c r="Y123" i="1" s="1"/>
  <c r="S124" i="1"/>
  <c r="Y124" i="1" s="1"/>
  <c r="S125" i="1"/>
  <c r="Y125" i="1" s="1"/>
  <c r="S126" i="1"/>
  <c r="Y126" i="1" s="1"/>
  <c r="S127" i="1"/>
  <c r="Y127" i="1" s="1"/>
  <c r="S128" i="1"/>
  <c r="Y128" i="1" s="1"/>
  <c r="S129" i="1"/>
  <c r="Y129" i="1" s="1"/>
  <c r="S130" i="1"/>
  <c r="Y130" i="1" s="1"/>
  <c r="S131" i="1"/>
  <c r="Y131" i="1" s="1"/>
  <c r="S132" i="1"/>
  <c r="Y132" i="1" s="1"/>
  <c r="S133" i="1"/>
  <c r="Y133" i="1" s="1"/>
  <c r="S134" i="1"/>
  <c r="Y134" i="1" s="1"/>
  <c r="S135" i="1"/>
  <c r="Y135" i="1" s="1"/>
  <c r="S136" i="1"/>
  <c r="Y136" i="1" s="1"/>
  <c r="S137" i="1"/>
  <c r="Y137" i="1" s="1"/>
  <c r="S138" i="1"/>
  <c r="Y138" i="1" s="1"/>
  <c r="S139" i="1"/>
  <c r="Y139" i="1" s="1"/>
  <c r="S140" i="1"/>
  <c r="Y140" i="1" s="1"/>
  <c r="S141" i="1"/>
  <c r="Y141" i="1" s="1"/>
  <c r="S142" i="1"/>
  <c r="Y142" i="1" s="1"/>
  <c r="S143" i="1"/>
  <c r="Y143" i="1" s="1"/>
  <c r="S144" i="1"/>
  <c r="Y144" i="1" s="1"/>
  <c r="S145" i="1"/>
  <c r="Y145" i="1" s="1"/>
  <c r="S146" i="1"/>
  <c r="Y146" i="1" s="1"/>
  <c r="S147" i="1"/>
  <c r="Y147" i="1" s="1"/>
  <c r="S148" i="1"/>
  <c r="Y148" i="1" s="1"/>
  <c r="S149" i="1"/>
  <c r="Y149" i="1" s="1"/>
  <c r="S150" i="1"/>
  <c r="Y150" i="1" s="1"/>
  <c r="S151" i="1"/>
  <c r="Y151" i="1" s="1"/>
  <c r="S152" i="1"/>
  <c r="Y152" i="1" s="1"/>
  <c r="S153" i="1"/>
  <c r="Y153" i="1" s="1"/>
  <c r="S154" i="1"/>
  <c r="Y154" i="1" s="1"/>
  <c r="S155" i="1"/>
  <c r="Y155" i="1" s="1"/>
  <c r="S156" i="1"/>
  <c r="Y156" i="1" s="1"/>
  <c r="S157" i="1"/>
  <c r="Y157" i="1" s="1"/>
  <c r="S158" i="1"/>
  <c r="Y158" i="1" s="1"/>
  <c r="S159" i="1"/>
  <c r="Y159" i="1" s="1"/>
  <c r="S160" i="1"/>
  <c r="Y160" i="1" s="1"/>
  <c r="S161" i="1"/>
  <c r="Y161" i="1" s="1"/>
  <c r="S162" i="1"/>
  <c r="Y162" i="1" s="1"/>
  <c r="S163" i="1"/>
  <c r="Y163" i="1" s="1"/>
  <c r="S164" i="1"/>
  <c r="Y164" i="1" s="1"/>
  <c r="S165" i="1"/>
  <c r="Y165" i="1" s="1"/>
  <c r="S166" i="1"/>
  <c r="Y166" i="1" s="1"/>
  <c r="S167" i="1"/>
  <c r="Y167" i="1" s="1"/>
  <c r="S168" i="1"/>
  <c r="Y168" i="1" s="1"/>
  <c r="S169" i="1"/>
  <c r="Y169" i="1" s="1"/>
  <c r="S170" i="1"/>
  <c r="Y170" i="1" s="1"/>
  <c r="S171" i="1"/>
  <c r="Y171" i="1" s="1"/>
  <c r="S172" i="1"/>
  <c r="Y172" i="1" s="1"/>
  <c r="S173" i="1"/>
  <c r="Y173" i="1" s="1"/>
  <c r="S174" i="1"/>
  <c r="Y174" i="1" s="1"/>
  <c r="S175" i="1"/>
  <c r="Y175" i="1" s="1"/>
  <c r="S176" i="1"/>
  <c r="Y176" i="1" s="1"/>
  <c r="S177" i="1"/>
  <c r="Y177" i="1" s="1"/>
  <c r="S178" i="1"/>
  <c r="Y178" i="1" s="1"/>
  <c r="S179" i="1"/>
  <c r="Y179" i="1" s="1"/>
  <c r="S180" i="1"/>
  <c r="Y180" i="1" s="1"/>
  <c r="S181" i="1"/>
  <c r="Y181" i="1" s="1"/>
  <c r="S182" i="1"/>
  <c r="Y182" i="1" s="1"/>
  <c r="S183" i="1"/>
  <c r="Y183" i="1" s="1"/>
  <c r="S184" i="1"/>
  <c r="Y184" i="1" s="1"/>
  <c r="S185" i="1"/>
  <c r="Y185" i="1" s="1"/>
  <c r="S186" i="1"/>
  <c r="Y186" i="1" s="1"/>
  <c r="S187" i="1"/>
  <c r="Y187" i="1" s="1"/>
  <c r="S188" i="1"/>
  <c r="Y188" i="1" s="1"/>
  <c r="S189" i="1"/>
  <c r="Y189" i="1" s="1"/>
  <c r="S190" i="1"/>
  <c r="Y190" i="1" s="1"/>
  <c r="S191" i="1"/>
  <c r="Y191" i="1" s="1"/>
  <c r="S192" i="1"/>
  <c r="Y192" i="1" s="1"/>
  <c r="S193" i="1"/>
  <c r="Y193" i="1" s="1"/>
  <c r="S194" i="1"/>
  <c r="Y194" i="1" s="1"/>
  <c r="S195" i="1"/>
  <c r="Y195" i="1" s="1"/>
  <c r="S196" i="1"/>
  <c r="Y196" i="1" s="1"/>
  <c r="S197" i="1"/>
  <c r="Y197" i="1" s="1"/>
  <c r="S198" i="1"/>
  <c r="Y198" i="1" s="1"/>
  <c r="S199" i="1"/>
  <c r="Y199" i="1" s="1"/>
  <c r="S200" i="1"/>
  <c r="Y200" i="1" s="1"/>
  <c r="S201" i="1"/>
  <c r="Y201" i="1" s="1"/>
  <c r="S202" i="1"/>
  <c r="Y202" i="1" s="1"/>
  <c r="S203" i="1"/>
  <c r="Y203" i="1" s="1"/>
  <c r="S204" i="1"/>
  <c r="Y204" i="1" s="1"/>
  <c r="S205" i="1"/>
  <c r="Y205" i="1" s="1"/>
  <c r="S206" i="1"/>
  <c r="Y206" i="1" s="1"/>
  <c r="S207" i="1"/>
  <c r="Y207" i="1" s="1"/>
  <c r="S208" i="1"/>
  <c r="Y208" i="1" s="1"/>
  <c r="S209" i="1"/>
  <c r="Y209" i="1" s="1"/>
  <c r="S210" i="1"/>
  <c r="Y210" i="1" s="1"/>
  <c r="S211" i="1"/>
  <c r="Y211" i="1" s="1"/>
  <c r="S212" i="1"/>
  <c r="Y212" i="1" s="1"/>
  <c r="S213" i="1"/>
  <c r="Y213" i="1" s="1"/>
  <c r="S214" i="1"/>
  <c r="Y214" i="1" s="1"/>
  <c r="S215" i="1"/>
  <c r="Y215" i="1" s="1"/>
  <c r="S216" i="1"/>
  <c r="Y216" i="1" s="1"/>
  <c r="S217" i="1"/>
  <c r="Y217" i="1" s="1"/>
  <c r="S218" i="1"/>
  <c r="Y218" i="1" s="1"/>
  <c r="S219" i="1"/>
  <c r="Y219" i="1" s="1"/>
  <c r="S220" i="1"/>
  <c r="Y220" i="1" s="1"/>
  <c r="S221" i="1"/>
  <c r="Y221" i="1" s="1"/>
  <c r="S222" i="1"/>
  <c r="Y222" i="1" s="1"/>
  <c r="S223" i="1"/>
  <c r="Y223" i="1" s="1"/>
  <c r="S224" i="1"/>
  <c r="Y224" i="1" s="1"/>
  <c r="S225" i="1"/>
  <c r="Y225" i="1" s="1"/>
  <c r="S226" i="1"/>
  <c r="Y226" i="1" s="1"/>
  <c r="S227" i="1"/>
  <c r="Y227" i="1" s="1"/>
  <c r="S228" i="1"/>
  <c r="Y228" i="1" s="1"/>
  <c r="S229" i="1"/>
  <c r="Y229" i="1" s="1"/>
  <c r="S230" i="1"/>
  <c r="Y230" i="1" s="1"/>
  <c r="S231" i="1"/>
  <c r="Y231" i="1" s="1"/>
  <c r="S232" i="1"/>
  <c r="Y232" i="1" s="1"/>
  <c r="S233" i="1"/>
  <c r="Y233" i="1" s="1"/>
  <c r="S234" i="1"/>
  <c r="Y234" i="1" s="1"/>
  <c r="S235" i="1"/>
  <c r="Y235" i="1" s="1"/>
  <c r="S236" i="1"/>
  <c r="Y236" i="1" s="1"/>
  <c r="S237" i="1"/>
  <c r="Y237" i="1" s="1"/>
  <c r="S238" i="1"/>
  <c r="Y238" i="1" s="1"/>
  <c r="S239" i="1"/>
  <c r="Y239" i="1" s="1"/>
  <c r="S240" i="1"/>
  <c r="Y240" i="1" s="1"/>
  <c r="S241" i="1"/>
  <c r="Y241" i="1" s="1"/>
  <c r="S242" i="1"/>
  <c r="Y242" i="1" s="1"/>
  <c r="S243" i="1"/>
  <c r="Y243" i="1" s="1"/>
  <c r="S244" i="1"/>
  <c r="Y244" i="1" s="1"/>
  <c r="S245" i="1"/>
  <c r="Y245" i="1" s="1"/>
  <c r="S246" i="1"/>
  <c r="Y246" i="1" s="1"/>
  <c r="S247" i="1"/>
  <c r="Y247" i="1" s="1"/>
  <c r="S248" i="1"/>
  <c r="Y248" i="1" s="1"/>
  <c r="S249" i="1"/>
  <c r="Y249" i="1" s="1"/>
  <c r="S250" i="1"/>
  <c r="Y250" i="1" s="1"/>
  <c r="S251" i="1"/>
  <c r="Y251" i="1" s="1"/>
  <c r="S252" i="1"/>
  <c r="Y252" i="1" s="1"/>
  <c r="S253" i="1"/>
  <c r="Y253" i="1" s="1"/>
  <c r="S254" i="1"/>
  <c r="Y254" i="1" s="1"/>
  <c r="S255" i="1"/>
  <c r="Y255" i="1" s="1"/>
  <c r="S256" i="1"/>
  <c r="Y256" i="1" s="1"/>
  <c r="S257" i="1"/>
  <c r="Y257" i="1" s="1"/>
  <c r="S258" i="1"/>
  <c r="Y258" i="1" s="1"/>
  <c r="S259" i="1"/>
  <c r="Y259" i="1" s="1"/>
  <c r="S260" i="1"/>
  <c r="Y260" i="1" s="1"/>
  <c r="S261" i="1"/>
  <c r="Y261" i="1" s="1"/>
  <c r="S262" i="1"/>
  <c r="Y262" i="1" s="1"/>
  <c r="S263" i="1"/>
  <c r="Y263" i="1" s="1"/>
  <c r="S264" i="1"/>
  <c r="Y264" i="1" s="1"/>
  <c r="S265" i="1"/>
  <c r="Y265" i="1" s="1"/>
  <c r="S266" i="1"/>
  <c r="Y266" i="1" s="1"/>
  <c r="S267" i="1"/>
  <c r="Y267" i="1" s="1"/>
  <c r="S268" i="1"/>
  <c r="Y268" i="1" s="1"/>
  <c r="S269" i="1"/>
  <c r="Y269" i="1" s="1"/>
  <c r="S270" i="1"/>
  <c r="Y270" i="1" s="1"/>
  <c r="S271" i="1"/>
  <c r="Y271" i="1" s="1"/>
  <c r="S272" i="1"/>
  <c r="Y272" i="1" s="1"/>
  <c r="S273" i="1"/>
  <c r="Y273" i="1" s="1"/>
  <c r="S274" i="1"/>
  <c r="Y274" i="1" s="1"/>
  <c r="S275" i="1"/>
  <c r="Y275" i="1" s="1"/>
  <c r="S276" i="1"/>
  <c r="Y276" i="1" s="1"/>
  <c r="S277" i="1"/>
  <c r="Y277" i="1" s="1"/>
  <c r="S278" i="1"/>
  <c r="Y278" i="1" s="1"/>
  <c r="S279" i="1"/>
  <c r="Y279" i="1" s="1"/>
  <c r="S280" i="1"/>
  <c r="Y280" i="1" s="1"/>
  <c r="S281" i="1"/>
  <c r="Y281" i="1" s="1"/>
  <c r="S282" i="1"/>
  <c r="Y282" i="1" s="1"/>
  <c r="S283" i="1"/>
  <c r="Y283" i="1" s="1"/>
  <c r="S284" i="1"/>
  <c r="Y284" i="1" s="1"/>
  <c r="S285" i="1"/>
  <c r="Y285" i="1" s="1"/>
  <c r="S286" i="1"/>
  <c r="Y286" i="1" s="1"/>
  <c r="S287" i="1"/>
  <c r="Y287" i="1" s="1"/>
  <c r="S288" i="1"/>
  <c r="Y288" i="1" s="1"/>
  <c r="S289" i="1"/>
  <c r="Y289" i="1" s="1"/>
  <c r="S290" i="1"/>
  <c r="Y290" i="1" s="1"/>
  <c r="S291" i="1"/>
  <c r="Y291" i="1" s="1"/>
  <c r="S292" i="1"/>
  <c r="Y292" i="1" s="1"/>
  <c r="S293" i="1"/>
  <c r="Y293" i="1" s="1"/>
  <c r="S294" i="1"/>
  <c r="Y294" i="1" s="1"/>
  <c r="S295" i="1"/>
  <c r="Y295" i="1" s="1"/>
  <c r="S296" i="1"/>
  <c r="Y296" i="1" s="1"/>
  <c r="S297" i="1"/>
  <c r="Y297" i="1" s="1"/>
  <c r="S298" i="1"/>
  <c r="Y298" i="1" s="1"/>
  <c r="S299" i="1"/>
  <c r="Y299" i="1" s="1"/>
  <c r="S300" i="1"/>
  <c r="Y300" i="1" s="1"/>
  <c r="S301" i="1"/>
  <c r="Y301" i="1" s="1"/>
  <c r="S302" i="1"/>
  <c r="Y302" i="1" s="1"/>
  <c r="S303" i="1"/>
  <c r="Y303" i="1" s="1"/>
  <c r="S304" i="1"/>
  <c r="Y304" i="1" s="1"/>
  <c r="S305" i="1"/>
  <c r="Y305" i="1" s="1"/>
  <c r="S306" i="1"/>
  <c r="Y306" i="1" s="1"/>
  <c r="S307" i="1"/>
  <c r="Y307" i="1" s="1"/>
  <c r="S308" i="1"/>
  <c r="Y308" i="1" s="1"/>
  <c r="S309" i="1"/>
  <c r="Y309" i="1" s="1"/>
  <c r="S310" i="1"/>
  <c r="Y310" i="1" s="1"/>
  <c r="S311" i="1"/>
  <c r="Y311" i="1" s="1"/>
  <c r="S312" i="1"/>
  <c r="Y312" i="1" s="1"/>
  <c r="S313" i="1"/>
  <c r="Y313" i="1" s="1"/>
  <c r="S314" i="1"/>
  <c r="Y314" i="1" s="1"/>
  <c r="S315" i="1"/>
  <c r="Y315" i="1" s="1"/>
  <c r="S316" i="1"/>
  <c r="Y316" i="1" s="1"/>
  <c r="S317" i="1"/>
  <c r="Y317" i="1" s="1"/>
  <c r="S318" i="1"/>
  <c r="Y318" i="1" s="1"/>
  <c r="S319" i="1"/>
  <c r="Y319" i="1" s="1"/>
  <c r="S320" i="1"/>
  <c r="Y320" i="1" s="1"/>
  <c r="S321" i="1"/>
  <c r="Y321" i="1" s="1"/>
  <c r="S322" i="1"/>
  <c r="Y322" i="1" s="1"/>
  <c r="S323" i="1"/>
  <c r="Y323" i="1" s="1"/>
  <c r="S324" i="1"/>
  <c r="Y324" i="1" s="1"/>
  <c r="S325" i="1"/>
  <c r="Y325" i="1" s="1"/>
  <c r="S326" i="1"/>
  <c r="Y326" i="1" s="1"/>
  <c r="S327" i="1"/>
  <c r="Y327" i="1" s="1"/>
  <c r="S328" i="1"/>
  <c r="Y328" i="1" s="1"/>
  <c r="S329" i="1"/>
  <c r="Y329" i="1" s="1"/>
  <c r="S330" i="1"/>
  <c r="Y330" i="1" s="1"/>
  <c r="S331" i="1"/>
  <c r="Y331" i="1" s="1"/>
  <c r="S332" i="1"/>
  <c r="Y332" i="1" s="1"/>
  <c r="S333" i="1"/>
  <c r="Y333" i="1" s="1"/>
  <c r="S334" i="1"/>
  <c r="Y334" i="1" s="1"/>
  <c r="S335" i="1"/>
  <c r="Y335" i="1" s="1"/>
  <c r="S336" i="1"/>
  <c r="Y336" i="1" s="1"/>
  <c r="S337" i="1"/>
  <c r="Y337" i="1" s="1"/>
  <c r="S338" i="1"/>
  <c r="Y338" i="1" s="1"/>
  <c r="S339" i="1"/>
  <c r="Y339" i="1" s="1"/>
  <c r="S340" i="1"/>
  <c r="Y340" i="1" s="1"/>
  <c r="S341" i="1"/>
  <c r="Y341" i="1" s="1"/>
  <c r="S342" i="1"/>
  <c r="Y342" i="1" s="1"/>
  <c r="S343" i="1"/>
  <c r="Y343" i="1" s="1"/>
  <c r="S344" i="1"/>
  <c r="Y344" i="1" s="1"/>
  <c r="S345" i="1"/>
  <c r="Y345" i="1" s="1"/>
  <c r="S346" i="1"/>
  <c r="Y346" i="1" s="1"/>
  <c r="S347" i="1"/>
  <c r="Y347" i="1" s="1"/>
  <c r="S348" i="1"/>
  <c r="Y348" i="1" s="1"/>
  <c r="S349" i="1"/>
  <c r="Y349" i="1" s="1"/>
  <c r="S350" i="1"/>
  <c r="Y350" i="1" s="1"/>
  <c r="S351" i="1"/>
  <c r="Y351" i="1" s="1"/>
  <c r="S352" i="1"/>
  <c r="Y352" i="1" s="1"/>
  <c r="S353" i="1"/>
  <c r="Y353" i="1" s="1"/>
  <c r="S354" i="1"/>
  <c r="Y354" i="1" s="1"/>
  <c r="S355" i="1"/>
  <c r="Y355" i="1" s="1"/>
  <c r="S356" i="1"/>
  <c r="Y356" i="1" s="1"/>
  <c r="S357" i="1"/>
  <c r="Y357" i="1" s="1"/>
  <c r="S358" i="1"/>
  <c r="Y358" i="1" s="1"/>
  <c r="S359" i="1"/>
  <c r="Y359" i="1" s="1"/>
  <c r="S360" i="1"/>
  <c r="Y360" i="1" s="1"/>
  <c r="S361" i="1"/>
  <c r="Y361" i="1" s="1"/>
  <c r="S362" i="1"/>
  <c r="Y362" i="1" s="1"/>
  <c r="S363" i="1"/>
  <c r="Y363" i="1" s="1"/>
  <c r="S364" i="1"/>
  <c r="Y364" i="1" s="1"/>
  <c r="S365" i="1"/>
  <c r="Y365" i="1" s="1"/>
  <c r="S366" i="1"/>
  <c r="Y366" i="1" s="1"/>
  <c r="S367" i="1"/>
  <c r="Y367" i="1" s="1"/>
  <c r="S368" i="1"/>
  <c r="Y368" i="1" s="1"/>
  <c r="S369" i="1"/>
  <c r="Y369" i="1" s="1"/>
  <c r="S370" i="1"/>
  <c r="Y370" i="1" s="1"/>
  <c r="S371" i="1"/>
  <c r="Y371" i="1" s="1"/>
  <c r="S372" i="1"/>
  <c r="Y372" i="1" s="1"/>
  <c r="S373" i="1"/>
  <c r="Y373" i="1" s="1"/>
  <c r="S374" i="1"/>
  <c r="Y374" i="1" s="1"/>
  <c r="S375" i="1"/>
  <c r="Y375" i="1" s="1"/>
  <c r="S376" i="1"/>
  <c r="Y376" i="1" s="1"/>
  <c r="S377" i="1"/>
  <c r="Y377" i="1" s="1"/>
  <c r="S378" i="1"/>
  <c r="Y378" i="1" s="1"/>
  <c r="S379" i="1"/>
  <c r="Y379" i="1" s="1"/>
  <c r="S380" i="1"/>
  <c r="Y380" i="1" s="1"/>
  <c r="S381" i="1"/>
  <c r="Y381" i="1" s="1"/>
  <c r="S382" i="1"/>
  <c r="Y382" i="1" s="1"/>
  <c r="S383" i="1"/>
  <c r="Y383" i="1" s="1"/>
  <c r="S384" i="1"/>
  <c r="Y384" i="1" s="1"/>
  <c r="S385" i="1"/>
  <c r="Y385" i="1" s="1"/>
  <c r="S386" i="1"/>
  <c r="Y386" i="1" s="1"/>
  <c r="S387" i="1"/>
  <c r="Y387" i="1" s="1"/>
  <c r="S388" i="1"/>
  <c r="Y388" i="1" s="1"/>
  <c r="S389" i="1"/>
  <c r="Y389" i="1" s="1"/>
  <c r="S390" i="1"/>
  <c r="Y390" i="1" s="1"/>
  <c r="S391" i="1"/>
  <c r="Y391" i="1" s="1"/>
  <c r="S392" i="1"/>
  <c r="Y392" i="1" s="1"/>
  <c r="S393" i="1"/>
  <c r="Y393" i="1" s="1"/>
  <c r="S394" i="1"/>
  <c r="Y394" i="1" s="1"/>
  <c r="S395" i="1"/>
  <c r="Y395" i="1" s="1"/>
  <c r="S396" i="1"/>
  <c r="Y396" i="1" s="1"/>
  <c r="S397" i="1"/>
  <c r="Y397" i="1" s="1"/>
  <c r="S398" i="1"/>
  <c r="Y398" i="1" s="1"/>
  <c r="S399" i="1"/>
  <c r="Y399" i="1" s="1"/>
  <c r="S400" i="1"/>
  <c r="Y400" i="1" s="1"/>
  <c r="S401" i="1"/>
  <c r="Y401" i="1" s="1"/>
  <c r="S402" i="1"/>
  <c r="Y402" i="1" s="1"/>
  <c r="S403" i="1"/>
  <c r="Y403" i="1" s="1"/>
  <c r="S404" i="1"/>
  <c r="Y404" i="1" s="1"/>
  <c r="S405" i="1"/>
  <c r="Y405" i="1" s="1"/>
  <c r="S406" i="1"/>
  <c r="Y406" i="1" s="1"/>
  <c r="S407" i="1"/>
  <c r="Y407" i="1" s="1"/>
  <c r="S408" i="1"/>
  <c r="Y408" i="1" s="1"/>
  <c r="S409" i="1"/>
  <c r="Y409" i="1" s="1"/>
  <c r="S410" i="1"/>
  <c r="Y410" i="1" s="1"/>
  <c r="S411" i="1"/>
  <c r="Y411" i="1" s="1"/>
  <c r="S412" i="1"/>
  <c r="Y412" i="1" s="1"/>
  <c r="S413" i="1"/>
  <c r="Y413" i="1" s="1"/>
  <c r="S414" i="1"/>
  <c r="Y414" i="1" s="1"/>
  <c r="S415" i="1"/>
  <c r="Y415" i="1" s="1"/>
  <c r="S416" i="1"/>
  <c r="Y416" i="1" s="1"/>
  <c r="S417" i="1"/>
  <c r="Y417" i="1" s="1"/>
  <c r="S418" i="1"/>
  <c r="Y418" i="1" s="1"/>
  <c r="S419" i="1"/>
  <c r="Y419" i="1" s="1"/>
  <c r="S420" i="1"/>
  <c r="Y420" i="1" s="1"/>
  <c r="S421" i="1"/>
  <c r="Y421" i="1" s="1"/>
  <c r="S422" i="1"/>
  <c r="Y422" i="1" s="1"/>
  <c r="S423" i="1"/>
  <c r="Y423" i="1" s="1"/>
  <c r="S424" i="1"/>
  <c r="Y424" i="1" s="1"/>
  <c r="S425" i="1"/>
  <c r="Y425" i="1" s="1"/>
  <c r="S426" i="1"/>
  <c r="Y426" i="1" s="1"/>
  <c r="S427" i="1"/>
  <c r="Y427" i="1" s="1"/>
  <c r="S428" i="1"/>
  <c r="Y428" i="1" s="1"/>
  <c r="S429" i="1"/>
  <c r="Y429" i="1" s="1"/>
  <c r="S430" i="1"/>
  <c r="Y430" i="1" s="1"/>
  <c r="S431" i="1"/>
  <c r="Y431" i="1" s="1"/>
  <c r="S432" i="1"/>
  <c r="Y432" i="1" s="1"/>
  <c r="S433" i="1"/>
  <c r="Y433" i="1" s="1"/>
  <c r="S434" i="1"/>
  <c r="Y434" i="1" s="1"/>
  <c r="S435" i="1"/>
  <c r="Y435" i="1" s="1"/>
  <c r="S2" i="1"/>
  <c r="Y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2" i="1"/>
  <c r="AA334" i="1" l="1"/>
  <c r="AA318" i="1"/>
  <c r="AA302" i="1"/>
  <c r="AA286" i="1"/>
  <c r="AA278" i="1"/>
  <c r="AA270" i="1"/>
  <c r="AA262" i="1"/>
  <c r="AA254" i="1"/>
  <c r="AA246" i="1"/>
  <c r="AA238" i="1"/>
  <c r="AA222" i="1"/>
  <c r="AA214" i="1"/>
  <c r="AA206" i="1"/>
  <c r="AA198" i="1"/>
  <c r="AA190" i="1"/>
  <c r="AA182" i="1"/>
  <c r="AA174" i="1"/>
  <c r="AA158" i="1"/>
  <c r="AA150" i="1"/>
  <c r="AA142" i="1"/>
  <c r="AA134" i="1"/>
  <c r="AA126" i="1"/>
  <c r="AA118" i="1"/>
  <c r="AA110" i="1"/>
  <c r="AA102" i="1"/>
  <c r="AA94" i="1"/>
  <c r="AA86" i="1"/>
  <c r="AA78" i="1"/>
  <c r="AA70" i="1"/>
  <c r="AA62" i="1"/>
  <c r="AA54" i="1"/>
  <c r="AA46" i="1"/>
  <c r="AA30" i="1"/>
  <c r="AA22" i="1"/>
  <c r="AA14" i="1"/>
  <c r="AA6" i="1"/>
  <c r="AA424" i="1"/>
  <c r="AA392" i="1"/>
  <c r="AA376" i="1"/>
  <c r="AA360" i="1"/>
  <c r="AA332" i="1"/>
  <c r="AA312" i="1"/>
  <c r="AA276" i="1"/>
  <c r="AA268" i="1"/>
  <c r="AA260" i="1"/>
  <c r="AA252" i="1"/>
  <c r="AA244" i="1"/>
  <c r="AA236" i="1"/>
  <c r="AA228" i="1"/>
  <c r="AA220" i="1"/>
  <c r="AA212" i="1"/>
  <c r="AA204" i="1"/>
  <c r="AA196" i="1"/>
  <c r="AA188" i="1"/>
  <c r="AA180" i="1"/>
  <c r="AA172" i="1"/>
  <c r="AA164" i="1"/>
  <c r="AA156" i="1"/>
  <c r="AA148" i="1"/>
  <c r="AA140" i="1"/>
  <c r="AA132" i="1"/>
  <c r="AA124" i="1"/>
  <c r="AA116" i="1"/>
  <c r="AA108" i="1"/>
  <c r="AA100" i="1"/>
  <c r="AA92" i="1"/>
  <c r="AA84" i="1"/>
  <c r="AA76" i="1"/>
  <c r="AA68" i="1"/>
  <c r="AA60" i="1"/>
  <c r="AA52" i="1"/>
  <c r="AA44" i="1"/>
  <c r="AA36" i="1"/>
  <c r="AA28" i="1"/>
  <c r="AA20" i="1"/>
  <c r="AA12" i="1"/>
  <c r="AA4" i="1"/>
  <c r="AA294" i="1"/>
  <c r="AA230" i="1"/>
  <c r="AA166" i="1"/>
  <c r="AA38" i="1"/>
  <c r="AA433" i="1"/>
  <c r="AA429" i="1"/>
  <c r="AA425" i="1"/>
  <c r="AA421" i="1"/>
  <c r="AA417" i="1"/>
  <c r="AA413" i="1"/>
  <c r="AA408" i="1"/>
  <c r="AA344" i="1"/>
  <c r="AA336" i="1"/>
  <c r="AA320" i="1"/>
  <c r="AA304" i="1"/>
  <c r="AA296" i="1"/>
  <c r="AA288" i="1"/>
  <c r="AA280" i="1"/>
  <c r="AD430" i="1"/>
  <c r="AC430" i="1"/>
  <c r="AD414" i="1"/>
  <c r="AC414" i="1"/>
  <c r="AD398" i="1"/>
  <c r="AC398" i="1"/>
  <c r="AD386" i="1"/>
  <c r="AC386" i="1"/>
  <c r="AD370" i="1"/>
  <c r="AC370" i="1"/>
  <c r="AC381" i="1"/>
  <c r="AD381" i="1"/>
  <c r="AD377" i="1"/>
  <c r="AC377" i="1"/>
  <c r="AC373" i="1"/>
  <c r="AD373" i="1"/>
  <c r="AC365" i="1"/>
  <c r="AD365" i="1"/>
  <c r="AD361" i="1"/>
  <c r="AC361" i="1"/>
  <c r="AC357" i="1"/>
  <c r="AD357" i="1"/>
  <c r="AD353" i="1"/>
  <c r="AC353" i="1"/>
  <c r="AC349" i="1"/>
  <c r="AD349" i="1"/>
  <c r="AD345" i="1"/>
  <c r="AC345" i="1"/>
  <c r="AD341" i="1"/>
  <c r="AC341" i="1"/>
  <c r="AD333" i="1"/>
  <c r="AC333" i="1"/>
  <c r="AD329" i="1"/>
  <c r="AC329" i="1"/>
  <c r="AD325" i="1"/>
  <c r="AC325" i="1"/>
  <c r="AD317" i="1"/>
  <c r="AC317" i="1"/>
  <c r="AD313" i="1"/>
  <c r="AC313" i="1"/>
  <c r="AD309" i="1"/>
  <c r="AC309" i="1"/>
  <c r="AD301" i="1"/>
  <c r="AC301" i="1"/>
  <c r="AD297" i="1"/>
  <c r="AC297" i="1"/>
  <c r="AD293" i="1"/>
  <c r="AC293" i="1"/>
  <c r="AD285" i="1"/>
  <c r="AC285" i="1"/>
  <c r="AD281" i="1"/>
  <c r="AC281" i="1"/>
  <c r="AD277" i="1"/>
  <c r="AC277" i="1"/>
  <c r="AD269" i="1"/>
  <c r="AC269" i="1"/>
  <c r="AD265" i="1"/>
  <c r="AC265" i="1"/>
  <c r="AD261" i="1"/>
  <c r="AC261" i="1"/>
  <c r="AD253" i="1"/>
  <c r="AC253" i="1"/>
  <c r="AD249" i="1"/>
  <c r="AC249" i="1"/>
  <c r="AD245" i="1"/>
  <c r="AC245" i="1"/>
  <c r="AD237" i="1"/>
  <c r="AC237" i="1"/>
  <c r="AD233" i="1"/>
  <c r="AC233" i="1"/>
  <c r="AD229" i="1"/>
  <c r="AC229" i="1"/>
  <c r="AD221" i="1"/>
  <c r="AC221" i="1"/>
  <c r="AD217" i="1"/>
  <c r="AC217" i="1"/>
  <c r="AD213" i="1"/>
  <c r="AC213" i="1"/>
  <c r="AD205" i="1"/>
  <c r="AC205" i="1"/>
  <c r="AD201" i="1"/>
  <c r="AC201" i="1"/>
  <c r="AD197" i="1"/>
  <c r="AC197" i="1"/>
  <c r="AD189" i="1"/>
  <c r="AC189" i="1"/>
  <c r="AD185" i="1"/>
  <c r="AC185" i="1"/>
  <c r="AD181" i="1"/>
  <c r="AC181" i="1"/>
  <c r="AD173" i="1"/>
  <c r="AC173" i="1"/>
  <c r="AD169" i="1"/>
  <c r="AC169" i="1"/>
  <c r="AD165" i="1"/>
  <c r="AC165" i="1"/>
  <c r="AD157" i="1"/>
  <c r="AC157" i="1"/>
  <c r="AD153" i="1"/>
  <c r="AC153" i="1"/>
  <c r="AD149" i="1"/>
  <c r="AC149" i="1"/>
  <c r="AD141" i="1"/>
  <c r="AC141" i="1"/>
  <c r="AD137" i="1"/>
  <c r="AC137" i="1"/>
  <c r="AD133" i="1"/>
  <c r="AC133" i="1"/>
  <c r="AD125" i="1"/>
  <c r="AC125" i="1"/>
  <c r="AD121" i="1"/>
  <c r="AC121" i="1"/>
  <c r="AD117" i="1"/>
  <c r="AC117" i="1"/>
  <c r="AD109" i="1"/>
  <c r="AC109" i="1"/>
  <c r="AD105" i="1"/>
  <c r="AC105" i="1"/>
  <c r="AD101" i="1"/>
  <c r="AC101" i="1"/>
  <c r="AD93" i="1"/>
  <c r="AC93" i="1"/>
  <c r="AD89" i="1"/>
  <c r="AC89" i="1"/>
  <c r="AD85" i="1"/>
  <c r="AC85" i="1"/>
  <c r="AD77" i="1"/>
  <c r="AC77" i="1"/>
  <c r="AD73" i="1"/>
  <c r="AC73" i="1"/>
  <c r="AD69" i="1"/>
  <c r="AC69" i="1"/>
  <c r="AD61" i="1"/>
  <c r="AC61" i="1"/>
  <c r="AD57" i="1"/>
  <c r="AC57" i="1"/>
  <c r="AD53" i="1"/>
  <c r="AC53" i="1"/>
  <c r="AD45" i="1"/>
  <c r="AC45" i="1"/>
  <c r="AD41" i="1"/>
  <c r="AC41" i="1"/>
  <c r="AD37" i="1"/>
  <c r="AC37" i="1"/>
  <c r="AD29" i="1"/>
  <c r="AC29" i="1"/>
  <c r="AD25" i="1"/>
  <c r="AC25" i="1"/>
  <c r="AD21" i="1"/>
  <c r="AC21" i="1"/>
  <c r="AD13" i="1"/>
  <c r="AC13" i="1"/>
  <c r="AD9" i="1"/>
  <c r="AC9" i="1"/>
  <c r="AD5" i="1"/>
  <c r="AC5" i="1"/>
  <c r="AD434" i="1"/>
  <c r="AC434" i="1"/>
  <c r="AD422" i="1"/>
  <c r="AC422" i="1"/>
  <c r="AD410" i="1"/>
  <c r="AC410" i="1"/>
  <c r="AD402" i="1"/>
  <c r="AC402" i="1"/>
  <c r="AD390" i="1"/>
  <c r="AC390" i="1"/>
  <c r="AD382" i="1"/>
  <c r="AC382" i="1"/>
  <c r="AD374" i="1"/>
  <c r="AC374" i="1"/>
  <c r="AD432" i="1"/>
  <c r="AC432" i="1"/>
  <c r="AC428" i="1"/>
  <c r="AD428" i="1"/>
  <c r="AD424" i="1"/>
  <c r="AC424" i="1"/>
  <c r="AC420" i="1"/>
  <c r="AD420" i="1"/>
  <c r="AD416" i="1"/>
  <c r="AC416" i="1"/>
  <c r="AC412" i="1"/>
  <c r="AD412" i="1"/>
  <c r="AD408" i="1"/>
  <c r="AC408" i="1"/>
  <c r="AC404" i="1"/>
  <c r="AD404" i="1"/>
  <c r="AD400" i="1"/>
  <c r="AC400" i="1"/>
  <c r="AC396" i="1"/>
  <c r="AD396" i="1"/>
  <c r="AD392" i="1"/>
  <c r="AC392" i="1"/>
  <c r="AC388" i="1"/>
  <c r="AD388" i="1"/>
  <c r="AD384" i="1"/>
  <c r="AC384" i="1"/>
  <c r="AD376" i="1"/>
  <c r="AC376" i="1"/>
  <c r="AC372" i="1"/>
  <c r="AD372" i="1"/>
  <c r="AD368" i="1"/>
  <c r="AC368" i="1"/>
  <c r="AD360" i="1"/>
  <c r="AC360" i="1"/>
  <c r="AD352" i="1"/>
  <c r="AC352" i="1"/>
  <c r="AD344" i="1"/>
  <c r="AC344" i="1"/>
  <c r="AD426" i="1"/>
  <c r="AC426" i="1"/>
  <c r="AD418" i="1"/>
  <c r="AC418" i="1"/>
  <c r="AD406" i="1"/>
  <c r="AC406" i="1"/>
  <c r="AD394" i="1"/>
  <c r="AC394" i="1"/>
  <c r="AD378" i="1"/>
  <c r="AC378" i="1"/>
  <c r="AD366" i="1"/>
  <c r="AC366" i="1"/>
  <c r="AD435" i="1"/>
  <c r="AC435" i="1"/>
  <c r="AD431" i="1"/>
  <c r="AC431" i="1"/>
  <c r="AD427" i="1"/>
  <c r="AC427" i="1"/>
  <c r="AD423" i="1"/>
  <c r="AC423" i="1"/>
  <c r="AD419" i="1"/>
  <c r="AC419" i="1"/>
  <c r="AD415" i="1"/>
  <c r="AC415" i="1"/>
  <c r="AD411" i="1"/>
  <c r="AC411" i="1"/>
  <c r="AD407" i="1"/>
  <c r="AC407" i="1"/>
  <c r="AD403" i="1"/>
  <c r="AC403" i="1"/>
  <c r="AD399" i="1"/>
  <c r="AC399" i="1"/>
  <c r="AD395" i="1"/>
  <c r="AC395" i="1"/>
  <c r="AD391" i="1"/>
  <c r="AC391" i="1"/>
  <c r="AD387" i="1"/>
  <c r="AC387" i="1"/>
  <c r="AD354" i="1"/>
  <c r="AC354" i="1"/>
  <c r="AD342" i="1"/>
  <c r="AC342" i="1"/>
  <c r="AD330" i="1"/>
  <c r="AC330" i="1"/>
  <c r="AD322" i="1"/>
  <c r="AC322" i="1"/>
  <c r="AD310" i="1"/>
  <c r="AC310" i="1"/>
  <c r="AD294" i="1"/>
  <c r="AC294" i="1"/>
  <c r="AD282" i="1"/>
  <c r="AC282" i="1"/>
  <c r="AD270" i="1"/>
  <c r="AC270" i="1"/>
  <c r="AD258" i="1"/>
  <c r="AC258" i="1"/>
  <c r="AD246" i="1"/>
  <c r="AC246" i="1"/>
  <c r="AD238" i="1"/>
  <c r="AC238" i="1"/>
  <c r="AD226" i="1"/>
  <c r="AC226" i="1"/>
  <c r="AD214" i="1"/>
  <c r="AC214" i="1"/>
  <c r="AD202" i="1"/>
  <c r="AC202" i="1"/>
  <c r="AD190" i="1"/>
  <c r="AC190" i="1"/>
  <c r="AD182" i="1"/>
  <c r="AC182" i="1"/>
  <c r="AD170" i="1"/>
  <c r="AC170" i="1"/>
  <c r="AD158" i="1"/>
  <c r="AC158" i="1"/>
  <c r="AC146" i="1"/>
  <c r="AD146" i="1"/>
  <c r="AD134" i="1"/>
  <c r="AC134" i="1"/>
  <c r="AD126" i="1"/>
  <c r="AC126" i="1"/>
  <c r="AD110" i="1"/>
  <c r="AC110" i="1"/>
  <c r="AD98" i="1"/>
  <c r="AC98" i="1"/>
  <c r="AD90" i="1"/>
  <c r="AC90" i="1"/>
  <c r="AD78" i="1"/>
  <c r="AC78" i="1"/>
  <c r="AC66" i="1"/>
  <c r="AD66" i="1"/>
  <c r="AC58" i="1"/>
  <c r="AD58" i="1"/>
  <c r="AD46" i="1"/>
  <c r="AC46" i="1"/>
  <c r="AD30" i="1"/>
  <c r="AC30" i="1"/>
  <c r="AD22" i="1"/>
  <c r="AC22" i="1"/>
  <c r="AD14" i="1"/>
  <c r="AC14" i="1"/>
  <c r="AD433" i="1"/>
  <c r="AC433" i="1"/>
  <c r="AD425" i="1"/>
  <c r="AC425" i="1"/>
  <c r="AD417" i="1"/>
  <c r="AC417" i="1"/>
  <c r="AD409" i="1"/>
  <c r="AC409" i="1"/>
  <c r="AD401" i="1"/>
  <c r="AC401" i="1"/>
  <c r="AC397" i="1"/>
  <c r="AD397" i="1"/>
  <c r="AC389" i="1"/>
  <c r="AD389" i="1"/>
  <c r="AC380" i="1"/>
  <c r="AD380" i="1"/>
  <c r="AD369" i="1"/>
  <c r="AC369" i="1"/>
  <c r="AC364" i="1"/>
  <c r="AD364" i="1"/>
  <c r="AC348" i="1"/>
  <c r="AD348" i="1"/>
  <c r="AD321" i="1"/>
  <c r="AC321" i="1"/>
  <c r="AD273" i="1"/>
  <c r="AC273" i="1"/>
  <c r="AD241" i="1"/>
  <c r="AC241" i="1"/>
  <c r="AD209" i="1"/>
  <c r="AC209" i="1"/>
  <c r="AD177" i="1"/>
  <c r="AC177" i="1"/>
  <c r="AD145" i="1"/>
  <c r="AC145" i="1"/>
  <c r="AD113" i="1"/>
  <c r="AC113" i="1"/>
  <c r="AD65" i="1"/>
  <c r="AC65" i="1"/>
  <c r="AD33" i="1"/>
  <c r="AC33" i="1"/>
  <c r="AD358" i="1"/>
  <c r="AC358" i="1"/>
  <c r="AD350" i="1"/>
  <c r="AC350" i="1"/>
  <c r="AD338" i="1"/>
  <c r="AC338" i="1"/>
  <c r="AD326" i="1"/>
  <c r="AC326" i="1"/>
  <c r="AD314" i="1"/>
  <c r="AC314" i="1"/>
  <c r="AD306" i="1"/>
  <c r="AC306" i="1"/>
  <c r="AD298" i="1"/>
  <c r="AC298" i="1"/>
  <c r="AD286" i="1"/>
  <c r="AC286" i="1"/>
  <c r="AD274" i="1"/>
  <c r="AC274" i="1"/>
  <c r="AD262" i="1"/>
  <c r="AC262" i="1"/>
  <c r="AD254" i="1"/>
  <c r="AC254" i="1"/>
  <c r="AD242" i="1"/>
  <c r="AC242" i="1"/>
  <c r="AD230" i="1"/>
  <c r="AC230" i="1"/>
  <c r="AD218" i="1"/>
  <c r="AC218" i="1"/>
  <c r="AD210" i="1"/>
  <c r="AC210" i="1"/>
  <c r="AD198" i="1"/>
  <c r="AC198" i="1"/>
  <c r="AD186" i="1"/>
  <c r="AC186" i="1"/>
  <c r="AD174" i="1"/>
  <c r="AC174" i="1"/>
  <c r="AD166" i="1"/>
  <c r="AC166" i="1"/>
  <c r="AD154" i="1"/>
  <c r="AC154" i="1"/>
  <c r="AD142" i="1"/>
  <c r="AC142" i="1"/>
  <c r="AD130" i="1"/>
  <c r="AC130" i="1"/>
  <c r="AD122" i="1"/>
  <c r="AC122" i="1"/>
  <c r="AD114" i="1"/>
  <c r="AC114" i="1"/>
  <c r="AD102" i="1"/>
  <c r="AC102" i="1"/>
  <c r="AD86" i="1"/>
  <c r="AC86" i="1"/>
  <c r="AC74" i="1"/>
  <c r="AD74" i="1"/>
  <c r="AD62" i="1"/>
  <c r="AC62" i="1"/>
  <c r="AC50" i="1"/>
  <c r="AD50" i="1"/>
  <c r="AC42" i="1"/>
  <c r="AD42" i="1"/>
  <c r="AC34" i="1"/>
  <c r="AD34" i="1"/>
  <c r="AC18" i="1"/>
  <c r="AD18" i="1"/>
  <c r="AD6" i="1"/>
  <c r="AC6" i="1"/>
  <c r="AC429" i="1"/>
  <c r="AD429" i="1"/>
  <c r="AC421" i="1"/>
  <c r="AD421" i="1"/>
  <c r="AC413" i="1"/>
  <c r="AD413" i="1"/>
  <c r="AC405" i="1"/>
  <c r="AD405" i="1"/>
  <c r="AD393" i="1"/>
  <c r="AC393" i="1"/>
  <c r="AD385" i="1"/>
  <c r="AC385" i="1"/>
  <c r="AC356" i="1"/>
  <c r="AD356" i="1"/>
  <c r="AD337" i="1"/>
  <c r="AC337" i="1"/>
  <c r="AD305" i="1"/>
  <c r="AC305" i="1"/>
  <c r="AD289" i="1"/>
  <c r="AC289" i="1"/>
  <c r="AD257" i="1"/>
  <c r="AC257" i="1"/>
  <c r="AD225" i="1"/>
  <c r="AC225" i="1"/>
  <c r="AD193" i="1"/>
  <c r="AC193" i="1"/>
  <c r="AD161" i="1"/>
  <c r="AC161" i="1"/>
  <c r="AD129" i="1"/>
  <c r="AC129" i="1"/>
  <c r="AD97" i="1"/>
  <c r="AC97" i="1"/>
  <c r="AD81" i="1"/>
  <c r="AC81" i="1"/>
  <c r="AD49" i="1"/>
  <c r="AC49" i="1"/>
  <c r="AD17" i="1"/>
  <c r="AC17" i="1"/>
  <c r="AC2" i="1"/>
  <c r="AD2" i="1"/>
  <c r="AD340" i="1"/>
  <c r="AC340" i="1"/>
  <c r="AD336" i="1"/>
  <c r="AC336" i="1"/>
  <c r="AD332" i="1"/>
  <c r="AC332" i="1"/>
  <c r="AD328" i="1"/>
  <c r="AC328" i="1"/>
  <c r="AD324" i="1"/>
  <c r="AC324" i="1"/>
  <c r="AD320" i="1"/>
  <c r="AC320" i="1"/>
  <c r="AD316" i="1"/>
  <c r="AC316" i="1"/>
  <c r="AD312" i="1"/>
  <c r="AC312" i="1"/>
  <c r="AD308" i="1"/>
  <c r="AC308" i="1"/>
  <c r="AD304" i="1"/>
  <c r="AC304" i="1"/>
  <c r="AD300" i="1"/>
  <c r="AC300" i="1"/>
  <c r="AD296" i="1"/>
  <c r="AC296" i="1"/>
  <c r="AD292" i="1"/>
  <c r="AC292" i="1"/>
  <c r="AD288" i="1"/>
  <c r="AC288" i="1"/>
  <c r="AD284" i="1"/>
  <c r="AC284" i="1"/>
  <c r="AD280" i="1"/>
  <c r="AC280" i="1"/>
  <c r="AD276" i="1"/>
  <c r="AC276" i="1"/>
  <c r="AD272" i="1"/>
  <c r="AC272" i="1"/>
  <c r="AD268" i="1"/>
  <c r="AC268" i="1"/>
  <c r="AD264" i="1"/>
  <c r="AC264" i="1"/>
  <c r="AD260" i="1"/>
  <c r="AC260" i="1"/>
  <c r="AD256" i="1"/>
  <c r="AC256" i="1"/>
  <c r="AD252" i="1"/>
  <c r="AC252" i="1"/>
  <c r="AD248" i="1"/>
  <c r="AC248" i="1"/>
  <c r="AD244" i="1"/>
  <c r="AC244" i="1"/>
  <c r="AD240" i="1"/>
  <c r="AC240" i="1"/>
  <c r="AD236" i="1"/>
  <c r="AC236" i="1"/>
  <c r="AD232" i="1"/>
  <c r="AC232" i="1"/>
  <c r="AD228" i="1"/>
  <c r="AC228" i="1"/>
  <c r="AD224" i="1"/>
  <c r="AC224" i="1"/>
  <c r="AD220" i="1"/>
  <c r="AC220" i="1"/>
  <c r="AD216" i="1"/>
  <c r="AC216" i="1"/>
  <c r="AD212" i="1"/>
  <c r="AC212" i="1"/>
  <c r="AD208" i="1"/>
  <c r="AC208" i="1"/>
  <c r="AD204" i="1"/>
  <c r="AC204" i="1"/>
  <c r="AD200" i="1"/>
  <c r="AC200" i="1"/>
  <c r="AD196" i="1"/>
  <c r="AC196" i="1"/>
  <c r="AD192" i="1"/>
  <c r="AC192" i="1"/>
  <c r="AD188" i="1"/>
  <c r="AC188" i="1"/>
  <c r="AD184" i="1"/>
  <c r="AC184" i="1"/>
  <c r="AD180" i="1"/>
  <c r="AC180" i="1"/>
  <c r="AD176" i="1"/>
  <c r="AC176" i="1"/>
  <c r="AD172" i="1"/>
  <c r="AC172" i="1"/>
  <c r="AD168" i="1"/>
  <c r="AC168" i="1"/>
  <c r="AD164" i="1"/>
  <c r="AC164" i="1"/>
  <c r="AD160" i="1"/>
  <c r="AC160" i="1"/>
  <c r="AD156" i="1"/>
  <c r="AC156" i="1"/>
  <c r="AD152" i="1"/>
  <c r="AC152" i="1"/>
  <c r="AD148" i="1"/>
  <c r="AC148" i="1"/>
  <c r="AD144" i="1"/>
  <c r="AC144" i="1"/>
  <c r="AD140" i="1"/>
  <c r="AC140" i="1"/>
  <c r="AD136" i="1"/>
  <c r="AC136" i="1"/>
  <c r="AD132" i="1"/>
  <c r="AC132" i="1"/>
  <c r="AD128" i="1"/>
  <c r="AC128" i="1"/>
  <c r="AD124" i="1"/>
  <c r="AC124" i="1"/>
  <c r="AD120" i="1"/>
  <c r="AC120" i="1"/>
  <c r="AD116" i="1"/>
  <c r="AC116" i="1"/>
  <c r="AD112" i="1"/>
  <c r="AC112" i="1"/>
  <c r="AD108" i="1"/>
  <c r="AC108" i="1"/>
  <c r="AD104" i="1"/>
  <c r="AC104" i="1"/>
  <c r="AD100" i="1"/>
  <c r="AC100" i="1"/>
  <c r="AD96" i="1"/>
  <c r="AC96" i="1"/>
  <c r="AD92" i="1"/>
  <c r="AC92" i="1"/>
  <c r="AD88" i="1"/>
  <c r="AC88" i="1"/>
  <c r="AD84" i="1"/>
  <c r="AC84" i="1"/>
  <c r="AD80" i="1"/>
  <c r="AC80" i="1"/>
  <c r="AD76" i="1"/>
  <c r="AC76" i="1"/>
  <c r="AD72" i="1"/>
  <c r="AC72" i="1"/>
  <c r="AD68" i="1"/>
  <c r="AC68" i="1"/>
  <c r="AD64" i="1"/>
  <c r="AC64" i="1"/>
  <c r="AD60" i="1"/>
  <c r="AC60" i="1"/>
  <c r="AD56" i="1"/>
  <c r="AC56" i="1"/>
  <c r="AD52" i="1"/>
  <c r="AC52" i="1"/>
  <c r="AD48" i="1"/>
  <c r="AC48" i="1"/>
  <c r="AD44" i="1"/>
  <c r="AC44" i="1"/>
  <c r="AD40" i="1"/>
  <c r="AC40" i="1"/>
  <c r="AD36" i="1"/>
  <c r="AC36" i="1"/>
  <c r="AD32" i="1"/>
  <c r="AC32" i="1"/>
  <c r="AD28" i="1"/>
  <c r="AC28" i="1"/>
  <c r="AD24" i="1"/>
  <c r="AC24" i="1"/>
  <c r="AD20" i="1"/>
  <c r="AC20" i="1"/>
  <c r="AD16" i="1"/>
  <c r="AC16" i="1"/>
  <c r="AD12" i="1"/>
  <c r="AC12" i="1"/>
  <c r="AD8" i="1"/>
  <c r="AC8" i="1"/>
  <c r="AD4" i="1"/>
  <c r="AC4" i="1"/>
  <c r="AD362" i="1"/>
  <c r="AC362" i="1"/>
  <c r="AD346" i="1"/>
  <c r="AC346" i="1"/>
  <c r="AD334" i="1"/>
  <c r="AC334" i="1"/>
  <c r="AD318" i="1"/>
  <c r="AC318" i="1"/>
  <c r="AD302" i="1"/>
  <c r="AC302" i="1"/>
  <c r="AD290" i="1"/>
  <c r="AC290" i="1"/>
  <c r="AD278" i="1"/>
  <c r="AC278" i="1"/>
  <c r="AD266" i="1"/>
  <c r="AC266" i="1"/>
  <c r="AD250" i="1"/>
  <c r="AC250" i="1"/>
  <c r="AD234" i="1"/>
  <c r="AC234" i="1"/>
  <c r="AD222" i="1"/>
  <c r="AC222" i="1"/>
  <c r="AD206" i="1"/>
  <c r="AC206" i="1"/>
  <c r="AD194" i="1"/>
  <c r="AC194" i="1"/>
  <c r="AD178" i="1"/>
  <c r="AC178" i="1"/>
  <c r="AC162" i="1"/>
  <c r="AD162" i="1"/>
  <c r="AD150" i="1"/>
  <c r="AC150" i="1"/>
  <c r="AD138" i="1"/>
  <c r="AC138" i="1"/>
  <c r="AD118" i="1"/>
  <c r="AC118" i="1"/>
  <c r="AD106" i="1"/>
  <c r="AC106" i="1"/>
  <c r="AD94" i="1"/>
  <c r="AC94" i="1"/>
  <c r="AD82" i="1"/>
  <c r="AC82" i="1"/>
  <c r="AD70" i="1"/>
  <c r="AC70" i="1"/>
  <c r="AD54" i="1"/>
  <c r="AC54" i="1"/>
  <c r="AD38" i="1"/>
  <c r="AC38" i="1"/>
  <c r="AC26" i="1"/>
  <c r="AD26" i="1"/>
  <c r="AC10" i="1"/>
  <c r="AD10" i="1"/>
  <c r="AD383" i="1"/>
  <c r="AC383" i="1"/>
  <c r="AD379" i="1"/>
  <c r="AC379" i="1"/>
  <c r="AD375" i="1"/>
  <c r="AC375" i="1"/>
  <c r="AD371" i="1"/>
  <c r="AC371" i="1"/>
  <c r="AD367" i="1"/>
  <c r="AC367" i="1"/>
  <c r="AD363" i="1"/>
  <c r="AC363" i="1"/>
  <c r="AD359" i="1"/>
  <c r="AC359" i="1"/>
  <c r="AD355" i="1"/>
  <c r="AC355" i="1"/>
  <c r="AD351" i="1"/>
  <c r="AC351" i="1"/>
  <c r="AD347" i="1"/>
  <c r="AC347" i="1"/>
  <c r="AD343" i="1"/>
  <c r="AC343" i="1"/>
  <c r="AD339" i="1"/>
  <c r="AC339" i="1"/>
  <c r="AD335" i="1"/>
  <c r="AC335" i="1"/>
  <c r="AD331" i="1"/>
  <c r="AC331" i="1"/>
  <c r="AD327" i="1"/>
  <c r="AC327" i="1"/>
  <c r="AC323" i="1"/>
  <c r="AD323" i="1"/>
  <c r="AD319" i="1"/>
  <c r="AC319" i="1"/>
  <c r="AD315" i="1"/>
  <c r="AC315" i="1"/>
  <c r="AD311" i="1"/>
  <c r="AC311" i="1"/>
  <c r="AD307" i="1"/>
  <c r="AC307" i="1"/>
  <c r="AD303" i="1"/>
  <c r="AC303" i="1"/>
  <c r="AD299" i="1"/>
  <c r="AC299" i="1"/>
  <c r="AD295" i="1"/>
  <c r="AC295" i="1"/>
  <c r="AD291" i="1"/>
  <c r="AC291" i="1"/>
  <c r="AD287" i="1"/>
  <c r="AC287" i="1"/>
  <c r="AD283" i="1"/>
  <c r="AC283" i="1"/>
  <c r="AD279" i="1"/>
  <c r="AC279" i="1"/>
  <c r="AC275" i="1"/>
  <c r="AD275" i="1"/>
  <c r="AD271" i="1"/>
  <c r="AC271" i="1"/>
  <c r="AD267" i="1"/>
  <c r="AC267" i="1"/>
  <c r="AD263" i="1"/>
  <c r="AC263" i="1"/>
  <c r="AD259" i="1"/>
  <c r="AC259" i="1"/>
  <c r="AD255" i="1"/>
  <c r="AC255" i="1"/>
  <c r="AD251" i="1"/>
  <c r="AC251" i="1"/>
  <c r="AD247" i="1"/>
  <c r="AC247" i="1"/>
  <c r="AD243" i="1"/>
  <c r="AC243" i="1"/>
  <c r="AD239" i="1"/>
  <c r="AC239" i="1"/>
  <c r="AD235" i="1"/>
  <c r="AC235" i="1"/>
  <c r="AD231" i="1"/>
  <c r="AC231" i="1"/>
  <c r="AD227" i="1"/>
  <c r="AC227" i="1"/>
  <c r="AD223" i="1"/>
  <c r="AC223" i="1"/>
  <c r="AD219" i="1"/>
  <c r="AC219" i="1"/>
  <c r="AD215" i="1"/>
  <c r="AC215" i="1"/>
  <c r="AD211" i="1"/>
  <c r="AC211" i="1"/>
  <c r="AD207" i="1"/>
  <c r="AC207" i="1"/>
  <c r="AD203" i="1"/>
  <c r="AC203" i="1"/>
  <c r="AD199" i="1"/>
  <c r="AC199" i="1"/>
  <c r="AC195" i="1"/>
  <c r="AD195" i="1"/>
  <c r="AD191" i="1"/>
  <c r="AC191" i="1"/>
  <c r="AD187" i="1"/>
  <c r="AC187" i="1"/>
  <c r="AD183" i="1"/>
  <c r="AC183" i="1"/>
  <c r="AD179" i="1"/>
  <c r="AC179" i="1"/>
  <c r="AD175" i="1"/>
  <c r="AC175" i="1"/>
  <c r="AD171" i="1"/>
  <c r="AC171" i="1"/>
  <c r="AD167" i="1"/>
  <c r="AC167" i="1"/>
  <c r="AD163" i="1"/>
  <c r="AC163" i="1"/>
  <c r="AD159" i="1"/>
  <c r="AC159" i="1"/>
  <c r="AD155" i="1"/>
  <c r="AC155" i="1"/>
  <c r="AD151" i="1"/>
  <c r="AC151" i="1"/>
  <c r="AC147" i="1"/>
  <c r="AD147" i="1"/>
  <c r="AD143" i="1"/>
  <c r="AC143" i="1"/>
  <c r="AD139" i="1"/>
  <c r="AC139" i="1"/>
  <c r="AD135" i="1"/>
  <c r="AC135" i="1"/>
  <c r="AD131" i="1"/>
  <c r="AC131" i="1"/>
  <c r="AD127" i="1"/>
  <c r="AC127" i="1"/>
  <c r="AD123" i="1"/>
  <c r="AC123" i="1"/>
  <c r="AD119" i="1"/>
  <c r="AC119" i="1"/>
  <c r="AD115" i="1"/>
  <c r="AC115" i="1"/>
  <c r="AD111" i="1"/>
  <c r="AC111" i="1"/>
  <c r="AD107" i="1"/>
  <c r="AC107" i="1"/>
  <c r="AD103" i="1"/>
  <c r="AC103" i="1"/>
  <c r="AD99" i="1"/>
  <c r="AC99" i="1"/>
  <c r="AD95" i="1"/>
  <c r="AC95" i="1"/>
  <c r="AD91" i="1"/>
  <c r="AC91" i="1"/>
  <c r="AD87" i="1"/>
  <c r="AC87" i="1"/>
  <c r="AC83" i="1"/>
  <c r="AD83" i="1"/>
  <c r="AD79" i="1"/>
  <c r="AC79" i="1"/>
  <c r="AC75" i="1"/>
  <c r="AD75" i="1"/>
  <c r="AD71" i="1"/>
  <c r="AC71" i="1"/>
  <c r="AC67" i="1"/>
  <c r="AD67" i="1"/>
  <c r="AD63" i="1"/>
  <c r="AC63" i="1"/>
  <c r="AC59" i="1"/>
  <c r="AD59" i="1"/>
  <c r="AD55" i="1"/>
  <c r="AC55" i="1"/>
  <c r="AC51" i="1"/>
  <c r="AD51" i="1"/>
  <c r="AD47" i="1"/>
  <c r="AC47" i="1"/>
  <c r="AC43" i="1"/>
  <c r="AD43" i="1"/>
  <c r="AD39" i="1"/>
  <c r="AC39" i="1"/>
  <c r="AC35" i="1"/>
  <c r="AD35" i="1"/>
  <c r="AD31" i="1"/>
  <c r="AC31" i="1"/>
  <c r="AC27" i="1"/>
  <c r="AD27" i="1"/>
  <c r="AD23" i="1"/>
  <c r="AC23" i="1"/>
  <c r="AC19" i="1"/>
  <c r="AD19" i="1"/>
  <c r="AD15" i="1"/>
  <c r="AC15" i="1"/>
  <c r="AD11" i="1"/>
  <c r="AC11" i="1"/>
  <c r="AD7" i="1"/>
  <c r="AC7" i="1"/>
  <c r="AC3" i="1"/>
  <c r="AD3" i="1"/>
  <c r="AA333" i="1"/>
  <c r="AA329" i="1"/>
  <c r="AA317" i="1"/>
  <c r="AA313" i="1"/>
  <c r="AA272" i="1"/>
  <c r="AA264" i="1"/>
  <c r="AA256" i="1"/>
  <c r="AA248" i="1"/>
  <c r="AA240" i="1"/>
  <c r="AA232" i="1"/>
  <c r="AA224" i="1"/>
  <c r="AA216" i="1"/>
  <c r="AA208" i="1"/>
  <c r="AA200" i="1"/>
  <c r="AA192" i="1"/>
  <c r="AA184" i="1"/>
  <c r="AA176" i="1"/>
  <c r="AA168" i="1"/>
  <c r="AA160" i="1"/>
  <c r="AA152" i="1"/>
  <c r="AA144" i="1"/>
  <c r="AA136" i="1"/>
  <c r="AA128" i="1"/>
  <c r="AA120" i="1"/>
  <c r="AA112" i="1"/>
  <c r="AA104" i="1"/>
  <c r="AA96" i="1"/>
  <c r="AA88" i="1"/>
  <c r="AA80" i="1"/>
  <c r="AA72" i="1"/>
  <c r="AA64" i="1"/>
  <c r="AA56" i="1"/>
  <c r="AA48" i="1"/>
  <c r="AA40" i="1"/>
  <c r="AA32" i="1"/>
  <c r="AA24" i="1"/>
  <c r="AA16" i="1"/>
  <c r="AA8" i="1"/>
  <c r="AA435" i="1"/>
  <c r="AA431" i="1"/>
  <c r="AA427" i="1"/>
  <c r="AA423" i="1"/>
  <c r="AA419" i="1"/>
  <c r="AA415" i="1"/>
  <c r="AA411" i="1"/>
  <c r="AA407" i="1"/>
  <c r="AA403" i="1"/>
  <c r="AA399" i="1"/>
  <c r="AA395" i="1"/>
  <c r="AA391" i="1"/>
  <c r="AA387" i="1"/>
  <c r="AA383" i="1"/>
  <c r="AA379" i="1"/>
  <c r="AA375" i="1"/>
  <c r="AA371" i="1"/>
  <c r="AA367" i="1"/>
  <c r="AA363" i="1"/>
  <c r="AA359" i="1"/>
  <c r="AA355" i="1"/>
  <c r="AA351" i="1"/>
  <c r="AA347" i="1"/>
  <c r="AA343" i="1"/>
  <c r="AA339" i="1"/>
  <c r="AA335" i="1"/>
  <c r="AA331" i="1"/>
  <c r="AA327" i="1"/>
  <c r="AA323" i="1"/>
  <c r="AA319" i="1"/>
  <c r="AA315" i="1"/>
  <c r="AA311" i="1"/>
  <c r="AA307" i="1"/>
  <c r="AA303" i="1"/>
  <c r="AA299" i="1"/>
  <c r="AA295" i="1"/>
  <c r="AA291" i="1"/>
  <c r="AA287" i="1"/>
  <c r="AA283" i="1"/>
  <c r="AA279" i="1"/>
  <c r="AA275" i="1"/>
  <c r="AA271" i="1"/>
  <c r="AA267" i="1"/>
  <c r="AA263" i="1"/>
  <c r="AA259" i="1"/>
  <c r="AA255" i="1"/>
  <c r="AA251" i="1"/>
  <c r="AA247" i="1"/>
  <c r="AA243" i="1"/>
  <c r="AA239" i="1"/>
  <c r="AA235" i="1"/>
  <c r="AA231" i="1"/>
  <c r="AA2" i="1"/>
  <c r="AA432" i="1"/>
  <c r="AA428" i="1"/>
  <c r="AA420" i="1"/>
  <c r="AA416" i="1"/>
  <c r="AA412" i="1"/>
  <c r="AA404" i="1"/>
  <c r="AA400" i="1"/>
  <c r="AA396" i="1"/>
  <c r="AA388" i="1"/>
  <c r="AA384" i="1"/>
  <c r="AA380" i="1"/>
  <c r="AA372" i="1"/>
  <c r="AA368" i="1"/>
  <c r="AA364" i="1"/>
  <c r="AA356" i="1"/>
  <c r="AA352" i="1"/>
  <c r="AA348" i="1"/>
  <c r="AA340" i="1"/>
  <c r="AA328" i="1"/>
  <c r="AA324" i="1"/>
  <c r="AA316" i="1"/>
  <c r="AA308" i="1"/>
  <c r="AA300" i="1"/>
  <c r="AA292" i="1"/>
  <c r="AA284" i="1"/>
  <c r="AA434" i="1"/>
  <c r="AA430" i="1"/>
  <c r="AA426" i="1"/>
  <c r="AA422" i="1"/>
  <c r="AA418" i="1"/>
  <c r="AA414" i="1"/>
  <c r="AA410" i="1"/>
  <c r="AA406" i="1"/>
  <c r="AA402" i="1"/>
  <c r="AA398" i="1"/>
  <c r="AA394" i="1"/>
  <c r="AA390" i="1"/>
  <c r="AA386" i="1"/>
  <c r="AA382" i="1"/>
  <c r="AA378" i="1"/>
  <c r="AA374" i="1"/>
  <c r="AA370" i="1"/>
  <c r="AA366" i="1"/>
  <c r="AA362" i="1"/>
  <c r="AA358" i="1"/>
  <c r="AA354" i="1"/>
  <c r="AA350" i="1"/>
  <c r="AA346" i="1"/>
  <c r="AA342" i="1"/>
  <c r="AA338" i="1"/>
  <c r="AA330" i="1"/>
  <c r="AA326" i="1"/>
  <c r="AA322" i="1"/>
  <c r="AA314" i="1"/>
  <c r="AA310" i="1"/>
  <c r="AA306" i="1"/>
  <c r="AA298" i="1"/>
  <c r="AA290" i="1"/>
  <c r="AA282" i="1"/>
  <c r="AA274" i="1"/>
  <c r="AA266" i="1"/>
  <c r="AA227" i="1"/>
  <c r="AA223" i="1"/>
  <c r="AA219" i="1"/>
  <c r="AA215" i="1"/>
  <c r="AA211" i="1"/>
  <c r="AA207" i="1"/>
  <c r="AA203" i="1"/>
  <c r="AA199" i="1"/>
  <c r="AA195" i="1"/>
  <c r="AA191" i="1"/>
  <c r="AA187" i="1"/>
  <c r="AA183" i="1"/>
  <c r="AA179" i="1"/>
  <c r="AA175" i="1"/>
  <c r="AA171" i="1"/>
  <c r="AA167" i="1"/>
  <c r="AA163" i="1"/>
  <c r="AA159" i="1"/>
  <c r="AA155" i="1"/>
  <c r="AA151" i="1"/>
  <c r="AA147" i="1"/>
  <c r="AA143" i="1"/>
  <c r="AA139" i="1"/>
  <c r="AA135" i="1"/>
  <c r="AA131" i="1"/>
  <c r="AA127" i="1"/>
  <c r="AA123" i="1"/>
  <c r="AA119" i="1"/>
  <c r="AA115" i="1"/>
  <c r="AA111" i="1"/>
  <c r="AA107" i="1"/>
  <c r="AA103" i="1"/>
  <c r="AA99" i="1"/>
  <c r="AA95" i="1"/>
  <c r="AA91" i="1"/>
  <c r="AA87" i="1"/>
  <c r="AA83" i="1"/>
  <c r="AA79" i="1"/>
  <c r="AA75" i="1"/>
  <c r="AA71" i="1"/>
  <c r="AA67" i="1"/>
  <c r="AA63" i="1"/>
  <c r="AA59" i="1"/>
  <c r="AA55" i="1"/>
  <c r="AA51" i="1"/>
  <c r="AA47" i="1"/>
  <c r="AA43" i="1"/>
  <c r="AA39" i="1"/>
  <c r="AA35" i="1"/>
  <c r="AA31" i="1"/>
  <c r="AA27" i="1"/>
  <c r="AA23" i="1"/>
  <c r="AA19" i="1"/>
  <c r="AA15" i="1"/>
  <c r="AA11" i="1"/>
  <c r="AA7" i="1"/>
  <c r="AA3" i="1"/>
  <c r="AA258" i="1"/>
  <c r="AA250" i="1"/>
  <c r="AA242" i="1"/>
  <c r="AA234" i="1"/>
  <c r="AA226" i="1"/>
  <c r="AA218" i="1"/>
  <c r="AA210" i="1"/>
  <c r="AA202" i="1"/>
  <c r="AA194" i="1"/>
  <c r="AA186" i="1"/>
  <c r="AA178" i="1"/>
  <c r="AA170" i="1"/>
  <c r="AA162" i="1"/>
  <c r="AA154" i="1"/>
  <c r="AA146" i="1"/>
  <c r="AA138" i="1"/>
  <c r="AA130" i="1"/>
  <c r="AA122" i="1"/>
  <c r="AA114" i="1"/>
  <c r="AA106" i="1"/>
  <c r="AA98" i="1"/>
  <c r="AA90" i="1"/>
  <c r="AA82" i="1"/>
  <c r="AA74" i="1"/>
  <c r="AA66" i="1"/>
  <c r="AA58" i="1"/>
  <c r="AA50" i="1"/>
  <c r="AA42" i="1"/>
  <c r="AA34" i="1"/>
  <c r="AA26" i="1"/>
  <c r="AA18" i="1"/>
  <c r="AA10" i="1"/>
  <c r="AA409" i="1"/>
  <c r="AA405" i="1"/>
  <c r="AA401" i="1"/>
  <c r="AA397" i="1"/>
  <c r="AA393" i="1"/>
  <c r="AA389" i="1"/>
  <c r="AA385" i="1"/>
  <c r="AA381" i="1"/>
  <c r="AA377" i="1"/>
  <c r="AA373" i="1"/>
  <c r="AA369" i="1"/>
  <c r="AA365" i="1"/>
  <c r="AA361" i="1"/>
  <c r="AA357" i="1"/>
  <c r="AA353" i="1"/>
  <c r="AA349" i="1"/>
  <c r="AA345" i="1"/>
  <c r="AA341" i="1"/>
  <c r="AA337" i="1"/>
  <c r="AA325" i="1"/>
  <c r="AA321" i="1"/>
  <c r="AA309" i="1"/>
  <c r="AA305" i="1"/>
  <c r="AA301" i="1"/>
  <c r="AA297" i="1"/>
  <c r="AA293" i="1"/>
  <c r="AA289" i="1"/>
  <c r="AA285" i="1"/>
  <c r="AA281" i="1"/>
  <c r="AA277" i="1"/>
  <c r="AA273" i="1"/>
  <c r="AA269" i="1"/>
  <c r="AA265" i="1"/>
  <c r="AA261" i="1"/>
  <c r="AA257" i="1"/>
  <c r="AA253" i="1"/>
  <c r="AA249" i="1"/>
  <c r="AA245" i="1"/>
  <c r="AA241" i="1"/>
  <c r="AA237" i="1"/>
  <c r="AA233" i="1"/>
  <c r="AA229" i="1"/>
  <c r="AA225" i="1"/>
  <c r="AA221" i="1"/>
  <c r="AA217" i="1"/>
  <c r="AA213" i="1"/>
  <c r="AA209" i="1"/>
  <c r="AA205" i="1"/>
  <c r="AA201" i="1"/>
  <c r="AA197" i="1"/>
  <c r="AA193" i="1"/>
  <c r="AA189" i="1"/>
  <c r="AA185" i="1"/>
  <c r="AA181" i="1"/>
  <c r="AA177" i="1"/>
  <c r="AA173" i="1"/>
  <c r="AA169" i="1"/>
  <c r="AA165" i="1"/>
  <c r="AA161" i="1"/>
  <c r="AA157" i="1"/>
  <c r="AA153" i="1"/>
  <c r="AA149" i="1"/>
  <c r="AA145" i="1"/>
  <c r="AA141" i="1"/>
  <c r="AA137" i="1"/>
  <c r="AA133" i="1"/>
  <c r="AA129" i="1"/>
  <c r="AA125" i="1"/>
  <c r="AA121" i="1"/>
  <c r="AA117" i="1"/>
  <c r="AA113" i="1"/>
  <c r="AA109" i="1"/>
  <c r="AA105" i="1"/>
  <c r="AA101" i="1"/>
  <c r="AA97" i="1"/>
  <c r="AA93" i="1"/>
  <c r="AA89" i="1"/>
  <c r="AA85" i="1"/>
  <c r="AA81" i="1"/>
  <c r="AA77" i="1"/>
  <c r="AA73" i="1"/>
  <c r="AA69" i="1"/>
  <c r="AA65" i="1"/>
  <c r="AA61" i="1"/>
  <c r="AA57" i="1"/>
  <c r="AA53" i="1"/>
  <c r="AA49" i="1"/>
  <c r="AA45" i="1"/>
  <c r="AA41" i="1"/>
  <c r="AA37" i="1"/>
  <c r="AA33" i="1"/>
  <c r="AA29" i="1"/>
  <c r="AA25" i="1"/>
  <c r="AA21" i="1"/>
  <c r="AA17" i="1"/>
  <c r="AA13" i="1"/>
  <c r="AA9" i="1"/>
  <c r="AA5" i="1"/>
</calcChain>
</file>

<file path=xl/sharedStrings.xml><?xml version="1.0" encoding="utf-8"?>
<sst xmlns="http://schemas.openxmlformats.org/spreadsheetml/2006/main" count="5259" uniqueCount="921">
  <si>
    <t>OrderID</t>
  </si>
  <si>
    <t>CustomerID</t>
  </si>
  <si>
    <t>SalesRepID</t>
  </si>
  <si>
    <t>Date</t>
  </si>
  <si>
    <t>Time</t>
  </si>
  <si>
    <t>Product</t>
  </si>
  <si>
    <t>OrderQuantity</t>
  </si>
  <si>
    <t>UnitPrice</t>
  </si>
  <si>
    <t>SalesRepEmail</t>
  </si>
  <si>
    <t>ORD-00001</t>
  </si>
  <si>
    <t>CUST-754</t>
  </si>
  <si>
    <t>REP-13</t>
  </si>
  <si>
    <t>Ahmed Khan</t>
  </si>
  <si>
    <t>Laptop</t>
  </si>
  <si>
    <t>Computers</t>
  </si>
  <si>
    <t>ahmedkhan@tg.inc</t>
  </si>
  <si>
    <t>ORD-00002</t>
  </si>
  <si>
    <t>CUST-529</t>
  </si>
  <si>
    <t>REP-17</t>
  </si>
  <si>
    <t>Maria Garcia</t>
  </si>
  <si>
    <t>Smartphone</t>
  </si>
  <si>
    <t>Mobile Devices</t>
  </si>
  <si>
    <t>Asia</t>
  </si>
  <si>
    <t>mariagarcia@tg.inc</t>
  </si>
  <si>
    <t>ORD-00003</t>
  </si>
  <si>
    <t>CUST-649</t>
  </si>
  <si>
    <t>Tablet</t>
  </si>
  <si>
    <t>Tablets</t>
  </si>
  <si>
    <t>Europe</t>
  </si>
  <si>
    <t>ahmedkhan@sales.techg.com</t>
  </si>
  <si>
    <t>ORD-00004</t>
  </si>
  <si>
    <t>CUST-266</t>
  </si>
  <si>
    <t>REP-22</t>
  </si>
  <si>
    <t>Fatima Adebayo</t>
  </si>
  <si>
    <t>South America</t>
  </si>
  <si>
    <t>fatimaadebayo@sales.techg.com</t>
  </si>
  <si>
    <t>ORD-00005</t>
  </si>
  <si>
    <t>CUST-334</t>
  </si>
  <si>
    <t>REP-11</t>
  </si>
  <si>
    <t>Emma Dubois</t>
  </si>
  <si>
    <t>Smartwatch</t>
  </si>
  <si>
    <t>Wearables</t>
  </si>
  <si>
    <t>emmadubois@techgadgetsco.com</t>
  </si>
  <si>
    <t>ORD-00006</t>
  </si>
  <si>
    <t>CUST-470</t>
  </si>
  <si>
    <t>North America</t>
  </si>
  <si>
    <t>mariagarcia@techgadgetsco.com</t>
  </si>
  <si>
    <t>ORD-00007</t>
  </si>
  <si>
    <t>CUST-838</t>
  </si>
  <si>
    <t>Africa</t>
  </si>
  <si>
    <t>ORD-00008</t>
  </si>
  <si>
    <t>CUST-482</t>
  </si>
  <si>
    <t>REP-15</t>
  </si>
  <si>
    <t>Sophie Lee</t>
  </si>
  <si>
    <t>sophielee@sales.techg.com</t>
  </si>
  <si>
    <t>ORD-00009</t>
  </si>
  <si>
    <t>CUST-878</t>
  </si>
  <si>
    <t>REP-33</t>
  </si>
  <si>
    <t>ORD-00010</t>
  </si>
  <si>
    <t>CUST-330</t>
  </si>
  <si>
    <t>REP-12</t>
  </si>
  <si>
    <t>Olivia Patel</t>
  </si>
  <si>
    <t>oliviapatel@tg.inc</t>
  </si>
  <si>
    <t>ORD-00011</t>
  </si>
  <si>
    <t>CUST-690</t>
  </si>
  <si>
    <t>REP-29</t>
  </si>
  <si>
    <t>Headphones</t>
  </si>
  <si>
    <t>Audio</t>
  </si>
  <si>
    <t>sophielee@tg.inc</t>
  </si>
  <si>
    <t>ORD-00012</t>
  </si>
  <si>
    <t>CUST-532</t>
  </si>
  <si>
    <t>ORD-00013</t>
  </si>
  <si>
    <t>CUST-510</t>
  </si>
  <si>
    <t>emmadubois@tg.inc</t>
  </si>
  <si>
    <t>ORD-00014</t>
  </si>
  <si>
    <t>CUST-865</t>
  </si>
  <si>
    <t>REP-21</t>
  </si>
  <si>
    <t>fatimaadebayo@tg.inc</t>
  </si>
  <si>
    <t>ORD-00015</t>
  </si>
  <si>
    <t>CUST-708</t>
  </si>
  <si>
    <t>emmadubois@sales.techg.com</t>
  </si>
  <si>
    <t>ORD-00016</t>
  </si>
  <si>
    <t>CUST-569</t>
  </si>
  <si>
    <t>REP-35</t>
  </si>
  <si>
    <t>Carlos Rodriguez</t>
  </si>
  <si>
    <t>carlosrodriguez@tg.inc</t>
  </si>
  <si>
    <t>ORD-00017</t>
  </si>
  <si>
    <t>CUST-108</t>
  </si>
  <si>
    <t>ORD-00018</t>
  </si>
  <si>
    <t>CUST-749</t>
  </si>
  <si>
    <t>REP-24</t>
  </si>
  <si>
    <t>Liam Chen</t>
  </si>
  <si>
    <t>liamchen@sales.techg.com</t>
  </si>
  <si>
    <t>ORD-00019</t>
  </si>
  <si>
    <t>CUST-251</t>
  </si>
  <si>
    <t>liamchen@techgadgetsco.com</t>
  </si>
  <si>
    <t>ORD-00020</t>
  </si>
  <si>
    <t>CUST-919</t>
  </si>
  <si>
    <t>ORD-00021</t>
  </si>
  <si>
    <t>CUST-412</t>
  </si>
  <si>
    <t>ORD-00022</t>
  </si>
  <si>
    <t>CUST-211</t>
  </si>
  <si>
    <t>carlosrodriguez@techgadgetsco.com</t>
  </si>
  <si>
    <t>ORD-00023</t>
  </si>
  <si>
    <t>CUST-438</t>
  </si>
  <si>
    <t>ORD-00024</t>
  </si>
  <si>
    <t>CUST-100</t>
  </si>
  <si>
    <t>REP-20</t>
  </si>
  <si>
    <t>ORD-00025</t>
  </si>
  <si>
    <t>CUST-417</t>
  </si>
  <si>
    <t>ORD-00026</t>
  </si>
  <si>
    <t>CUST-981</t>
  </si>
  <si>
    <t>ORD-00027</t>
  </si>
  <si>
    <t>CUST-836</t>
  </si>
  <si>
    <t>REP-32</t>
  </si>
  <si>
    <t>ORD-00028</t>
  </si>
  <si>
    <t>CUST-182</t>
  </si>
  <si>
    <t>REP-14</t>
  </si>
  <si>
    <t>ORD-00029</t>
  </si>
  <si>
    <t>CUST-106</t>
  </si>
  <si>
    <t>ORD-00030</t>
  </si>
  <si>
    <t>CUST-737</t>
  </si>
  <si>
    <t>ORD-00031</t>
  </si>
  <si>
    <t>CUST-954</t>
  </si>
  <si>
    <t>ORD-00032</t>
  </si>
  <si>
    <t>CUST-323</t>
  </si>
  <si>
    <t>REP-28</t>
  </si>
  <si>
    <t>ORD-00033</t>
  </si>
  <si>
    <t>CUST-807</t>
  </si>
  <si>
    <t>ORD-00034</t>
  </si>
  <si>
    <t>mariagarcia@sales.techg.com</t>
  </si>
  <si>
    <t>ORD-00035</t>
  </si>
  <si>
    <t>CUST-349</t>
  </si>
  <si>
    <t>ORD-00036</t>
  </si>
  <si>
    <t>CUST-876</t>
  </si>
  <si>
    <t>ORD-00037</t>
  </si>
  <si>
    <t>CUST-336</t>
  </si>
  <si>
    <t>ORD-00038</t>
  </si>
  <si>
    <t>CUST-646</t>
  </si>
  <si>
    <t>ORD-00039</t>
  </si>
  <si>
    <t>CUST-166</t>
  </si>
  <si>
    <t>REP-23</t>
  </si>
  <si>
    <t>Noah Kim</t>
  </si>
  <si>
    <t>noahkim@sales.techg.com</t>
  </si>
  <si>
    <t>ORD-00040</t>
  </si>
  <si>
    <t>CUST-702</t>
  </si>
  <si>
    <t>ORD-00041</t>
  </si>
  <si>
    <t>CUST-819</t>
  </si>
  <si>
    <t>ORD-00042</t>
  </si>
  <si>
    <t>CUST-944</t>
  </si>
  <si>
    <t>REP-34</t>
  </si>
  <si>
    <t>ORD-00043</t>
  </si>
  <si>
    <t>ORD-00044</t>
  </si>
  <si>
    <t>CUST-978</t>
  </si>
  <si>
    <t>ORD-00045</t>
  </si>
  <si>
    <t>CUST-573</t>
  </si>
  <si>
    <t>ORD-00046</t>
  </si>
  <si>
    <t>CUST-517</t>
  </si>
  <si>
    <t>oliviapatel@techgadgetsco.com</t>
  </si>
  <si>
    <t>ORD-00047</t>
  </si>
  <si>
    <t>CUST-239</t>
  </si>
  <si>
    <t>ORD-00048</t>
  </si>
  <si>
    <t>CUST-429</t>
  </si>
  <si>
    <t>REP-16</t>
  </si>
  <si>
    <t>ORD-00049</t>
  </si>
  <si>
    <t>CUST-704</t>
  </si>
  <si>
    <t>ORD-00050</t>
  </si>
  <si>
    <t>CUST-979</t>
  </si>
  <si>
    <t>ORD-00051</t>
  </si>
  <si>
    <t>CUST-147</t>
  </si>
  <si>
    <t>ORD-00052</t>
  </si>
  <si>
    <t>CUST-753</t>
  </si>
  <si>
    <t>REP-18</t>
  </si>
  <si>
    <t>ORD-00053</t>
  </si>
  <si>
    <t>CUST-973</t>
  </si>
  <si>
    <t>ORD-00054</t>
  </si>
  <si>
    <t>CUST-393</t>
  </si>
  <si>
    <t>ORD-00055</t>
  </si>
  <si>
    <t>CUST-905</t>
  </si>
  <si>
    <t>ORD-00056</t>
  </si>
  <si>
    <t>CUST-966</t>
  </si>
  <si>
    <t>ORD-00057</t>
  </si>
  <si>
    <t>CUST-435</t>
  </si>
  <si>
    <t>carlosrodriguez@sales.techg.com</t>
  </si>
  <si>
    <t>ORD-00058</t>
  </si>
  <si>
    <t>CUST-813</t>
  </si>
  <si>
    <t>ORD-00059</t>
  </si>
  <si>
    <t>CUST-760</t>
  </si>
  <si>
    <t>ORD-00060</t>
  </si>
  <si>
    <t>CUST-321</t>
  </si>
  <si>
    <t>ORD-00061</t>
  </si>
  <si>
    <t>CUST-531</t>
  </si>
  <si>
    <t>ORD-00062</t>
  </si>
  <si>
    <t>CUST-590</t>
  </si>
  <si>
    <t>ORD-00063</t>
  </si>
  <si>
    <t>CUST-617</t>
  </si>
  <si>
    <t>ORD-00064</t>
  </si>
  <si>
    <t>CUST-256</t>
  </si>
  <si>
    <t>ORD-00065</t>
  </si>
  <si>
    <t>CUST-714</t>
  </si>
  <si>
    <t>ORD-00066</t>
  </si>
  <si>
    <t>CUST-129</t>
  </si>
  <si>
    <t>ORD-00067</t>
  </si>
  <si>
    <t>CUST-895</t>
  </si>
  <si>
    <t>ORD-00068</t>
  </si>
  <si>
    <t>CUST-707</t>
  </si>
  <si>
    <t>sophielee@techgadgetsco.com</t>
  </si>
  <si>
    <t>ORD-00069</t>
  </si>
  <si>
    <t>CUST-672</t>
  </si>
  <si>
    <t>ORD-00070</t>
  </si>
  <si>
    <t>ORD-00071</t>
  </si>
  <si>
    <t>CUST-459</t>
  </si>
  <si>
    <t>ORD-00072</t>
  </si>
  <si>
    <t>CUST-169</t>
  </si>
  <si>
    <t>ORD-00073</t>
  </si>
  <si>
    <t>CUST-667</t>
  </si>
  <si>
    <t>ORD-00074</t>
  </si>
  <si>
    <t>CUST-635</t>
  </si>
  <si>
    <t>ORD-00075</t>
  </si>
  <si>
    <t>CUST-994</t>
  </si>
  <si>
    <t>ORD-00076</t>
  </si>
  <si>
    <t>CUST-118</t>
  </si>
  <si>
    <t>ORD-00077</t>
  </si>
  <si>
    <t>CUST-234</t>
  </si>
  <si>
    <t>ORD-00078</t>
  </si>
  <si>
    <t>CUST-344</t>
  </si>
  <si>
    <t>ORD-00079</t>
  </si>
  <si>
    <t>CUST-205</t>
  </si>
  <si>
    <t>ORD-00080</t>
  </si>
  <si>
    <t>CUST-183</t>
  </si>
  <si>
    <t>ORD-00081</t>
  </si>
  <si>
    <t>CUST-320</t>
  </si>
  <si>
    <t>ORD-00082</t>
  </si>
  <si>
    <t>CUST-398</t>
  </si>
  <si>
    <t>ORD-00083</t>
  </si>
  <si>
    <t>noahkim@tg.inc</t>
  </si>
  <si>
    <t>ORD-00084</t>
  </si>
  <si>
    <t>CUST-238</t>
  </si>
  <si>
    <t>ORD-00085</t>
  </si>
  <si>
    <t>CUST-439</t>
  </si>
  <si>
    <t>ORD-00086</t>
  </si>
  <si>
    <t>CUST-428</t>
  </si>
  <si>
    <t>ORD-00087</t>
  </si>
  <si>
    <t>CUST-920</t>
  </si>
  <si>
    <t>ORD-00088</t>
  </si>
  <si>
    <t>CUST-475</t>
  </si>
  <si>
    <t>ORD-00089</t>
  </si>
  <si>
    <t>CUST-276</t>
  </si>
  <si>
    <t>ORD-00090</t>
  </si>
  <si>
    <t>CUST-469</t>
  </si>
  <si>
    <t>ORD-00091</t>
  </si>
  <si>
    <t>CUST-999</t>
  </si>
  <si>
    <t>ORD-00092</t>
  </si>
  <si>
    <t>CUST-750</t>
  </si>
  <si>
    <t>ORD-00093</t>
  </si>
  <si>
    <t>CUST-756</t>
  </si>
  <si>
    <t>ORD-00094</t>
  </si>
  <si>
    <t>CUST-525</t>
  </si>
  <si>
    <t>ORD-00095</t>
  </si>
  <si>
    <t>CUST-397</t>
  </si>
  <si>
    <t>ORD-00096</t>
  </si>
  <si>
    <t>ORD-00097</t>
  </si>
  <si>
    <t>CUST-395</t>
  </si>
  <si>
    <t>ORD-00098</t>
  </si>
  <si>
    <t>CUST-146</t>
  </si>
  <si>
    <t>ORD-00099</t>
  </si>
  <si>
    <t>CUST-676</t>
  </si>
  <si>
    <t>ORD-00100</t>
  </si>
  <si>
    <t>CUST-744</t>
  </si>
  <si>
    <t>ORD-00101</t>
  </si>
  <si>
    <t>CUST-778</t>
  </si>
  <si>
    <t>ORD-00102</t>
  </si>
  <si>
    <t>ORD-00103</t>
  </si>
  <si>
    <t>CUST-552</t>
  </si>
  <si>
    <t>ORD-00104</t>
  </si>
  <si>
    <t>CUST-834</t>
  </si>
  <si>
    <t>ORD-00105</t>
  </si>
  <si>
    <t>CUST-647</t>
  </si>
  <si>
    <t>ORD-00106</t>
  </si>
  <si>
    <t>CUST-605</t>
  </si>
  <si>
    <t>ORD-00107</t>
  </si>
  <si>
    <t>CUST-946</t>
  </si>
  <si>
    <t>ORD-00108</t>
  </si>
  <si>
    <t>CUST-783</t>
  </si>
  <si>
    <t>ORD-00109</t>
  </si>
  <si>
    <t>CUST-662</t>
  </si>
  <si>
    <t>ORD-00110</t>
  </si>
  <si>
    <t>CUST-310</t>
  </si>
  <si>
    <t>ORD-00111</t>
  </si>
  <si>
    <t>CUST-165</t>
  </si>
  <si>
    <t>ORD-00112</t>
  </si>
  <si>
    <t>CUST-652</t>
  </si>
  <si>
    <t>ORD-00113</t>
  </si>
  <si>
    <t>CUST-382</t>
  </si>
  <si>
    <t>ORD-00114</t>
  </si>
  <si>
    <t>CUST-322</t>
  </si>
  <si>
    <t>ORD-00115</t>
  </si>
  <si>
    <t>CUST-705</t>
  </si>
  <si>
    <t>ORD-00116</t>
  </si>
  <si>
    <t>CUST-247</t>
  </si>
  <si>
    <t>ORD-00117</t>
  </si>
  <si>
    <t>CUST-140</t>
  </si>
  <si>
    <t>ORD-00118</t>
  </si>
  <si>
    <t>CUST-506</t>
  </si>
  <si>
    <t>ORD-00119</t>
  </si>
  <si>
    <t>ORD-00120</t>
  </si>
  <si>
    <t>CUST-757</t>
  </si>
  <si>
    <t>ORD-00121</t>
  </si>
  <si>
    <t>ORD-00122</t>
  </si>
  <si>
    <t>CUST-117</t>
  </si>
  <si>
    <t>ORD-00123</t>
  </si>
  <si>
    <t>CUST-968</t>
  </si>
  <si>
    <t>ORD-00124</t>
  </si>
  <si>
    <t>CUST-640</t>
  </si>
  <si>
    <t>ORD-00125</t>
  </si>
  <si>
    <t>CUST-507</t>
  </si>
  <si>
    <t>ORD-00126</t>
  </si>
  <si>
    <t>CUST-448</t>
  </si>
  <si>
    <t>ORD-00127</t>
  </si>
  <si>
    <t>CUST-175</t>
  </si>
  <si>
    <t>ORD-00128</t>
  </si>
  <si>
    <t>ORD-00129</t>
  </si>
  <si>
    <t>CUST-242</t>
  </si>
  <si>
    <t>ORD-00130</t>
  </si>
  <si>
    <t>CUST-505</t>
  </si>
  <si>
    <t>ORD-00131</t>
  </si>
  <si>
    <t>CUST-900</t>
  </si>
  <si>
    <t>ORD-00132</t>
  </si>
  <si>
    <t>CUST-951</t>
  </si>
  <si>
    <t>ORD-00133</t>
  </si>
  <si>
    <t>CUST-137</t>
  </si>
  <si>
    <t>ORD-00134</t>
  </si>
  <si>
    <t>CUST-631</t>
  </si>
  <si>
    <t>ORD-00135</t>
  </si>
  <si>
    <t>CUST-633</t>
  </si>
  <si>
    <t>ORD-00136</t>
  </si>
  <si>
    <t>CUST-665</t>
  </si>
  <si>
    <t>ORD-00137</t>
  </si>
  <si>
    <t>CUST-870</t>
  </si>
  <si>
    <t>ORD-00138</t>
  </si>
  <si>
    <t>CUST-789</t>
  </si>
  <si>
    <t>ORD-00139</t>
  </si>
  <si>
    <t>CUST-277</t>
  </si>
  <si>
    <t>ORD-00140</t>
  </si>
  <si>
    <t>CUST-554</t>
  </si>
  <si>
    <t>ORD-00141</t>
  </si>
  <si>
    <t>CUST-943</t>
  </si>
  <si>
    <t>ORD-00142</t>
  </si>
  <si>
    <t>ORD-00143</t>
  </si>
  <si>
    <t>CUST-795</t>
  </si>
  <si>
    <t>ORD-00144</t>
  </si>
  <si>
    <t>CUST-913</t>
  </si>
  <si>
    <t>ORD-00145</t>
  </si>
  <si>
    <t>CUST-539</t>
  </si>
  <si>
    <t>ORD-00146</t>
  </si>
  <si>
    <t>ORD-00147</t>
  </si>
  <si>
    <t>CUST-318</t>
  </si>
  <si>
    <t>ORD-00148</t>
  </si>
  <si>
    <t>CUST-406</t>
  </si>
  <si>
    <t>ORD-00149</t>
  </si>
  <si>
    <t>CUST-703</t>
  </si>
  <si>
    <t>ORD-00150</t>
  </si>
  <si>
    <t>CUST-501</t>
  </si>
  <si>
    <t>ORD-00151</t>
  </si>
  <si>
    <t>CUST-888</t>
  </si>
  <si>
    <t>ORD-00152</t>
  </si>
  <si>
    <t>CUST-308</t>
  </si>
  <si>
    <t>ORD-00153</t>
  </si>
  <si>
    <t>CUST-222</t>
  </si>
  <si>
    <t>REP-10</t>
  </si>
  <si>
    <t>ORD-00154</t>
  </si>
  <si>
    <t>CUST-378</t>
  </si>
  <si>
    <t>ORD-00155</t>
  </si>
  <si>
    <t>CUST-983</t>
  </si>
  <si>
    <t>ORD-00156</t>
  </si>
  <si>
    <t>CUST-614</t>
  </si>
  <si>
    <t>ORD-00157</t>
  </si>
  <si>
    <t>ORD-00158</t>
  </si>
  <si>
    <t>CUST-603</t>
  </si>
  <si>
    <t>ORD-00159</t>
  </si>
  <si>
    <t>CUST-163</t>
  </si>
  <si>
    <t>ORD-00160</t>
  </si>
  <si>
    <t>CUST-516</t>
  </si>
  <si>
    <t>ORD-00161</t>
  </si>
  <si>
    <t>CUST-150</t>
  </si>
  <si>
    <t>ORD-00162</t>
  </si>
  <si>
    <t>CUST-745</t>
  </si>
  <si>
    <t>ORD-00163</t>
  </si>
  <si>
    <t>CUST-799</t>
  </si>
  <si>
    <t>ORD-00164</t>
  </si>
  <si>
    <t>CUST-916</t>
  </si>
  <si>
    <t>ORD-00165</t>
  </si>
  <si>
    <t>CUST-928</t>
  </si>
  <si>
    <t>ORD-00166</t>
  </si>
  <si>
    <t>CUST-814</t>
  </si>
  <si>
    <t>ORD-00167</t>
  </si>
  <si>
    <t>ORD-00168</t>
  </si>
  <si>
    <t>CUST-203</t>
  </si>
  <si>
    <t>fatimaadebayo@techgadgetsco.com</t>
  </si>
  <si>
    <t>ORD-00169</t>
  </si>
  <si>
    <t>CUST-281</t>
  </si>
  <si>
    <t>ORD-00170</t>
  </si>
  <si>
    <t>CUST-271</t>
  </si>
  <si>
    <t>ORD-00171</t>
  </si>
  <si>
    <t>CUST-659</t>
  </si>
  <si>
    <t>ORD-00172</t>
  </si>
  <si>
    <t>CUST-821</t>
  </si>
  <si>
    <t>ORD-00173</t>
  </si>
  <si>
    <t>CUST-502</t>
  </si>
  <si>
    <t>ORD-00174</t>
  </si>
  <si>
    <t>CUST-582</t>
  </si>
  <si>
    <t>ORD-00175</t>
  </si>
  <si>
    <t>CUST-784</t>
  </si>
  <si>
    <t>ORD-00176</t>
  </si>
  <si>
    <t>CUST-629</t>
  </si>
  <si>
    <t>ORD-00177</t>
  </si>
  <si>
    <t>CUST-189</t>
  </si>
  <si>
    <t>ORD-00178</t>
  </si>
  <si>
    <t>CUST-392</t>
  </si>
  <si>
    <t>ORD-00179</t>
  </si>
  <si>
    <t>CUST-375</t>
  </si>
  <si>
    <t>ORD-00180</t>
  </si>
  <si>
    <t>CUST-292</t>
  </si>
  <si>
    <t>ORD-00181</t>
  </si>
  <si>
    <t>CUST-159</t>
  </si>
  <si>
    <t>ORD-00182</t>
  </si>
  <si>
    <t>CUST-458</t>
  </si>
  <si>
    <t>ORD-00183</t>
  </si>
  <si>
    <t>CUST-798</t>
  </si>
  <si>
    <t>ORD-00184</t>
  </si>
  <si>
    <t>CUST-738</t>
  </si>
  <si>
    <t>ORD-00185</t>
  </si>
  <si>
    <t>CUST-405</t>
  </si>
  <si>
    <t>ORD-00186</t>
  </si>
  <si>
    <t>CUST-935</t>
  </si>
  <si>
    <t>ORD-00187</t>
  </si>
  <si>
    <t>ORD-00188</t>
  </si>
  <si>
    <t>CUST-797</t>
  </si>
  <si>
    <t>ORD-00189</t>
  </si>
  <si>
    <t>ORD-00190</t>
  </si>
  <si>
    <t>CUST-304</t>
  </si>
  <si>
    <t>ORD-00191</t>
  </si>
  <si>
    <t>CUST-710</t>
  </si>
  <si>
    <t>ORD-00192</t>
  </si>
  <si>
    <t>ORD-00193</t>
  </si>
  <si>
    <t>CUST-811</t>
  </si>
  <si>
    <t>ORD-00194</t>
  </si>
  <si>
    <t>ORD-00195</t>
  </si>
  <si>
    <t>CUST-840</t>
  </si>
  <si>
    <t>ORD-00196</t>
  </si>
  <si>
    <t>CUST-972</t>
  </si>
  <si>
    <t>ORD-00197</t>
  </si>
  <si>
    <t>ORD-00198</t>
  </si>
  <si>
    <t>CUST-551</t>
  </si>
  <si>
    <t>ORD-00199</t>
  </si>
  <si>
    <t>CUST-792</t>
  </si>
  <si>
    <t>ORD-00200</t>
  </si>
  <si>
    <t>CUST-512</t>
  </si>
  <si>
    <t>ORD-00201</t>
  </si>
  <si>
    <t>CUST-752</t>
  </si>
  <si>
    <t>ORD-00202</t>
  </si>
  <si>
    <t>CUST-449</t>
  </si>
  <si>
    <t>ORD-00203</t>
  </si>
  <si>
    <t>CUST-446</t>
  </si>
  <si>
    <t>ORD-00204</t>
  </si>
  <si>
    <t>CUST-808</t>
  </si>
  <si>
    <t>ORD-00205</t>
  </si>
  <si>
    <t>CUST-522</t>
  </si>
  <si>
    <t>ORD-00206</t>
  </si>
  <si>
    <t>CUST-615</t>
  </si>
  <si>
    <t>ORD-00207</t>
  </si>
  <si>
    <t>CUST-157</t>
  </si>
  <si>
    <t>ORD-00208</t>
  </si>
  <si>
    <t>CUST-903</t>
  </si>
  <si>
    <t>ORD-00209</t>
  </si>
  <si>
    <t>CUST-763</t>
  </si>
  <si>
    <t>ORD-00210</t>
  </si>
  <si>
    <t>ORD-00211</t>
  </si>
  <si>
    <t>CUST-656</t>
  </si>
  <si>
    <t>ORD-00212</t>
  </si>
  <si>
    <t>ORD-00213</t>
  </si>
  <si>
    <t>CUST-767</t>
  </si>
  <si>
    <t>ORD-00214</t>
  </si>
  <si>
    <t>CUST-257</t>
  </si>
  <si>
    <t>ORD-00215</t>
  </si>
  <si>
    <t>ORD-00216</t>
  </si>
  <si>
    <t>CUST-260</t>
  </si>
  <si>
    <t>ORD-00217</t>
  </si>
  <si>
    <t>CUST-650</t>
  </si>
  <si>
    <t>ORD-00218</t>
  </si>
  <si>
    <t>CUST-971</t>
  </si>
  <si>
    <t>ORD-00219</t>
  </si>
  <si>
    <t>CUST-561</t>
  </si>
  <si>
    <t>ORD-00220</t>
  </si>
  <si>
    <t>ORD-00221</t>
  </si>
  <si>
    <t>CUST-746</t>
  </si>
  <si>
    <t>ORD-00222</t>
  </si>
  <si>
    <t>CUST-472</t>
  </si>
  <si>
    <t>ORD-00223</t>
  </si>
  <si>
    <t>CUST-337</t>
  </si>
  <si>
    <t>ORD-00224</t>
  </si>
  <si>
    <t>CUST-692</t>
  </si>
  <si>
    <t>ORD-00225</t>
  </si>
  <si>
    <t>CUST-550</t>
  </si>
  <si>
    <t>ORD-00226</t>
  </si>
  <si>
    <t>CUST-520</t>
  </si>
  <si>
    <t>ORD-00227</t>
  </si>
  <si>
    <t>CUST-187</t>
  </si>
  <si>
    <t>ORD-00228</t>
  </si>
  <si>
    <t>CUST-487</t>
  </si>
  <si>
    <t>ORD-00229</t>
  </si>
  <si>
    <t>CUST-717</t>
  </si>
  <si>
    <t>ORD-00230</t>
  </si>
  <si>
    <t>ORD-00231</t>
  </si>
  <si>
    <t>CUST-648</t>
  </si>
  <si>
    <t>ORD-00232</t>
  </si>
  <si>
    <t>CUST-984</t>
  </si>
  <si>
    <t>ORD-00233</t>
  </si>
  <si>
    <t>CUST-190</t>
  </si>
  <si>
    <t>ORD-00234</t>
  </si>
  <si>
    <t>CUST-923</t>
  </si>
  <si>
    <t>ORD-00235</t>
  </si>
  <si>
    <t>CUST-700</t>
  </si>
  <si>
    <t>ORD-00236</t>
  </si>
  <si>
    <t>CUST-174</t>
  </si>
  <si>
    <t>ORD-00237</t>
  </si>
  <si>
    <t>CUST-593</t>
  </si>
  <si>
    <t>ORD-00238</t>
  </si>
  <si>
    <t>CUST-282</t>
  </si>
  <si>
    <t>ORD-00239</t>
  </si>
  <si>
    <t>ORD-00240</t>
  </si>
  <si>
    <t>CUST-638</t>
  </si>
  <si>
    <t>ORD-00241</t>
  </si>
  <si>
    <t>CUST-369</t>
  </si>
  <si>
    <t>ORD-00242</t>
  </si>
  <si>
    <t>CUST-668</t>
  </si>
  <si>
    <t>ORD-00243</t>
  </si>
  <si>
    <t>ORD-00244</t>
  </si>
  <si>
    <t>ORD-00245</t>
  </si>
  <si>
    <t>CUST-173</t>
  </si>
  <si>
    <t>ORD-00246</t>
  </si>
  <si>
    <t>CUST-123</t>
  </si>
  <si>
    <t>ORD-00247</t>
  </si>
  <si>
    <t>CUST-732</t>
  </si>
  <si>
    <t>ORD-00248</t>
  </si>
  <si>
    <t>CUST-661</t>
  </si>
  <si>
    <t>ORD-00249</t>
  </si>
  <si>
    <t>ORD-00250</t>
  </si>
  <si>
    <t>CUST-267</t>
  </si>
  <si>
    <t>ORD-00251</t>
  </si>
  <si>
    <t>CUST-213</t>
  </si>
  <si>
    <t>ORD-00252</t>
  </si>
  <si>
    <t>CUST-450</t>
  </si>
  <si>
    <t>ORD-00253</t>
  </si>
  <si>
    <t>CUST-112</t>
  </si>
  <si>
    <t>ORD-00254</t>
  </si>
  <si>
    <t>ORD-00255</t>
  </si>
  <si>
    <t>CUST-143</t>
  </si>
  <si>
    <t>ORD-00256</t>
  </si>
  <si>
    <t>CUST-907</t>
  </si>
  <si>
    <t>ORD-00257</t>
  </si>
  <si>
    <t>CUST-713</t>
  </si>
  <si>
    <t>ORD-00258</t>
  </si>
  <si>
    <t>CUST-774</t>
  </si>
  <si>
    <t>ORD-00259</t>
  </si>
  <si>
    <t>CUST-201</t>
  </si>
  <si>
    <t>ORD-00260</t>
  </si>
  <si>
    <t>CUST-579</t>
  </si>
  <si>
    <t>ORD-00261</t>
  </si>
  <si>
    <t>ORD-00262</t>
  </si>
  <si>
    <t>CUST-460</t>
  </si>
  <si>
    <t>ORD-00263</t>
  </si>
  <si>
    <t>CUST-843</t>
  </si>
  <si>
    <t>ORD-00264</t>
  </si>
  <si>
    <t>CUST-685</t>
  </si>
  <si>
    <t>ORD-00265</t>
  </si>
  <si>
    <t>CUST-945</t>
  </si>
  <si>
    <t>ORD-00266</t>
  </si>
  <si>
    <t>CUST-716</t>
  </si>
  <si>
    <t>ORD-00267</t>
  </si>
  <si>
    <t>CUST-542</t>
  </si>
  <si>
    <t>ORD-00268</t>
  </si>
  <si>
    <t>CUST-300</t>
  </si>
  <si>
    <t>ORD-00269</t>
  </si>
  <si>
    <t>CUST-941</t>
  </si>
  <si>
    <t>ORD-00270</t>
  </si>
  <si>
    <t>CUST-560</t>
  </si>
  <si>
    <t>ORD-00271</t>
  </si>
  <si>
    <t>CUST-908</t>
  </si>
  <si>
    <t>ORD-00272</t>
  </si>
  <si>
    <t>CUST-423</t>
  </si>
  <si>
    <t>ORD-00273</t>
  </si>
  <si>
    <t>CUST-613</t>
  </si>
  <si>
    <t>ORD-00274</t>
  </si>
  <si>
    <t>CUST-419</t>
  </si>
  <si>
    <t>ORD-00275</t>
  </si>
  <si>
    <t>ORD-00276</t>
  </si>
  <si>
    <t>CUST-126</t>
  </si>
  <si>
    <t>ORD-00277</t>
  </si>
  <si>
    <t>CUST-133</t>
  </si>
  <si>
    <t>ORD-00278</t>
  </si>
  <si>
    <t>CUST-722</t>
  </si>
  <si>
    <t>ORD-00279</t>
  </si>
  <si>
    <t>ORD-00280</t>
  </si>
  <si>
    <t>CUST-564</t>
  </si>
  <si>
    <t>ORD-00281</t>
  </si>
  <si>
    <t>CUST-144</t>
  </si>
  <si>
    <t>ORD-00282</t>
  </si>
  <si>
    <t>CUST-609</t>
  </si>
  <si>
    <t>ORD-00283</t>
  </si>
  <si>
    <t>ORD-00284</t>
  </si>
  <si>
    <t>CUST-477</t>
  </si>
  <si>
    <t>ORD-00285</t>
  </si>
  <si>
    <t>ORD-00286</t>
  </si>
  <si>
    <t>CUST-740</t>
  </si>
  <si>
    <t>ORD-00287</t>
  </si>
  <si>
    <t>ORD-00288</t>
  </si>
  <si>
    <t>ORD-00289</t>
  </si>
  <si>
    <t>CUST-684</t>
  </si>
  <si>
    <t>ORD-00290</t>
  </si>
  <si>
    <t>ORD-00291</t>
  </si>
  <si>
    <t>CUST-235</t>
  </si>
  <si>
    <t>ORD-00292</t>
  </si>
  <si>
    <t>CUST-691</t>
  </si>
  <si>
    <t>ORD-00293</t>
  </si>
  <si>
    <t>CUST-377</t>
  </si>
  <si>
    <t>ORD-00294</t>
  </si>
  <si>
    <t>CUST-706</t>
  </si>
  <si>
    <t>ORD-00295</t>
  </si>
  <si>
    <t>CUST-884</t>
  </si>
  <si>
    <t>ORD-00296</t>
  </si>
  <si>
    <t>ORD-00297</t>
  </si>
  <si>
    <t>ORD-00298</t>
  </si>
  <si>
    <t>CUST-171</t>
  </si>
  <si>
    <t>ORD-00299</t>
  </si>
  <si>
    <t>ORD-00300</t>
  </si>
  <si>
    <t>CUST-673</t>
  </si>
  <si>
    <t>ORD-00301</t>
  </si>
  <si>
    <t>CUST-527</t>
  </si>
  <si>
    <t>ORD-00302</t>
  </si>
  <si>
    <t>ORD-00303</t>
  </si>
  <si>
    <t>CUST-138</t>
  </si>
  <si>
    <t>ORD-00304</t>
  </si>
  <si>
    <t>ORD-00305</t>
  </si>
  <si>
    <t>CUST-411</t>
  </si>
  <si>
    <t>ORD-00306</t>
  </si>
  <si>
    <t>CUST-363</t>
  </si>
  <si>
    <t>ORD-00307</t>
  </si>
  <si>
    <t>CUST-957</t>
  </si>
  <si>
    <t>ORD-00308</t>
  </si>
  <si>
    <t>CUST-645</t>
  </si>
  <si>
    <t>ORD-00309</t>
  </si>
  <si>
    <t>CUST-964</t>
  </si>
  <si>
    <t>ORD-00310</t>
  </si>
  <si>
    <t>CUST-110</t>
  </si>
  <si>
    <t>ORD-00311</t>
  </si>
  <si>
    <t>ORD-00312</t>
  </si>
  <si>
    <t>ORD-00313</t>
  </si>
  <si>
    <t>CUST-832</t>
  </si>
  <si>
    <t>ORD-00314</t>
  </si>
  <si>
    <t>CUST-889</t>
  </si>
  <si>
    <t>ORD-00315</t>
  </si>
  <si>
    <t>CUST-762</t>
  </si>
  <si>
    <t>ORD-00316</t>
  </si>
  <si>
    <t>CUST-294</t>
  </si>
  <si>
    <t>ORD-00317</t>
  </si>
  <si>
    <t>ORD-00318</t>
  </si>
  <si>
    <t>CUST-747</t>
  </si>
  <si>
    <t>ORD-00319</t>
  </si>
  <si>
    <t>CUST-511</t>
  </si>
  <si>
    <t>ORD-00320</t>
  </si>
  <si>
    <t>CUST-202</t>
  </si>
  <si>
    <t>ORD-00321</t>
  </si>
  <si>
    <t>CUST-521</t>
  </si>
  <si>
    <t>ORD-00322</t>
  </si>
  <si>
    <t>ORD-00323</t>
  </si>
  <si>
    <t>CUST-924</t>
  </si>
  <si>
    <t>ORD-00324</t>
  </si>
  <si>
    <t>CUST-212</t>
  </si>
  <si>
    <t>ORD-00325</t>
  </si>
  <si>
    <t>CUST-298</t>
  </si>
  <si>
    <t>ORD-00326</t>
  </si>
  <si>
    <t>CUST-726</t>
  </si>
  <si>
    <t>ORD-00327</t>
  </si>
  <si>
    <t>ORD-00328</t>
  </si>
  <si>
    <t>CUST-467</t>
  </si>
  <si>
    <t>ORD-00329</t>
  </si>
  <si>
    <t>CUST-820</t>
  </si>
  <si>
    <t>ORD-00330</t>
  </si>
  <si>
    <t>CUST-790</t>
  </si>
  <si>
    <t>ORD-00331</t>
  </si>
  <si>
    <t>ORD-00332</t>
  </si>
  <si>
    <t>CUST-399</t>
  </si>
  <si>
    <t>ORD-00333</t>
  </si>
  <si>
    <t>ORD-00334</t>
  </si>
  <si>
    <t>CUST-781</t>
  </si>
  <si>
    <t>ORD-00335</t>
  </si>
  <si>
    <t>ORD-00336</t>
  </si>
  <si>
    <t>ORD-00337</t>
  </si>
  <si>
    <t>CUST-687</t>
  </si>
  <si>
    <t>ORD-00338</t>
  </si>
  <si>
    <t>CUST-639</t>
  </si>
  <si>
    <t>ORD-00339</t>
  </si>
  <si>
    <t>CUST-495</t>
  </si>
  <si>
    <t>ORD-00340</t>
  </si>
  <si>
    <t>CUST-712</t>
  </si>
  <si>
    <t>ORD-00341</t>
  </si>
  <si>
    <t>CUST-240</t>
  </si>
  <si>
    <t>ORD-00342</t>
  </si>
  <si>
    <t>CUST-283</t>
  </si>
  <si>
    <t>ORD-00343</t>
  </si>
  <si>
    <t>CUST-365</t>
  </si>
  <si>
    <t>ORD-00344</t>
  </si>
  <si>
    <t>CUST-196</t>
  </si>
  <si>
    <t>ORD-00345</t>
  </si>
  <si>
    <t>ORD-00346</t>
  </si>
  <si>
    <t>CUST-456</t>
  </si>
  <si>
    <t>ORD-00347</t>
  </si>
  <si>
    <t>CUST-535</t>
  </si>
  <si>
    <t>ORD-00348</t>
  </si>
  <si>
    <t>ORD-00349</t>
  </si>
  <si>
    <t>CUST-275</t>
  </si>
  <si>
    <t>ORD-00350</t>
  </si>
  <si>
    <t>CUST-421</t>
  </si>
  <si>
    <t>ORD-00351</t>
  </si>
  <si>
    <t>ORD-00352</t>
  </si>
  <si>
    <t>CUST-272</t>
  </si>
  <si>
    <t>ORD-00353</t>
  </si>
  <si>
    <t>CUST-596</t>
  </si>
  <si>
    <t>ORD-00354</t>
  </si>
  <si>
    <t>CUST-736</t>
  </si>
  <si>
    <t>ORD-00355</t>
  </si>
  <si>
    <t>ORD-00356</t>
  </si>
  <si>
    <t>CUST-500</t>
  </si>
  <si>
    <t>ORD-00357</t>
  </si>
  <si>
    <t>ORD-00358</t>
  </si>
  <si>
    <t>ORD-00359</t>
  </si>
  <si>
    <t>CUST-306</t>
  </si>
  <si>
    <t>ORD-00360</t>
  </si>
  <si>
    <t>CUST-314</t>
  </si>
  <si>
    <t>ORD-00361</t>
  </si>
  <si>
    <t>CUST-611</t>
  </si>
  <si>
    <t>ORD-00362</t>
  </si>
  <si>
    <t>ORD-00363</t>
  </si>
  <si>
    <t>ORD-00364</t>
  </si>
  <si>
    <t>CUST-959</t>
  </si>
  <si>
    <t>ORD-00365</t>
  </si>
  <si>
    <t>CUST-861</t>
  </si>
  <si>
    <t>ORD-00366</t>
  </si>
  <si>
    <t>ORD-00367</t>
  </si>
  <si>
    <t>CUST-931</t>
  </si>
  <si>
    <t>ORD-00368</t>
  </si>
  <si>
    <t>CUST-134</t>
  </si>
  <si>
    <t>ORD-00369</t>
  </si>
  <si>
    <t>ORD-00370</t>
  </si>
  <si>
    <t>CUST-427</t>
  </si>
  <si>
    <t>ORD-00371</t>
  </si>
  <si>
    <t>ORD-00372</t>
  </si>
  <si>
    <t>ORD-00373</t>
  </si>
  <si>
    <t>ORD-00374</t>
  </si>
  <si>
    <t>CUST-340</t>
  </si>
  <si>
    <t>ORD-00375</t>
  </si>
  <si>
    <t>CUST-424</t>
  </si>
  <si>
    <t>ORD-00376</t>
  </si>
  <si>
    <t>CUST-854</t>
  </si>
  <si>
    <t>ORD-00377</t>
  </si>
  <si>
    <t>CUST-568</t>
  </si>
  <si>
    <t>ORD-00378</t>
  </si>
  <si>
    <t>CUST-178</t>
  </si>
  <si>
    <t>ORD-00379</t>
  </si>
  <si>
    <t>CUST-105</t>
  </si>
  <si>
    <t>ORD-00380</t>
  </si>
  <si>
    <t>ORD-00381</t>
  </si>
  <si>
    <t>CUST-198</t>
  </si>
  <si>
    <t>ORD-00382</t>
  </si>
  <si>
    <t>CUST-802</t>
  </si>
  <si>
    <t>ORD-00383</t>
  </si>
  <si>
    <t>CUST-622</t>
  </si>
  <si>
    <t>ORD-00384</t>
  </si>
  <si>
    <t>ORD-00385</t>
  </si>
  <si>
    <t>ORD-00386</t>
  </si>
  <si>
    <t>CUST-295</t>
  </si>
  <si>
    <t>ORD-00387</t>
  </si>
  <si>
    <t>CUST-856</t>
  </si>
  <si>
    <t>ORD-00388</t>
  </si>
  <si>
    <t>ORD-00389</t>
  </si>
  <si>
    <t>CUST-219</t>
  </si>
  <si>
    <t>ORD-00390</t>
  </si>
  <si>
    <t>CUST-526</t>
  </si>
  <si>
    <t>ORD-00391</t>
  </si>
  <si>
    <t>ORD-00392</t>
  </si>
  <si>
    <t>ORD-00393</t>
  </si>
  <si>
    <t>ORD-00394</t>
  </si>
  <si>
    <t>ORD-00395</t>
  </si>
  <si>
    <t>CUST-130</t>
  </si>
  <si>
    <t>ORD-00396</t>
  </si>
  <si>
    <t>CUST-996</t>
  </si>
  <si>
    <t>ORD-00397</t>
  </si>
  <si>
    <t>ORD-00398</t>
  </si>
  <si>
    <t>ORD-00399</t>
  </si>
  <si>
    <t>CUST-874</t>
  </si>
  <si>
    <t>ORD-00400</t>
  </si>
  <si>
    <t>ORD-00401</t>
  </si>
  <si>
    <t>CUST-897</t>
  </si>
  <si>
    <t>ORD-00402</t>
  </si>
  <si>
    <t>CUST-584</t>
  </si>
  <si>
    <t>ORD-00403</t>
  </si>
  <si>
    <t>ORD-00404</t>
  </si>
  <si>
    <t>CUST-720</t>
  </si>
  <si>
    <t>ORD-00405</t>
  </si>
  <si>
    <t>CUST-761</t>
  </si>
  <si>
    <t>ORD-00406</t>
  </si>
  <si>
    <t>CUST-223</t>
  </si>
  <si>
    <t>ORD-00407</t>
  </si>
  <si>
    <t>CUST-491</t>
  </si>
  <si>
    <t>ORD-00408</t>
  </si>
  <si>
    <t>ORD-00409</t>
  </si>
  <si>
    <t>CUST-167</t>
  </si>
  <si>
    <t>ORD-00410</t>
  </si>
  <si>
    <t>ORD-00411</t>
  </si>
  <si>
    <t>ORD-00412</t>
  </si>
  <si>
    <t>ORD-00413</t>
  </si>
  <si>
    <t>ORD-00414</t>
  </si>
  <si>
    <t>ORD-00415</t>
  </si>
  <si>
    <t>CUST-387</t>
  </si>
  <si>
    <t>ORD-00416</t>
  </si>
  <si>
    <t>ORD-00417</t>
  </si>
  <si>
    <t>ORD-00418</t>
  </si>
  <si>
    <t>CUST-855</t>
  </si>
  <si>
    <t>ORD-00419</t>
  </si>
  <si>
    <t>ORD-00420</t>
  </si>
  <si>
    <t>CUST-156</t>
  </si>
  <si>
    <t>ORD-00421</t>
  </si>
  <si>
    <t>CUST-735</t>
  </si>
  <si>
    <t>ORD-00422</t>
  </si>
  <si>
    <t>CUST-842</t>
  </si>
  <si>
    <t>ORD-00423</t>
  </si>
  <si>
    <t>ORD-00424</t>
  </si>
  <si>
    <t>CUST-443</t>
  </si>
  <si>
    <t>ORD-00425</t>
  </si>
  <si>
    <t>CUST-857</t>
  </si>
  <si>
    <t>ORD-00426</t>
  </si>
  <si>
    <t>CUST-278</t>
  </si>
  <si>
    <t>ORD-00427</t>
  </si>
  <si>
    <t>CUST-478</t>
  </si>
  <si>
    <t>ORD-00428</t>
  </si>
  <si>
    <t>CUST-974</t>
  </si>
  <si>
    <t>ORD-00429</t>
  </si>
  <si>
    <t>CUST-869</t>
  </si>
  <si>
    <t>ORD-00430</t>
  </si>
  <si>
    <t>ORD-00431</t>
  </si>
  <si>
    <t>CUST-518</t>
  </si>
  <si>
    <t>ORD-00432</t>
  </si>
  <si>
    <t>ORD-00433</t>
  </si>
  <si>
    <t>CUST-901</t>
  </si>
  <si>
    <t>ORD-00434</t>
  </si>
  <si>
    <t>CUST-420</t>
  </si>
  <si>
    <t>Region</t>
  </si>
  <si>
    <t>TaxRate</t>
  </si>
  <si>
    <t>DiscountRate</t>
  </si>
  <si>
    <t>Cost</t>
  </si>
  <si>
    <t>Gross Revenue</t>
  </si>
  <si>
    <t>Unit Cost</t>
  </si>
  <si>
    <t>Total Cost</t>
  </si>
  <si>
    <t>Tax Rate</t>
  </si>
  <si>
    <t>Tax Amount</t>
  </si>
  <si>
    <t>Discount Rate</t>
  </si>
  <si>
    <t>Net Sales</t>
  </si>
  <si>
    <t>Excellent Quality</t>
  </si>
  <si>
    <t>Fast Delivery</t>
  </si>
  <si>
    <t>Good Value For Money</t>
  </si>
  <si>
    <t>Very Satisfied</t>
  </si>
  <si>
    <t/>
  </si>
  <si>
    <t>Packaging Was Damaged</t>
  </si>
  <si>
    <t>Perfect Fit</t>
  </si>
  <si>
    <t>Battery Life Amazing</t>
  </si>
  <si>
    <t>A Bit Expensive But Worth It</t>
  </si>
  <si>
    <t>Fantastic Customer Service</t>
  </si>
  <si>
    <t>Great Product</t>
  </si>
  <si>
    <t>Highly Recommend</t>
  </si>
  <si>
    <t>Quick Shipping</t>
  </si>
  <si>
    <t>Love The Design</t>
  </si>
  <si>
    <t>Not As Expected</t>
  </si>
  <si>
    <t>Would Buy Again</t>
  </si>
  <si>
    <t>feeback</t>
  </si>
  <si>
    <t>product</t>
  </si>
  <si>
    <t>sales repname</t>
  </si>
  <si>
    <t>year</t>
  </si>
  <si>
    <t>month</t>
  </si>
  <si>
    <t>day</t>
  </si>
  <si>
    <t>hour</t>
  </si>
  <si>
    <t>minute</t>
  </si>
  <si>
    <t>product category</t>
  </si>
  <si>
    <t>ahdmed@gmail.com</t>
  </si>
  <si>
    <t>positive</t>
  </si>
  <si>
    <t>negative</t>
  </si>
  <si>
    <t>neutral</t>
  </si>
  <si>
    <t>feedback cateory</t>
  </si>
  <si>
    <t>sales region</t>
  </si>
  <si>
    <t>discount amount</t>
  </si>
  <si>
    <t>seconds</t>
  </si>
  <si>
    <t>Ahmed</t>
  </si>
  <si>
    <t>Khan</t>
  </si>
  <si>
    <t>Maria</t>
  </si>
  <si>
    <t>Garcia</t>
  </si>
  <si>
    <t>Fatima</t>
  </si>
  <si>
    <t>Adebayo</t>
  </si>
  <si>
    <t>Emma</t>
  </si>
  <si>
    <t>Dubois</t>
  </si>
  <si>
    <t>Sophie</t>
  </si>
  <si>
    <t>Lee</t>
  </si>
  <si>
    <t>Olivia</t>
  </si>
  <si>
    <t>Patel</t>
  </si>
  <si>
    <t>Carlos</t>
  </si>
  <si>
    <t>Rodriguez</t>
  </si>
  <si>
    <t>Liam</t>
  </si>
  <si>
    <t>Chen</t>
  </si>
  <si>
    <t>Noah</t>
  </si>
  <si>
    <t>Kim</t>
  </si>
  <si>
    <t>sales rep surname</t>
  </si>
  <si>
    <t>sales rep  firstnname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</si>
</sst>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₦-46A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2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" fontId="3" fillId="2" borderId="0" xfId="0" applyNumberFormat="1" applyFont="1" applyFill="1"/>
    <xf numFmtId="0" fontId="3" fillId="2" borderId="0" xfId="0" applyFont="1" applyFill="1"/>
    <xf numFmtId="1" fontId="4" fillId="0" borderId="0" xfId="0" applyNumberFormat="1" applyFont="1"/>
    <xf numFmtId="14" fontId="4" fillId="0" borderId="0" xfId="0" applyNumberFormat="1" applyFont="1"/>
    <xf numFmtId="0" fontId="4" fillId="0" borderId="0" xfId="0" applyFont="1"/>
    <xf numFmtId="166" fontId="3" fillId="2" borderId="0" xfId="0" applyNumberFormat="1" applyFont="1" applyFill="1"/>
    <xf numFmtId="21" fontId="4" fillId="0" borderId="0" xfId="0" applyNumberFormat="1" applyFont="1"/>
    <xf numFmtId="166" fontId="4" fillId="0" borderId="0" xfId="0" applyNumberFormat="1" applyFont="1"/>
    <xf numFmtId="2" fontId="3" fillId="2" borderId="0" xfId="0" applyNumberFormat="1" applyFont="1" applyFill="1"/>
    <xf numFmtId="2" fontId="4" fillId="0" borderId="0" xfId="0" applyNumberFormat="1" applyFont="1"/>
    <xf numFmtId="9" fontId="3" fillId="2" borderId="0" xfId="1" applyFont="1" applyFill="1"/>
    <xf numFmtId="9" fontId="4" fillId="0" borderId="0" xfId="1" applyFont="1"/>
    <xf numFmtId="166" fontId="3" fillId="2" borderId="0" xfId="1" applyNumberFormat="1" applyFont="1" applyFill="1"/>
    <xf numFmtId="166" fontId="4" fillId="0" borderId="0" xfId="1" applyNumberFormat="1" applyFont="1"/>
    <xf numFmtId="49" fontId="3" fillId="2" borderId="0" xfId="0" applyNumberFormat="1" applyFont="1" applyFill="1"/>
    <xf numFmtId="49" fontId="4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5"/>
  <sheetViews>
    <sheetView tabSelected="1" topLeftCell="M1" zoomScale="41" zoomScaleNormal="41" workbookViewId="0">
      <selection activeCell="O6" sqref="O6"/>
    </sheetView>
  </sheetViews>
  <sheetFormatPr defaultColWidth="33.7109375" defaultRowHeight="51" customHeight="1" x14ac:dyDescent="0.35"/>
  <cols>
    <col min="1" max="7" width="33.7109375" style="9"/>
    <col min="8" max="9" width="33.7109375" style="7"/>
    <col min="10" max="11" width="33.7109375" style="9"/>
    <col min="12" max="12" width="33.7109375" style="14"/>
    <col min="13" max="14" width="33.7109375" style="7"/>
    <col min="15" max="17" width="33.7109375" style="9"/>
    <col min="18" max="19" width="33.7109375" style="12"/>
    <col min="20" max="20" width="33.7109375" style="9"/>
    <col min="21" max="21" width="61.85546875" style="9" customWidth="1"/>
    <col min="22" max="24" width="33.7109375" style="9"/>
    <col min="25" max="25" width="33.7109375" style="12"/>
    <col min="26" max="26" width="33.7109375" style="16"/>
    <col min="27" max="29" width="33.7109375" style="9"/>
    <col min="30" max="30" width="33.7109375" style="18"/>
    <col min="31" max="16384" width="33.7109375" style="9"/>
  </cols>
  <sheetData>
    <row r="1" spans="1:30" s="6" customFormat="1" ht="51" customHeight="1" x14ac:dyDescent="0.35">
      <c r="A1" s="6" t="s">
        <v>0</v>
      </c>
      <c r="B1" s="6" t="s">
        <v>1</v>
      </c>
      <c r="C1" s="6" t="s">
        <v>2</v>
      </c>
      <c r="D1" s="19" t="s">
        <v>886</v>
      </c>
      <c r="E1" s="6" t="s">
        <v>920</v>
      </c>
      <c r="F1" s="6" t="s">
        <v>919</v>
      </c>
      <c r="G1" s="6" t="s">
        <v>3</v>
      </c>
      <c r="H1" s="5" t="s">
        <v>887</v>
      </c>
      <c r="I1" s="5" t="s">
        <v>888</v>
      </c>
      <c r="J1" s="6" t="s">
        <v>889</v>
      </c>
      <c r="K1" s="6" t="s">
        <v>4</v>
      </c>
      <c r="L1" s="13" t="s">
        <v>890</v>
      </c>
      <c r="M1" s="5" t="s">
        <v>891</v>
      </c>
      <c r="N1" s="5" t="s">
        <v>900</v>
      </c>
      <c r="O1" s="6" t="s">
        <v>885</v>
      </c>
      <c r="P1" s="6" t="s">
        <v>892</v>
      </c>
      <c r="Q1" s="6" t="s">
        <v>6</v>
      </c>
      <c r="R1" s="10" t="s">
        <v>7</v>
      </c>
      <c r="S1" s="10" t="s">
        <v>862</v>
      </c>
      <c r="T1" s="6" t="s">
        <v>898</v>
      </c>
      <c r="U1" s="6" t="s">
        <v>8</v>
      </c>
      <c r="V1" s="6" t="s">
        <v>884</v>
      </c>
      <c r="W1" s="6" t="s">
        <v>897</v>
      </c>
      <c r="X1" s="6" t="s">
        <v>861</v>
      </c>
      <c r="Y1" s="10" t="s">
        <v>863</v>
      </c>
      <c r="Z1" s="15" t="s">
        <v>864</v>
      </c>
      <c r="AA1" s="6" t="s">
        <v>865</v>
      </c>
      <c r="AB1" s="6" t="s">
        <v>866</v>
      </c>
      <c r="AC1" s="6" t="s">
        <v>899</v>
      </c>
      <c r="AD1" s="17" t="s">
        <v>867</v>
      </c>
    </row>
    <row r="2" spans="1:30" ht="51" customHeight="1" x14ac:dyDescent="0.35">
      <c r="A2" s="9" t="s">
        <v>9</v>
      </c>
      <c r="B2" s="9" t="s">
        <v>10</v>
      </c>
      <c r="C2" s="9" t="s">
        <v>11</v>
      </c>
      <c r="D2" s="20" t="s">
        <v>12</v>
      </c>
      <c r="E2" s="9" t="s">
        <v>901</v>
      </c>
      <c r="F2" s="9" t="s">
        <v>902</v>
      </c>
      <c r="G2" s="8">
        <v>45490</v>
      </c>
      <c r="H2" s="7">
        <f>YEAR(G2)</f>
        <v>2024</v>
      </c>
      <c r="I2" s="7" t="str">
        <f>TEXT(G2,"mmmm")</f>
        <v>July</v>
      </c>
      <c r="J2" s="8" t="str">
        <f>TEXT(G2,"dddd")</f>
        <v>Wednesday</v>
      </c>
      <c r="K2" s="11">
        <v>0.46443287037037034</v>
      </c>
      <c r="L2" s="14">
        <f>HOUR(K2)</f>
        <v>11</v>
      </c>
      <c r="M2" s="7">
        <f>MINUTE(K2)</f>
        <v>8</v>
      </c>
      <c r="N2" s="7">
        <f>SECOND(K2)</f>
        <v>47</v>
      </c>
      <c r="O2" s="9" t="s">
        <v>13</v>
      </c>
      <c r="P2" s="9" t="s">
        <v>14</v>
      </c>
      <c r="Q2" s="9">
        <v>15</v>
      </c>
      <c r="R2" s="12">
        <v>1095.25</v>
      </c>
      <c r="S2" s="12">
        <f>VLOOKUP(O2,'Product-cost'!A:B,2,)</f>
        <v>600</v>
      </c>
      <c r="T2" s="9" t="s">
        <v>45</v>
      </c>
      <c r="U2" s="9" t="s">
        <v>15</v>
      </c>
      <c r="V2" s="9" t="s">
        <v>868</v>
      </c>
      <c r="W2" s="9" t="s">
        <v>894</v>
      </c>
      <c r="X2" s="12">
        <f>R2*Q2</f>
        <v>16428.75</v>
      </c>
      <c r="Y2" s="12">
        <f>S2*Q2</f>
        <v>9000</v>
      </c>
      <c r="Z2" s="16">
        <f>VLOOKUP(T2,Taxrate!A:B,2,FALSE)</f>
        <v>7.0000000000000007E-2</v>
      </c>
      <c r="AA2" s="12">
        <f>X2*Z2</f>
        <v>1150.0125</v>
      </c>
      <c r="AB2" s="16">
        <f>VLOOKUP('Sales Dataset'!O2,'Discount Rate'!A:B,2,)</f>
        <v>0.05</v>
      </c>
      <c r="AC2" s="12">
        <f>Y2*AB2</f>
        <v>450</v>
      </c>
      <c r="AD2" s="18">
        <f>Y2-AB2-Z2</f>
        <v>8999.880000000001</v>
      </c>
    </row>
    <row r="3" spans="1:30" ht="51" customHeight="1" x14ac:dyDescent="0.35">
      <c r="A3" s="9" t="s">
        <v>16</v>
      </c>
      <c r="B3" s="9" t="s">
        <v>17</v>
      </c>
      <c r="C3" s="9" t="s">
        <v>18</v>
      </c>
      <c r="D3" s="20" t="s">
        <v>19</v>
      </c>
      <c r="E3" s="9" t="s">
        <v>903</v>
      </c>
      <c r="F3" s="9" t="s">
        <v>904</v>
      </c>
      <c r="G3" s="8">
        <v>46133</v>
      </c>
      <c r="H3" s="7">
        <f t="shared" ref="H3:H66" si="0">YEAR(G3)</f>
        <v>2026</v>
      </c>
      <c r="I3" s="7" t="str">
        <f t="shared" ref="I3:I66" si="1">TEXT(G3,"mmmm")</f>
        <v>April</v>
      </c>
      <c r="J3" s="8" t="str">
        <f t="shared" ref="J3:J66" si="2">TEXT(G3,"dddd")</f>
        <v>Tuesday</v>
      </c>
      <c r="K3" s="11">
        <v>0.87152777777777779</v>
      </c>
      <c r="L3" s="14">
        <f t="shared" ref="L3:L66" si="3">HOUR(K3)</f>
        <v>20</v>
      </c>
      <c r="M3" s="7">
        <f t="shared" ref="M3:M66" si="4">MINUTE(K3)</f>
        <v>55</v>
      </c>
      <c r="N3" s="7">
        <f t="shared" ref="N3:N66" si="5">SECOND(K3)</f>
        <v>0</v>
      </c>
      <c r="O3" s="9" t="s">
        <v>20</v>
      </c>
      <c r="P3" s="9" t="s">
        <v>21</v>
      </c>
      <c r="Q3" s="9">
        <v>6</v>
      </c>
      <c r="R3" s="12">
        <v>544.59</v>
      </c>
      <c r="S3" s="12">
        <f>VLOOKUP(O3,'Product-cost'!A:B,2,)</f>
        <v>300</v>
      </c>
      <c r="T3" s="9" t="s">
        <v>22</v>
      </c>
      <c r="U3" s="9" t="s">
        <v>23</v>
      </c>
      <c r="V3" s="9" t="s">
        <v>869</v>
      </c>
      <c r="W3" s="9" t="s">
        <v>894</v>
      </c>
      <c r="X3" s="12">
        <f t="shared" ref="X3:X66" si="6">R3*Q3</f>
        <v>3267.54</v>
      </c>
      <c r="Y3" s="12">
        <f t="shared" ref="Y3:Y66" si="7">S3*Q3</f>
        <v>1800</v>
      </c>
      <c r="Z3" s="16">
        <f>VLOOKUP(T3,Taxrate!A:B,2,FALSE)</f>
        <v>0.1</v>
      </c>
      <c r="AA3" s="12">
        <f t="shared" ref="AA3:AA66" si="8">X3*Z3</f>
        <v>326.75400000000002</v>
      </c>
      <c r="AB3" s="16">
        <f>VLOOKUP('Sales Dataset'!O3,'Discount Rate'!A:B,2,)</f>
        <v>0.1</v>
      </c>
      <c r="AC3" s="12">
        <f t="shared" ref="AC3:AC66" si="9">Y3*AB3</f>
        <v>180</v>
      </c>
      <c r="AD3" s="18">
        <f t="shared" ref="AD3:AD66" si="10">Y3-AB3-Z3</f>
        <v>1799.8000000000002</v>
      </c>
    </row>
    <row r="4" spans="1:30" ht="51" customHeight="1" x14ac:dyDescent="0.35">
      <c r="A4" s="9" t="s">
        <v>24</v>
      </c>
      <c r="B4" s="9" t="s">
        <v>25</v>
      </c>
      <c r="C4" s="9" t="s">
        <v>11</v>
      </c>
      <c r="D4" s="20" t="s">
        <v>12</v>
      </c>
      <c r="E4" s="9" t="s">
        <v>901</v>
      </c>
      <c r="F4" s="9" t="s">
        <v>902</v>
      </c>
      <c r="G4" s="8">
        <v>45236</v>
      </c>
      <c r="H4" s="7">
        <f t="shared" si="0"/>
        <v>2023</v>
      </c>
      <c r="I4" s="7" t="str">
        <f t="shared" si="1"/>
        <v>November</v>
      </c>
      <c r="J4" s="8" t="str">
        <f t="shared" si="2"/>
        <v>Monday</v>
      </c>
      <c r="K4" s="11">
        <v>0.90322916666666664</v>
      </c>
      <c r="L4" s="14">
        <f t="shared" si="3"/>
        <v>21</v>
      </c>
      <c r="M4" s="7">
        <f t="shared" si="4"/>
        <v>40</v>
      </c>
      <c r="N4" s="7">
        <f t="shared" si="5"/>
        <v>39</v>
      </c>
      <c r="O4" s="9" t="s">
        <v>26</v>
      </c>
      <c r="P4" s="9" t="s">
        <v>27</v>
      </c>
      <c r="Q4" s="9">
        <v>12</v>
      </c>
      <c r="R4" s="12">
        <v>500</v>
      </c>
      <c r="S4" s="12">
        <f>VLOOKUP(O4,'Product-cost'!A:B,2,)</f>
        <v>200</v>
      </c>
      <c r="T4" s="9" t="s">
        <v>28</v>
      </c>
      <c r="U4" s="9" t="s">
        <v>29</v>
      </c>
      <c r="V4" s="9" t="s">
        <v>870</v>
      </c>
      <c r="W4" s="9" t="s">
        <v>894</v>
      </c>
      <c r="X4" s="12">
        <f t="shared" si="6"/>
        <v>6000</v>
      </c>
      <c r="Y4" s="12">
        <f t="shared" si="7"/>
        <v>2400</v>
      </c>
      <c r="Z4" s="16">
        <f>VLOOKUP(T4,Taxrate!A:B,2,FALSE)</f>
        <v>0.2</v>
      </c>
      <c r="AA4" s="12">
        <f t="shared" si="8"/>
        <v>1200</v>
      </c>
      <c r="AB4" s="16">
        <f>VLOOKUP('Sales Dataset'!O4,'Discount Rate'!A:B,2,)</f>
        <v>0.08</v>
      </c>
      <c r="AC4" s="12">
        <f t="shared" si="9"/>
        <v>192</v>
      </c>
      <c r="AD4" s="18">
        <f t="shared" si="10"/>
        <v>2399.7200000000003</v>
      </c>
    </row>
    <row r="5" spans="1:30" ht="51" customHeight="1" x14ac:dyDescent="0.35">
      <c r="A5" s="9" t="s">
        <v>30</v>
      </c>
      <c r="B5" s="9" t="s">
        <v>31</v>
      </c>
      <c r="C5" s="9" t="s">
        <v>32</v>
      </c>
      <c r="D5" s="20" t="s">
        <v>33</v>
      </c>
      <c r="E5" s="9" t="s">
        <v>905</v>
      </c>
      <c r="F5" s="9" t="s">
        <v>906</v>
      </c>
      <c r="G5" s="8">
        <v>45415</v>
      </c>
      <c r="H5" s="7">
        <f t="shared" si="0"/>
        <v>2024</v>
      </c>
      <c r="I5" s="7" t="str">
        <f t="shared" si="1"/>
        <v>May</v>
      </c>
      <c r="J5" s="8" t="str">
        <f t="shared" si="2"/>
        <v>Friday</v>
      </c>
      <c r="K5" s="11">
        <v>0.83313657407407404</v>
      </c>
      <c r="L5" s="14">
        <f t="shared" si="3"/>
        <v>19</v>
      </c>
      <c r="M5" s="7">
        <f t="shared" si="4"/>
        <v>59</v>
      </c>
      <c r="N5" s="7">
        <f t="shared" si="5"/>
        <v>43</v>
      </c>
      <c r="O5" s="9" t="s">
        <v>13</v>
      </c>
      <c r="P5" s="9" t="s">
        <v>14</v>
      </c>
      <c r="Q5" s="9">
        <v>3</v>
      </c>
      <c r="R5" s="12">
        <v>922.41</v>
      </c>
      <c r="S5" s="12">
        <f>VLOOKUP(O5,'Product-cost'!A:B,2,)</f>
        <v>600</v>
      </c>
      <c r="T5" s="9" t="s">
        <v>34</v>
      </c>
      <c r="U5" s="9" t="s">
        <v>35</v>
      </c>
      <c r="V5" s="9" t="s">
        <v>871</v>
      </c>
      <c r="W5" s="9" t="s">
        <v>894</v>
      </c>
      <c r="X5" s="12">
        <f t="shared" si="6"/>
        <v>2767.23</v>
      </c>
      <c r="Y5" s="12">
        <f t="shared" si="7"/>
        <v>1800</v>
      </c>
      <c r="Z5" s="16">
        <f>VLOOKUP(T5,Taxrate!A:B,2,FALSE)</f>
        <v>0.15</v>
      </c>
      <c r="AA5" s="12">
        <f t="shared" si="8"/>
        <v>415.08449999999999</v>
      </c>
      <c r="AB5" s="16">
        <f>VLOOKUP('Sales Dataset'!O5,'Discount Rate'!A:B,2,)</f>
        <v>0.05</v>
      </c>
      <c r="AC5" s="12">
        <f t="shared" si="9"/>
        <v>90</v>
      </c>
      <c r="AD5" s="18">
        <f t="shared" si="10"/>
        <v>1799.8</v>
      </c>
    </row>
    <row r="6" spans="1:30" ht="51" customHeight="1" x14ac:dyDescent="0.35">
      <c r="A6" s="9" t="s">
        <v>36</v>
      </c>
      <c r="B6" s="9" t="s">
        <v>37</v>
      </c>
      <c r="C6" s="9" t="s">
        <v>38</v>
      </c>
      <c r="D6" s="20" t="s">
        <v>39</v>
      </c>
      <c r="E6" s="9" t="s">
        <v>907</v>
      </c>
      <c r="F6" s="9" t="s">
        <v>908</v>
      </c>
      <c r="G6" s="8">
        <v>45661</v>
      </c>
      <c r="H6" s="7">
        <f t="shared" si="0"/>
        <v>2025</v>
      </c>
      <c r="I6" s="7" t="str">
        <f t="shared" si="1"/>
        <v>January</v>
      </c>
      <c r="J6" s="8" t="str">
        <f t="shared" si="2"/>
        <v>Saturday</v>
      </c>
      <c r="K6" s="11">
        <v>0.38469907407407405</v>
      </c>
      <c r="L6" s="14">
        <f t="shared" si="3"/>
        <v>9</v>
      </c>
      <c r="M6" s="7">
        <f t="shared" si="4"/>
        <v>13</v>
      </c>
      <c r="N6" s="7">
        <f t="shared" si="5"/>
        <v>58</v>
      </c>
      <c r="O6" s="9" t="s">
        <v>40</v>
      </c>
      <c r="P6" s="9" t="s">
        <v>41</v>
      </c>
      <c r="Q6" s="9">
        <v>6</v>
      </c>
      <c r="R6" s="12">
        <v>230.92</v>
      </c>
      <c r="S6" s="12">
        <f>VLOOKUP(O6,'Product-cost'!A:B,2,)</f>
        <v>150</v>
      </c>
      <c r="T6" s="9" t="s">
        <v>34</v>
      </c>
      <c r="U6" s="9" t="s">
        <v>42</v>
      </c>
      <c r="V6" s="9" t="s">
        <v>872</v>
      </c>
      <c r="W6" s="9" t="s">
        <v>896</v>
      </c>
      <c r="X6" s="12">
        <f t="shared" si="6"/>
        <v>1385.52</v>
      </c>
      <c r="Y6" s="12">
        <f t="shared" si="7"/>
        <v>900</v>
      </c>
      <c r="Z6" s="16">
        <f>VLOOKUP(T6,Taxrate!A:B,2,FALSE)</f>
        <v>0.15</v>
      </c>
      <c r="AA6" s="12">
        <f t="shared" si="8"/>
        <v>207.828</v>
      </c>
      <c r="AB6" s="16">
        <f>VLOOKUP('Sales Dataset'!O6,'Discount Rate'!A:B,2,)</f>
        <v>7.0000000000000007E-2</v>
      </c>
      <c r="AC6" s="12">
        <f t="shared" si="9"/>
        <v>63.000000000000007</v>
      </c>
      <c r="AD6" s="18">
        <f t="shared" si="10"/>
        <v>899.78</v>
      </c>
    </row>
    <row r="7" spans="1:30" ht="51" customHeight="1" x14ac:dyDescent="0.35">
      <c r="A7" s="9" t="s">
        <v>43</v>
      </c>
      <c r="B7" s="9" t="s">
        <v>44</v>
      </c>
      <c r="C7" s="9" t="s">
        <v>18</v>
      </c>
      <c r="D7" s="20" t="s">
        <v>19</v>
      </c>
      <c r="E7" s="9" t="s">
        <v>903</v>
      </c>
      <c r="F7" s="9" t="s">
        <v>904</v>
      </c>
      <c r="G7" s="8">
        <v>45911</v>
      </c>
      <c r="H7" s="7">
        <f t="shared" si="0"/>
        <v>2025</v>
      </c>
      <c r="I7" s="7" t="str">
        <f t="shared" si="1"/>
        <v>September</v>
      </c>
      <c r="J7" s="8" t="str">
        <f t="shared" si="2"/>
        <v>Thursday</v>
      </c>
      <c r="K7" s="11">
        <v>0.40836805555555555</v>
      </c>
      <c r="L7" s="14">
        <f t="shared" si="3"/>
        <v>9</v>
      </c>
      <c r="M7" s="7">
        <f t="shared" si="4"/>
        <v>48</v>
      </c>
      <c r="N7" s="7">
        <f t="shared" si="5"/>
        <v>3</v>
      </c>
      <c r="O7" s="9" t="s">
        <v>13</v>
      </c>
      <c r="P7" s="9" t="s">
        <v>14</v>
      </c>
      <c r="Q7" s="9">
        <v>3</v>
      </c>
      <c r="R7" s="12">
        <v>1011.08</v>
      </c>
      <c r="S7" s="12">
        <f>VLOOKUP(O7,'Product-cost'!A:B,2,)</f>
        <v>600</v>
      </c>
      <c r="T7" s="9" t="s">
        <v>45</v>
      </c>
      <c r="U7" s="9" t="s">
        <v>46</v>
      </c>
      <c r="V7" s="9" t="s">
        <v>872</v>
      </c>
      <c r="W7" s="9" t="s">
        <v>896</v>
      </c>
      <c r="X7" s="12">
        <f t="shared" si="6"/>
        <v>3033.2400000000002</v>
      </c>
      <c r="Y7" s="12">
        <f t="shared" si="7"/>
        <v>1800</v>
      </c>
      <c r="Z7" s="16">
        <f>VLOOKUP(T7,Taxrate!A:B,2,FALSE)</f>
        <v>7.0000000000000007E-2</v>
      </c>
      <c r="AA7" s="12">
        <f t="shared" si="8"/>
        <v>212.32680000000005</v>
      </c>
      <c r="AB7" s="16">
        <f>VLOOKUP('Sales Dataset'!O7,'Discount Rate'!A:B,2,)</f>
        <v>0.05</v>
      </c>
      <c r="AC7" s="12">
        <f t="shared" si="9"/>
        <v>90</v>
      </c>
      <c r="AD7" s="18">
        <f t="shared" si="10"/>
        <v>1799.88</v>
      </c>
    </row>
    <row r="8" spans="1:30" ht="51" customHeight="1" x14ac:dyDescent="0.35">
      <c r="A8" s="9" t="s">
        <v>47</v>
      </c>
      <c r="B8" s="9" t="s">
        <v>48</v>
      </c>
      <c r="C8" s="9" t="s">
        <v>11</v>
      </c>
      <c r="D8" s="20" t="s">
        <v>12</v>
      </c>
      <c r="E8" s="9" t="s">
        <v>901</v>
      </c>
      <c r="F8" s="9" t="s">
        <v>902</v>
      </c>
      <c r="G8" s="8">
        <v>46150</v>
      </c>
      <c r="H8" s="7">
        <f t="shared" si="0"/>
        <v>2026</v>
      </c>
      <c r="I8" s="7" t="str">
        <f t="shared" si="1"/>
        <v>May</v>
      </c>
      <c r="J8" s="8" t="str">
        <f t="shared" si="2"/>
        <v>Friday</v>
      </c>
      <c r="K8" s="11">
        <v>0.3878125</v>
      </c>
      <c r="L8" s="14">
        <f t="shared" si="3"/>
        <v>9</v>
      </c>
      <c r="M8" s="7">
        <f t="shared" si="4"/>
        <v>18</v>
      </c>
      <c r="N8" s="7">
        <f t="shared" si="5"/>
        <v>27</v>
      </c>
      <c r="O8" s="9" t="s">
        <v>20</v>
      </c>
      <c r="P8" s="9" t="s">
        <v>21</v>
      </c>
      <c r="Q8" s="9">
        <v>12</v>
      </c>
      <c r="R8" s="12">
        <v>559.02</v>
      </c>
      <c r="S8" s="12">
        <f>VLOOKUP(O8,'Product-cost'!A:B,2,)</f>
        <v>300</v>
      </c>
      <c r="T8" s="9" t="s">
        <v>49</v>
      </c>
      <c r="U8" s="9" t="s">
        <v>29</v>
      </c>
      <c r="V8" s="9" t="s">
        <v>872</v>
      </c>
      <c r="W8" s="9" t="s">
        <v>896</v>
      </c>
      <c r="X8" s="12">
        <f t="shared" si="6"/>
        <v>6708.24</v>
      </c>
      <c r="Y8" s="12">
        <f t="shared" si="7"/>
        <v>3600</v>
      </c>
      <c r="Z8" s="16">
        <f>VLOOKUP(T8,Taxrate!A:B,2,FALSE)</f>
        <v>0.12</v>
      </c>
      <c r="AA8" s="12">
        <f t="shared" si="8"/>
        <v>804.98879999999997</v>
      </c>
      <c r="AB8" s="16">
        <f>VLOOKUP('Sales Dataset'!O8,'Discount Rate'!A:B,2,)</f>
        <v>0.1</v>
      </c>
      <c r="AC8" s="12">
        <f t="shared" si="9"/>
        <v>360</v>
      </c>
      <c r="AD8" s="18">
        <f t="shared" si="10"/>
        <v>3599.78</v>
      </c>
    </row>
    <row r="9" spans="1:30" ht="51" customHeight="1" x14ac:dyDescent="0.35">
      <c r="A9" s="9" t="s">
        <v>50</v>
      </c>
      <c r="B9" s="9" t="s">
        <v>51</v>
      </c>
      <c r="C9" s="9" t="s">
        <v>52</v>
      </c>
      <c r="D9" s="20" t="s">
        <v>53</v>
      </c>
      <c r="E9" s="9" t="s">
        <v>909</v>
      </c>
      <c r="F9" s="9" t="s">
        <v>910</v>
      </c>
      <c r="G9" s="8">
        <v>46013</v>
      </c>
      <c r="H9" s="7">
        <f t="shared" si="0"/>
        <v>2025</v>
      </c>
      <c r="I9" s="7" t="str">
        <f t="shared" si="1"/>
        <v>December</v>
      </c>
      <c r="J9" s="8" t="str">
        <f t="shared" si="2"/>
        <v>Monday</v>
      </c>
      <c r="K9" s="11">
        <v>0.72258101851851853</v>
      </c>
      <c r="L9" s="14">
        <f t="shared" si="3"/>
        <v>17</v>
      </c>
      <c r="M9" s="7">
        <f t="shared" si="4"/>
        <v>20</v>
      </c>
      <c r="N9" s="7">
        <f t="shared" si="5"/>
        <v>31</v>
      </c>
      <c r="O9" s="9" t="s">
        <v>13</v>
      </c>
      <c r="P9" s="9" t="s">
        <v>14</v>
      </c>
      <c r="Q9" s="9">
        <v>6</v>
      </c>
      <c r="R9" s="12">
        <v>1215.83</v>
      </c>
      <c r="S9" s="12">
        <f>VLOOKUP(O9,'Product-cost'!A:B,2,)</f>
        <v>600</v>
      </c>
      <c r="T9" s="9" t="s">
        <v>22</v>
      </c>
      <c r="U9" s="9" t="s">
        <v>54</v>
      </c>
      <c r="V9" s="9" t="s">
        <v>872</v>
      </c>
      <c r="W9" s="9" t="s">
        <v>896</v>
      </c>
      <c r="X9" s="12">
        <f t="shared" si="6"/>
        <v>7294.98</v>
      </c>
      <c r="Y9" s="12">
        <f t="shared" si="7"/>
        <v>3600</v>
      </c>
      <c r="Z9" s="16">
        <f>VLOOKUP(T9,Taxrate!A:B,2,FALSE)</f>
        <v>0.1</v>
      </c>
      <c r="AA9" s="12">
        <f t="shared" si="8"/>
        <v>729.49800000000005</v>
      </c>
      <c r="AB9" s="16">
        <f>VLOOKUP('Sales Dataset'!O9,'Discount Rate'!A:B,2,)</f>
        <v>0.05</v>
      </c>
      <c r="AC9" s="12">
        <f t="shared" si="9"/>
        <v>180</v>
      </c>
      <c r="AD9" s="18">
        <f t="shared" si="10"/>
        <v>3599.85</v>
      </c>
    </row>
    <row r="10" spans="1:30" ht="51" customHeight="1" x14ac:dyDescent="0.35">
      <c r="A10" s="9" t="s">
        <v>55</v>
      </c>
      <c r="B10" s="9" t="s">
        <v>56</v>
      </c>
      <c r="C10" s="9" t="s">
        <v>57</v>
      </c>
      <c r="D10" s="20" t="s">
        <v>12</v>
      </c>
      <c r="E10" s="9" t="s">
        <v>901</v>
      </c>
      <c r="F10" s="9" t="s">
        <v>902</v>
      </c>
      <c r="G10" s="8">
        <v>45189</v>
      </c>
      <c r="H10" s="7">
        <f t="shared" si="0"/>
        <v>2023</v>
      </c>
      <c r="I10" s="7" t="str">
        <f t="shared" si="1"/>
        <v>September</v>
      </c>
      <c r="J10" s="8" t="str">
        <f t="shared" si="2"/>
        <v>Wednesday</v>
      </c>
      <c r="K10" s="11">
        <v>0.67379629629629634</v>
      </c>
      <c r="L10" s="14">
        <f t="shared" si="3"/>
        <v>16</v>
      </c>
      <c r="M10" s="7">
        <f t="shared" si="4"/>
        <v>10</v>
      </c>
      <c r="N10" s="7">
        <f t="shared" si="5"/>
        <v>16</v>
      </c>
      <c r="O10" s="9" t="s">
        <v>40</v>
      </c>
      <c r="P10" s="9" t="s">
        <v>41</v>
      </c>
      <c r="Q10" s="9">
        <v>7</v>
      </c>
      <c r="R10" s="12">
        <v>278.18</v>
      </c>
      <c r="S10" s="12">
        <f>VLOOKUP(O10,'Product-cost'!A:B,2,)</f>
        <v>150</v>
      </c>
      <c r="T10" s="9" t="s">
        <v>28</v>
      </c>
      <c r="U10" s="9" t="s">
        <v>29</v>
      </c>
      <c r="V10" s="9" t="s">
        <v>869</v>
      </c>
      <c r="W10" s="9" t="s">
        <v>894</v>
      </c>
      <c r="X10" s="12">
        <f t="shared" si="6"/>
        <v>1947.26</v>
      </c>
      <c r="Y10" s="12">
        <f t="shared" si="7"/>
        <v>1050</v>
      </c>
      <c r="Z10" s="16">
        <f>VLOOKUP(T10,Taxrate!A:B,2,FALSE)</f>
        <v>0.2</v>
      </c>
      <c r="AA10" s="12">
        <f t="shared" si="8"/>
        <v>389.452</v>
      </c>
      <c r="AB10" s="16">
        <f>VLOOKUP('Sales Dataset'!O10,'Discount Rate'!A:B,2,)</f>
        <v>7.0000000000000007E-2</v>
      </c>
      <c r="AC10" s="12">
        <f t="shared" si="9"/>
        <v>73.5</v>
      </c>
      <c r="AD10" s="18">
        <f t="shared" si="10"/>
        <v>1049.73</v>
      </c>
    </row>
    <row r="11" spans="1:30" ht="51" customHeight="1" x14ac:dyDescent="0.35">
      <c r="A11" s="9" t="s">
        <v>58</v>
      </c>
      <c r="B11" s="9" t="s">
        <v>59</v>
      </c>
      <c r="C11" s="9" t="s">
        <v>60</v>
      </c>
      <c r="D11" s="20" t="s">
        <v>61</v>
      </c>
      <c r="E11" s="9" t="s">
        <v>911</v>
      </c>
      <c r="F11" s="9" t="s">
        <v>912</v>
      </c>
      <c r="G11" s="8">
        <v>44970</v>
      </c>
      <c r="H11" s="7">
        <f t="shared" si="0"/>
        <v>2023</v>
      </c>
      <c r="I11" s="7" t="str">
        <f t="shared" si="1"/>
        <v>February</v>
      </c>
      <c r="J11" s="8" t="str">
        <f t="shared" si="2"/>
        <v>Monday</v>
      </c>
      <c r="K11" s="11">
        <v>0.71805555555555556</v>
      </c>
      <c r="L11" s="14">
        <f t="shared" si="3"/>
        <v>17</v>
      </c>
      <c r="M11" s="7">
        <f t="shared" si="4"/>
        <v>14</v>
      </c>
      <c r="N11" s="7">
        <f t="shared" si="5"/>
        <v>0</v>
      </c>
      <c r="O11" s="9" t="s">
        <v>13</v>
      </c>
      <c r="P11" s="9" t="s">
        <v>14</v>
      </c>
      <c r="Q11" s="9">
        <v>1</v>
      </c>
      <c r="R11" s="12">
        <v>1252.71</v>
      </c>
      <c r="S11" s="12">
        <f>VLOOKUP(O11,'Product-cost'!A:B,2,)</f>
        <v>600</v>
      </c>
      <c r="T11" s="9" t="s">
        <v>22</v>
      </c>
      <c r="U11" s="9" t="s">
        <v>62</v>
      </c>
      <c r="V11" s="9" t="s">
        <v>873</v>
      </c>
      <c r="W11" s="9" t="s">
        <v>895</v>
      </c>
      <c r="X11" s="12">
        <f t="shared" si="6"/>
        <v>1252.71</v>
      </c>
      <c r="Y11" s="12">
        <f t="shared" si="7"/>
        <v>600</v>
      </c>
      <c r="Z11" s="16">
        <f>VLOOKUP(T11,Taxrate!A:B,2,FALSE)</f>
        <v>0.1</v>
      </c>
      <c r="AA11" s="12">
        <f t="shared" si="8"/>
        <v>125.27100000000002</v>
      </c>
      <c r="AB11" s="16">
        <f>VLOOKUP('Sales Dataset'!O11,'Discount Rate'!A:B,2,)</f>
        <v>0.05</v>
      </c>
      <c r="AC11" s="12">
        <f t="shared" si="9"/>
        <v>30</v>
      </c>
      <c r="AD11" s="18">
        <f t="shared" si="10"/>
        <v>599.85</v>
      </c>
    </row>
    <row r="12" spans="1:30" ht="51" customHeight="1" x14ac:dyDescent="0.35">
      <c r="A12" s="9" t="s">
        <v>63</v>
      </c>
      <c r="B12" s="9" t="s">
        <v>64</v>
      </c>
      <c r="C12" s="9" t="s">
        <v>65</v>
      </c>
      <c r="D12" s="20" t="s">
        <v>53</v>
      </c>
      <c r="E12" s="9" t="s">
        <v>909</v>
      </c>
      <c r="F12" s="9" t="s">
        <v>910</v>
      </c>
      <c r="G12" s="8">
        <v>45895</v>
      </c>
      <c r="H12" s="7">
        <f t="shared" si="0"/>
        <v>2025</v>
      </c>
      <c r="I12" s="7" t="str">
        <f t="shared" si="1"/>
        <v>August</v>
      </c>
      <c r="J12" s="8" t="str">
        <f t="shared" si="2"/>
        <v>Tuesday</v>
      </c>
      <c r="K12" s="11">
        <v>0.46256944444444442</v>
      </c>
      <c r="L12" s="14">
        <f t="shared" si="3"/>
        <v>11</v>
      </c>
      <c r="M12" s="7">
        <f t="shared" si="4"/>
        <v>6</v>
      </c>
      <c r="N12" s="7">
        <f t="shared" si="5"/>
        <v>6</v>
      </c>
      <c r="O12" s="9" t="s">
        <v>66</v>
      </c>
      <c r="P12" s="9" t="s">
        <v>67</v>
      </c>
      <c r="Q12" s="9">
        <v>7</v>
      </c>
      <c r="R12" s="12">
        <v>174.68</v>
      </c>
      <c r="S12" s="12">
        <f>VLOOKUP(O12,'Product-cost'!A:B,2,)</f>
        <v>50</v>
      </c>
      <c r="T12" s="9" t="s">
        <v>45</v>
      </c>
      <c r="U12" s="9" t="s">
        <v>68</v>
      </c>
      <c r="V12" s="9" t="s">
        <v>870</v>
      </c>
      <c r="W12" s="9" t="s">
        <v>894</v>
      </c>
      <c r="X12" s="12">
        <f t="shared" si="6"/>
        <v>1222.76</v>
      </c>
      <c r="Y12" s="12">
        <f t="shared" si="7"/>
        <v>350</v>
      </c>
      <c r="Z12" s="16">
        <f>VLOOKUP(T12,Taxrate!A:B,2,FALSE)</f>
        <v>7.0000000000000007E-2</v>
      </c>
      <c r="AA12" s="12">
        <f t="shared" si="8"/>
        <v>85.59320000000001</v>
      </c>
      <c r="AB12" s="16">
        <f>VLOOKUP('Sales Dataset'!O12,'Discount Rate'!A:B,2,)</f>
        <v>0.03</v>
      </c>
      <c r="AC12" s="12">
        <f t="shared" si="9"/>
        <v>10.5</v>
      </c>
      <c r="AD12" s="18">
        <f t="shared" si="10"/>
        <v>349.90000000000003</v>
      </c>
    </row>
    <row r="13" spans="1:30" ht="51" customHeight="1" x14ac:dyDescent="0.35">
      <c r="A13" s="9" t="s">
        <v>69</v>
      </c>
      <c r="B13" s="9" t="s">
        <v>70</v>
      </c>
      <c r="C13" s="9" t="s">
        <v>52</v>
      </c>
      <c r="D13" s="20" t="s">
        <v>53</v>
      </c>
      <c r="E13" s="9" t="s">
        <v>909</v>
      </c>
      <c r="F13" s="9" t="s">
        <v>910</v>
      </c>
      <c r="G13" s="8">
        <v>45785</v>
      </c>
      <c r="H13" s="7">
        <f t="shared" si="0"/>
        <v>2025</v>
      </c>
      <c r="I13" s="7" t="str">
        <f t="shared" si="1"/>
        <v>May</v>
      </c>
      <c r="J13" s="8" t="str">
        <f t="shared" si="2"/>
        <v>Thursday</v>
      </c>
      <c r="K13" s="11">
        <v>0.91601851851851857</v>
      </c>
      <c r="L13" s="14">
        <f t="shared" si="3"/>
        <v>21</v>
      </c>
      <c r="M13" s="7">
        <f t="shared" si="4"/>
        <v>59</v>
      </c>
      <c r="N13" s="7">
        <f t="shared" si="5"/>
        <v>4</v>
      </c>
      <c r="O13" s="9" t="s">
        <v>66</v>
      </c>
      <c r="P13" s="9" t="s">
        <v>67</v>
      </c>
      <c r="Q13" s="9">
        <v>14</v>
      </c>
      <c r="R13" s="12">
        <v>123.79</v>
      </c>
      <c r="S13" s="12">
        <f>VLOOKUP(O13,'Product-cost'!A:B,2,)</f>
        <v>50</v>
      </c>
      <c r="T13" s="9" t="s">
        <v>49</v>
      </c>
      <c r="U13" s="9" t="s">
        <v>68</v>
      </c>
      <c r="V13" s="9" t="s">
        <v>871</v>
      </c>
      <c r="W13" s="9" t="s">
        <v>894</v>
      </c>
      <c r="X13" s="12">
        <f t="shared" si="6"/>
        <v>1733.0600000000002</v>
      </c>
      <c r="Y13" s="12">
        <f t="shared" si="7"/>
        <v>700</v>
      </c>
      <c r="Z13" s="16">
        <f>VLOOKUP(T13,Taxrate!A:B,2,FALSE)</f>
        <v>0.12</v>
      </c>
      <c r="AA13" s="12">
        <f t="shared" si="8"/>
        <v>207.96720000000002</v>
      </c>
      <c r="AB13" s="16">
        <f>VLOOKUP('Sales Dataset'!O13,'Discount Rate'!A:B,2,)</f>
        <v>0.03</v>
      </c>
      <c r="AC13" s="12">
        <f t="shared" si="9"/>
        <v>21</v>
      </c>
      <c r="AD13" s="18">
        <f t="shared" si="10"/>
        <v>699.85</v>
      </c>
    </row>
    <row r="14" spans="1:30" ht="51" customHeight="1" x14ac:dyDescent="0.35">
      <c r="A14" s="9" t="s">
        <v>71</v>
      </c>
      <c r="B14" s="9" t="s">
        <v>72</v>
      </c>
      <c r="C14" s="9" t="s">
        <v>38</v>
      </c>
      <c r="D14" s="20" t="s">
        <v>39</v>
      </c>
      <c r="E14" s="9" t="s">
        <v>907</v>
      </c>
      <c r="F14" s="9" t="s">
        <v>908</v>
      </c>
      <c r="G14" s="8">
        <v>45703</v>
      </c>
      <c r="H14" s="7">
        <f t="shared" si="0"/>
        <v>2025</v>
      </c>
      <c r="I14" s="7" t="str">
        <f t="shared" si="1"/>
        <v>February</v>
      </c>
      <c r="J14" s="8" t="str">
        <f t="shared" si="2"/>
        <v>Saturday</v>
      </c>
      <c r="K14" s="11">
        <v>0.59512731481481485</v>
      </c>
      <c r="L14" s="14">
        <f t="shared" si="3"/>
        <v>14</v>
      </c>
      <c r="M14" s="7">
        <f t="shared" si="4"/>
        <v>16</v>
      </c>
      <c r="N14" s="7">
        <f t="shared" si="5"/>
        <v>59</v>
      </c>
      <c r="O14" s="9" t="s">
        <v>66</v>
      </c>
      <c r="P14" s="9" t="s">
        <v>67</v>
      </c>
      <c r="Q14" s="9">
        <v>12</v>
      </c>
      <c r="R14" s="12">
        <v>194.66</v>
      </c>
      <c r="S14" s="12">
        <f>VLOOKUP(O14,'Product-cost'!A:B,2,)</f>
        <v>50</v>
      </c>
      <c r="T14" s="9" t="s">
        <v>49</v>
      </c>
      <c r="U14" s="9" t="s">
        <v>73</v>
      </c>
      <c r="V14" s="9" t="s">
        <v>873</v>
      </c>
      <c r="W14" s="9" t="s">
        <v>895</v>
      </c>
      <c r="X14" s="12">
        <f t="shared" si="6"/>
        <v>2335.92</v>
      </c>
      <c r="Y14" s="12">
        <f t="shared" si="7"/>
        <v>600</v>
      </c>
      <c r="Z14" s="16">
        <f>VLOOKUP(T14,Taxrate!A:B,2,FALSE)</f>
        <v>0.12</v>
      </c>
      <c r="AA14" s="12">
        <f t="shared" si="8"/>
        <v>280.31040000000002</v>
      </c>
      <c r="AB14" s="16">
        <f>VLOOKUP('Sales Dataset'!O14,'Discount Rate'!A:B,2,)</f>
        <v>0.03</v>
      </c>
      <c r="AC14" s="12">
        <f t="shared" si="9"/>
        <v>18</v>
      </c>
      <c r="AD14" s="18">
        <f t="shared" si="10"/>
        <v>599.85</v>
      </c>
    </row>
    <row r="15" spans="1:30" ht="51" customHeight="1" x14ac:dyDescent="0.35">
      <c r="A15" s="9" t="s">
        <v>74</v>
      </c>
      <c r="B15" s="9" t="s">
        <v>75</v>
      </c>
      <c r="C15" s="9" t="s">
        <v>76</v>
      </c>
      <c r="D15" s="20" t="s">
        <v>33</v>
      </c>
      <c r="E15" s="9" t="s">
        <v>905</v>
      </c>
      <c r="F15" s="9" t="s">
        <v>906</v>
      </c>
      <c r="G15" s="8">
        <v>45029</v>
      </c>
      <c r="H15" s="7">
        <f t="shared" si="0"/>
        <v>2023</v>
      </c>
      <c r="I15" s="7" t="str">
        <f t="shared" si="1"/>
        <v>April</v>
      </c>
      <c r="J15" s="8" t="str">
        <f t="shared" si="2"/>
        <v>Thursday</v>
      </c>
      <c r="K15" s="11">
        <v>0.70756944444444447</v>
      </c>
      <c r="L15" s="14">
        <f t="shared" si="3"/>
        <v>16</v>
      </c>
      <c r="M15" s="7">
        <f t="shared" si="4"/>
        <v>58</v>
      </c>
      <c r="N15" s="7">
        <f t="shared" si="5"/>
        <v>54</v>
      </c>
      <c r="O15" s="9" t="s">
        <v>40</v>
      </c>
      <c r="P15" s="9" t="s">
        <v>41</v>
      </c>
      <c r="Q15" s="9">
        <v>9</v>
      </c>
      <c r="R15" s="12">
        <v>500</v>
      </c>
      <c r="S15" s="12">
        <f>VLOOKUP(O15,'Product-cost'!A:B,2,)</f>
        <v>150</v>
      </c>
      <c r="T15" s="9" t="s">
        <v>28</v>
      </c>
      <c r="U15" s="9" t="s">
        <v>77</v>
      </c>
      <c r="V15" s="9" t="s">
        <v>872</v>
      </c>
      <c r="W15" s="9" t="s">
        <v>896</v>
      </c>
      <c r="X15" s="12">
        <f t="shared" si="6"/>
        <v>4500</v>
      </c>
      <c r="Y15" s="12">
        <f t="shared" si="7"/>
        <v>1350</v>
      </c>
      <c r="Z15" s="16">
        <f>VLOOKUP(T15,Taxrate!A:B,2,FALSE)</f>
        <v>0.2</v>
      </c>
      <c r="AA15" s="12">
        <f t="shared" si="8"/>
        <v>900</v>
      </c>
      <c r="AB15" s="16">
        <f>VLOOKUP('Sales Dataset'!O15,'Discount Rate'!A:B,2,)</f>
        <v>7.0000000000000007E-2</v>
      </c>
      <c r="AC15" s="12">
        <f t="shared" si="9"/>
        <v>94.500000000000014</v>
      </c>
      <c r="AD15" s="18">
        <f t="shared" si="10"/>
        <v>1349.73</v>
      </c>
    </row>
    <row r="16" spans="1:30" ht="51" customHeight="1" x14ac:dyDescent="0.35">
      <c r="A16" s="9" t="s">
        <v>78</v>
      </c>
      <c r="B16" s="9" t="s">
        <v>79</v>
      </c>
      <c r="C16" s="9" t="s">
        <v>38</v>
      </c>
      <c r="D16" s="20" t="s">
        <v>39</v>
      </c>
      <c r="E16" s="9" t="s">
        <v>907</v>
      </c>
      <c r="F16" s="9" t="s">
        <v>908</v>
      </c>
      <c r="G16" s="8">
        <v>45094</v>
      </c>
      <c r="H16" s="7">
        <f t="shared" si="0"/>
        <v>2023</v>
      </c>
      <c r="I16" s="7" t="str">
        <f t="shared" si="1"/>
        <v>June</v>
      </c>
      <c r="J16" s="8" t="str">
        <f t="shared" si="2"/>
        <v>Saturday</v>
      </c>
      <c r="K16" s="11">
        <v>0.77611111111111108</v>
      </c>
      <c r="L16" s="14">
        <f t="shared" si="3"/>
        <v>18</v>
      </c>
      <c r="M16" s="7">
        <f t="shared" si="4"/>
        <v>37</v>
      </c>
      <c r="N16" s="7">
        <f t="shared" si="5"/>
        <v>36</v>
      </c>
      <c r="O16" s="9" t="s">
        <v>40</v>
      </c>
      <c r="P16" s="9" t="s">
        <v>41</v>
      </c>
      <c r="Q16" s="9">
        <v>5</v>
      </c>
      <c r="R16" s="12">
        <v>254.78</v>
      </c>
      <c r="S16" s="12">
        <f>VLOOKUP(O16,'Product-cost'!A:B,2,)</f>
        <v>150</v>
      </c>
      <c r="T16" s="9" t="s">
        <v>28</v>
      </c>
      <c r="U16" s="9" t="s">
        <v>80</v>
      </c>
      <c r="V16" s="9" t="s">
        <v>874</v>
      </c>
      <c r="W16" s="9" t="s">
        <v>894</v>
      </c>
      <c r="X16" s="12">
        <f t="shared" si="6"/>
        <v>1273.9000000000001</v>
      </c>
      <c r="Y16" s="12">
        <f t="shared" si="7"/>
        <v>750</v>
      </c>
      <c r="Z16" s="16">
        <f>VLOOKUP(T16,Taxrate!A:B,2,FALSE)</f>
        <v>0.2</v>
      </c>
      <c r="AA16" s="12">
        <f t="shared" si="8"/>
        <v>254.78000000000003</v>
      </c>
      <c r="AB16" s="16">
        <f>VLOOKUP('Sales Dataset'!O16,'Discount Rate'!A:B,2,)</f>
        <v>7.0000000000000007E-2</v>
      </c>
      <c r="AC16" s="12">
        <f t="shared" si="9"/>
        <v>52.500000000000007</v>
      </c>
      <c r="AD16" s="18">
        <f t="shared" si="10"/>
        <v>749.7299999999999</v>
      </c>
    </row>
    <row r="17" spans="1:30" ht="51" customHeight="1" x14ac:dyDescent="0.35">
      <c r="A17" s="9" t="s">
        <v>81</v>
      </c>
      <c r="B17" s="9" t="s">
        <v>82</v>
      </c>
      <c r="C17" s="9" t="s">
        <v>83</v>
      </c>
      <c r="D17" s="20" t="s">
        <v>84</v>
      </c>
      <c r="E17" s="9" t="s">
        <v>913</v>
      </c>
      <c r="F17" s="9" t="s">
        <v>914</v>
      </c>
      <c r="G17" s="8">
        <v>45131</v>
      </c>
      <c r="H17" s="7">
        <f t="shared" si="0"/>
        <v>2023</v>
      </c>
      <c r="I17" s="7" t="str">
        <f t="shared" si="1"/>
        <v>July</v>
      </c>
      <c r="J17" s="8" t="str">
        <f t="shared" si="2"/>
        <v>Monday</v>
      </c>
      <c r="K17" s="11">
        <v>0.67606481481481484</v>
      </c>
      <c r="L17" s="14">
        <f t="shared" si="3"/>
        <v>16</v>
      </c>
      <c r="M17" s="7">
        <f t="shared" si="4"/>
        <v>13</v>
      </c>
      <c r="N17" s="7">
        <f t="shared" si="5"/>
        <v>32</v>
      </c>
      <c r="O17" s="9" t="s">
        <v>26</v>
      </c>
      <c r="P17" s="9" t="s">
        <v>27</v>
      </c>
      <c r="Q17" s="9">
        <v>6</v>
      </c>
      <c r="R17" s="12">
        <v>495.85</v>
      </c>
      <c r="S17" s="12">
        <f>VLOOKUP(O17,'Product-cost'!A:B,2,)</f>
        <v>200</v>
      </c>
      <c r="T17" s="9" t="s">
        <v>22</v>
      </c>
      <c r="U17" s="9" t="s">
        <v>85</v>
      </c>
      <c r="V17" s="9" t="s">
        <v>872</v>
      </c>
      <c r="W17" s="9" t="s">
        <v>896</v>
      </c>
      <c r="X17" s="12">
        <f t="shared" si="6"/>
        <v>2975.1000000000004</v>
      </c>
      <c r="Y17" s="12">
        <f t="shared" si="7"/>
        <v>1200</v>
      </c>
      <c r="Z17" s="16">
        <f>VLOOKUP(T17,Taxrate!A:B,2,FALSE)</f>
        <v>0.1</v>
      </c>
      <c r="AA17" s="12">
        <f t="shared" si="8"/>
        <v>297.51000000000005</v>
      </c>
      <c r="AB17" s="16">
        <f>VLOOKUP('Sales Dataset'!O17,'Discount Rate'!A:B,2,)</f>
        <v>0.08</v>
      </c>
      <c r="AC17" s="12">
        <f t="shared" si="9"/>
        <v>96</v>
      </c>
      <c r="AD17" s="18">
        <f t="shared" si="10"/>
        <v>1199.8200000000002</v>
      </c>
    </row>
    <row r="18" spans="1:30" ht="51" customHeight="1" x14ac:dyDescent="0.35">
      <c r="A18" s="9" t="s">
        <v>86</v>
      </c>
      <c r="B18" s="9" t="s">
        <v>87</v>
      </c>
      <c r="C18" s="9" t="s">
        <v>57</v>
      </c>
      <c r="D18" s="20" t="s">
        <v>12</v>
      </c>
      <c r="E18" s="9" t="s">
        <v>901</v>
      </c>
      <c r="F18" s="9" t="s">
        <v>902</v>
      </c>
      <c r="G18" s="8">
        <v>46285</v>
      </c>
      <c r="H18" s="7">
        <f t="shared" si="0"/>
        <v>2026</v>
      </c>
      <c r="I18" s="7" t="str">
        <f t="shared" si="1"/>
        <v>September</v>
      </c>
      <c r="J18" s="8" t="str">
        <f t="shared" si="2"/>
        <v>Sunday</v>
      </c>
      <c r="K18" s="11">
        <v>0.42785879629629631</v>
      </c>
      <c r="L18" s="14">
        <f t="shared" si="3"/>
        <v>10</v>
      </c>
      <c r="M18" s="7">
        <f t="shared" si="4"/>
        <v>16</v>
      </c>
      <c r="N18" s="7">
        <f t="shared" si="5"/>
        <v>7</v>
      </c>
      <c r="O18" s="9" t="s">
        <v>13</v>
      </c>
      <c r="P18" s="9" t="s">
        <v>14</v>
      </c>
      <c r="Q18" s="9">
        <v>3</v>
      </c>
      <c r="R18" s="12">
        <v>1102.4100000000001</v>
      </c>
      <c r="S18" s="12">
        <f>VLOOKUP(O18,'Product-cost'!A:B,2,)</f>
        <v>600</v>
      </c>
      <c r="T18" s="9" t="s">
        <v>22</v>
      </c>
      <c r="U18" s="9" t="s">
        <v>15</v>
      </c>
      <c r="V18" s="9" t="s">
        <v>875</v>
      </c>
      <c r="W18" s="9" t="s">
        <v>894</v>
      </c>
      <c r="X18" s="12">
        <f t="shared" si="6"/>
        <v>3307.2300000000005</v>
      </c>
      <c r="Y18" s="12">
        <f t="shared" si="7"/>
        <v>1800</v>
      </c>
      <c r="Z18" s="16">
        <f>VLOOKUP(T18,Taxrate!A:B,2,FALSE)</f>
        <v>0.1</v>
      </c>
      <c r="AA18" s="12">
        <f t="shared" si="8"/>
        <v>330.72300000000007</v>
      </c>
      <c r="AB18" s="16">
        <f>VLOOKUP('Sales Dataset'!O18,'Discount Rate'!A:B,2,)</f>
        <v>0.05</v>
      </c>
      <c r="AC18" s="12">
        <f t="shared" si="9"/>
        <v>90</v>
      </c>
      <c r="AD18" s="18">
        <f t="shared" si="10"/>
        <v>1799.8500000000001</v>
      </c>
    </row>
    <row r="19" spans="1:30" ht="51" customHeight="1" x14ac:dyDescent="0.35">
      <c r="A19" s="9" t="s">
        <v>88</v>
      </c>
      <c r="B19" s="9" t="s">
        <v>89</v>
      </c>
      <c r="C19" s="9" t="s">
        <v>90</v>
      </c>
      <c r="D19" s="20" t="s">
        <v>91</v>
      </c>
      <c r="E19" s="9" t="s">
        <v>915</v>
      </c>
      <c r="F19" s="9" t="s">
        <v>916</v>
      </c>
      <c r="G19" s="8">
        <v>44930</v>
      </c>
      <c r="H19" s="7">
        <f t="shared" si="0"/>
        <v>2023</v>
      </c>
      <c r="I19" s="7" t="str">
        <f t="shared" si="1"/>
        <v>January</v>
      </c>
      <c r="J19" s="8" t="str">
        <f t="shared" si="2"/>
        <v>Wednesday</v>
      </c>
      <c r="K19" s="11">
        <v>0.57578703703703704</v>
      </c>
      <c r="L19" s="14">
        <f t="shared" si="3"/>
        <v>13</v>
      </c>
      <c r="M19" s="7">
        <f t="shared" si="4"/>
        <v>49</v>
      </c>
      <c r="N19" s="7">
        <f t="shared" si="5"/>
        <v>8</v>
      </c>
      <c r="O19" s="9" t="s">
        <v>26</v>
      </c>
      <c r="P19" s="9" t="s">
        <v>27</v>
      </c>
      <c r="Q19" s="9">
        <v>8</v>
      </c>
      <c r="R19" s="12">
        <v>405.54</v>
      </c>
      <c r="S19" s="12">
        <f>VLOOKUP(O19,'Product-cost'!A:B,2,)</f>
        <v>200</v>
      </c>
      <c r="T19" s="9" t="s">
        <v>45</v>
      </c>
      <c r="U19" s="9" t="s">
        <v>92</v>
      </c>
      <c r="V19" s="9" t="s">
        <v>876</v>
      </c>
      <c r="W19" s="9" t="s">
        <v>896</v>
      </c>
      <c r="X19" s="12">
        <f t="shared" si="6"/>
        <v>3244.32</v>
      </c>
      <c r="Y19" s="12">
        <f t="shared" si="7"/>
        <v>1600</v>
      </c>
      <c r="Z19" s="16">
        <f>VLOOKUP(T19,Taxrate!A:B,2,FALSE)</f>
        <v>7.0000000000000007E-2</v>
      </c>
      <c r="AA19" s="12">
        <f t="shared" si="8"/>
        <v>227.10240000000005</v>
      </c>
      <c r="AB19" s="16">
        <f>VLOOKUP('Sales Dataset'!O19,'Discount Rate'!A:B,2,)</f>
        <v>0.08</v>
      </c>
      <c r="AC19" s="12">
        <f t="shared" si="9"/>
        <v>128</v>
      </c>
      <c r="AD19" s="18">
        <f t="shared" si="10"/>
        <v>1599.8500000000001</v>
      </c>
    </row>
    <row r="20" spans="1:30" ht="51" customHeight="1" x14ac:dyDescent="0.35">
      <c r="A20" s="9" t="s">
        <v>93</v>
      </c>
      <c r="B20" s="9" t="s">
        <v>94</v>
      </c>
      <c r="C20" s="9" t="s">
        <v>90</v>
      </c>
      <c r="D20" s="20" t="s">
        <v>91</v>
      </c>
      <c r="E20" s="9" t="s">
        <v>915</v>
      </c>
      <c r="F20" s="9" t="s">
        <v>916</v>
      </c>
      <c r="G20" s="8">
        <v>45012</v>
      </c>
      <c r="H20" s="7">
        <f t="shared" si="0"/>
        <v>2023</v>
      </c>
      <c r="I20" s="7" t="str">
        <f t="shared" si="1"/>
        <v>March</v>
      </c>
      <c r="J20" s="8" t="str">
        <f t="shared" si="2"/>
        <v>Monday</v>
      </c>
      <c r="K20" s="11">
        <v>0.58193287037037034</v>
      </c>
      <c r="L20" s="14">
        <f t="shared" si="3"/>
        <v>13</v>
      </c>
      <c r="M20" s="7">
        <f t="shared" si="4"/>
        <v>57</v>
      </c>
      <c r="N20" s="7">
        <f t="shared" si="5"/>
        <v>59</v>
      </c>
      <c r="O20" s="9" t="s">
        <v>13</v>
      </c>
      <c r="P20" s="9" t="s">
        <v>14</v>
      </c>
      <c r="Q20" s="9">
        <v>4</v>
      </c>
      <c r="R20" s="12">
        <v>1133.47</v>
      </c>
      <c r="S20" s="12">
        <f>VLOOKUP(O20,'Product-cost'!A:B,2,)</f>
        <v>600</v>
      </c>
      <c r="T20" s="9" t="s">
        <v>22</v>
      </c>
      <c r="U20" s="9" t="s">
        <v>95</v>
      </c>
      <c r="V20" s="9" t="s">
        <v>876</v>
      </c>
      <c r="W20" s="9" t="s">
        <v>896</v>
      </c>
      <c r="X20" s="12">
        <f t="shared" si="6"/>
        <v>4533.88</v>
      </c>
      <c r="Y20" s="12">
        <f t="shared" si="7"/>
        <v>2400</v>
      </c>
      <c r="Z20" s="16">
        <f>VLOOKUP(T20,Taxrate!A:B,2,FALSE)</f>
        <v>0.1</v>
      </c>
      <c r="AA20" s="12">
        <f t="shared" si="8"/>
        <v>453.38800000000003</v>
      </c>
      <c r="AB20" s="16">
        <f>VLOOKUP('Sales Dataset'!O20,'Discount Rate'!A:B,2,)</f>
        <v>0.05</v>
      </c>
      <c r="AC20" s="12">
        <f t="shared" si="9"/>
        <v>120</v>
      </c>
      <c r="AD20" s="18">
        <f t="shared" si="10"/>
        <v>2399.85</v>
      </c>
    </row>
    <row r="21" spans="1:30" ht="51" customHeight="1" x14ac:dyDescent="0.35">
      <c r="A21" s="9" t="s">
        <v>96</v>
      </c>
      <c r="B21" s="9" t="s">
        <v>97</v>
      </c>
      <c r="C21" s="9" t="s">
        <v>52</v>
      </c>
      <c r="D21" s="20" t="s">
        <v>53</v>
      </c>
      <c r="E21" s="9" t="s">
        <v>909</v>
      </c>
      <c r="F21" s="9" t="s">
        <v>910</v>
      </c>
      <c r="G21" s="8">
        <v>44977</v>
      </c>
      <c r="H21" s="7">
        <f t="shared" si="0"/>
        <v>2023</v>
      </c>
      <c r="I21" s="7" t="str">
        <f t="shared" si="1"/>
        <v>February</v>
      </c>
      <c r="J21" s="8" t="str">
        <f t="shared" si="2"/>
        <v>Monday</v>
      </c>
      <c r="K21" s="11">
        <v>0.83288194444444441</v>
      </c>
      <c r="L21" s="14">
        <f t="shared" si="3"/>
        <v>19</v>
      </c>
      <c r="M21" s="7">
        <f t="shared" si="4"/>
        <v>59</v>
      </c>
      <c r="N21" s="7">
        <f t="shared" si="5"/>
        <v>21</v>
      </c>
      <c r="O21" s="9" t="s">
        <v>66</v>
      </c>
      <c r="P21" s="9" t="s">
        <v>67</v>
      </c>
      <c r="Q21" s="9">
        <v>14</v>
      </c>
      <c r="R21" s="12">
        <v>138.61000000000001</v>
      </c>
      <c r="S21" s="12">
        <f>VLOOKUP(O21,'Product-cost'!A:B,2,)</f>
        <v>50</v>
      </c>
      <c r="T21" s="9" t="s">
        <v>28</v>
      </c>
      <c r="U21" s="9" t="s">
        <v>68</v>
      </c>
      <c r="V21" s="9" t="s">
        <v>875</v>
      </c>
      <c r="W21" s="9" t="s">
        <v>894</v>
      </c>
      <c r="X21" s="12">
        <f t="shared" si="6"/>
        <v>1940.5400000000002</v>
      </c>
      <c r="Y21" s="12">
        <f t="shared" si="7"/>
        <v>700</v>
      </c>
      <c r="Z21" s="16">
        <f>VLOOKUP(T21,Taxrate!A:B,2,FALSE)</f>
        <v>0.2</v>
      </c>
      <c r="AA21" s="12">
        <f t="shared" si="8"/>
        <v>388.10800000000006</v>
      </c>
      <c r="AB21" s="16">
        <f>VLOOKUP('Sales Dataset'!O21,'Discount Rate'!A:B,2,)</f>
        <v>0.03</v>
      </c>
      <c r="AC21" s="12">
        <f t="shared" si="9"/>
        <v>21</v>
      </c>
      <c r="AD21" s="18">
        <f t="shared" si="10"/>
        <v>699.77</v>
      </c>
    </row>
    <row r="22" spans="1:30" ht="51" customHeight="1" x14ac:dyDescent="0.35">
      <c r="A22" s="9" t="s">
        <v>98</v>
      </c>
      <c r="B22" s="9" t="s">
        <v>99</v>
      </c>
      <c r="C22" s="9" t="s">
        <v>18</v>
      </c>
      <c r="D22" s="20" t="s">
        <v>19</v>
      </c>
      <c r="E22" s="9" t="s">
        <v>903</v>
      </c>
      <c r="F22" s="9" t="s">
        <v>904</v>
      </c>
      <c r="G22" s="8">
        <v>44975</v>
      </c>
      <c r="H22" s="7">
        <f t="shared" si="0"/>
        <v>2023</v>
      </c>
      <c r="I22" s="7" t="str">
        <f t="shared" si="1"/>
        <v>February</v>
      </c>
      <c r="J22" s="8" t="str">
        <f t="shared" si="2"/>
        <v>Saturday</v>
      </c>
      <c r="K22" s="11">
        <v>0.59811342592592598</v>
      </c>
      <c r="L22" s="14">
        <f t="shared" si="3"/>
        <v>14</v>
      </c>
      <c r="M22" s="7">
        <f t="shared" si="4"/>
        <v>21</v>
      </c>
      <c r="N22" s="7">
        <f t="shared" si="5"/>
        <v>17</v>
      </c>
      <c r="O22" s="9" t="s">
        <v>13</v>
      </c>
      <c r="P22" s="9" t="s">
        <v>14</v>
      </c>
      <c r="Q22" s="9">
        <v>5</v>
      </c>
      <c r="R22" s="12">
        <v>1054.7</v>
      </c>
      <c r="S22" s="12">
        <f>VLOOKUP(O22,'Product-cost'!A:B,2,)</f>
        <v>600</v>
      </c>
      <c r="T22" s="9" t="s">
        <v>49</v>
      </c>
      <c r="U22" s="9" t="s">
        <v>46</v>
      </c>
      <c r="V22" s="9" t="s">
        <v>872</v>
      </c>
      <c r="W22" s="9" t="s">
        <v>896</v>
      </c>
      <c r="X22" s="12">
        <f t="shared" si="6"/>
        <v>5273.5</v>
      </c>
      <c r="Y22" s="12">
        <f t="shared" si="7"/>
        <v>3000</v>
      </c>
      <c r="Z22" s="16">
        <f>VLOOKUP(T22,Taxrate!A:B,2,FALSE)</f>
        <v>0.12</v>
      </c>
      <c r="AA22" s="12">
        <f t="shared" si="8"/>
        <v>632.81999999999994</v>
      </c>
      <c r="AB22" s="16">
        <f>VLOOKUP('Sales Dataset'!O22,'Discount Rate'!A:B,2,)</f>
        <v>0.05</v>
      </c>
      <c r="AC22" s="12">
        <f t="shared" si="9"/>
        <v>150</v>
      </c>
      <c r="AD22" s="18">
        <f t="shared" si="10"/>
        <v>2999.83</v>
      </c>
    </row>
    <row r="23" spans="1:30" ht="51" customHeight="1" x14ac:dyDescent="0.35">
      <c r="A23" s="9" t="s">
        <v>100</v>
      </c>
      <c r="B23" s="9" t="s">
        <v>101</v>
      </c>
      <c r="C23" s="9" t="s">
        <v>83</v>
      </c>
      <c r="D23" s="20" t="s">
        <v>84</v>
      </c>
      <c r="E23" s="9" t="s">
        <v>913</v>
      </c>
      <c r="F23" s="9" t="s">
        <v>914</v>
      </c>
      <c r="G23" s="8">
        <v>45516</v>
      </c>
      <c r="H23" s="7">
        <f t="shared" si="0"/>
        <v>2024</v>
      </c>
      <c r="I23" s="7" t="str">
        <f t="shared" si="1"/>
        <v>August</v>
      </c>
      <c r="J23" s="8" t="str">
        <f t="shared" si="2"/>
        <v>Monday</v>
      </c>
      <c r="K23" s="11">
        <v>0.61009259259259263</v>
      </c>
      <c r="L23" s="14">
        <f t="shared" si="3"/>
        <v>14</v>
      </c>
      <c r="M23" s="7">
        <f t="shared" si="4"/>
        <v>38</v>
      </c>
      <c r="N23" s="7">
        <f t="shared" si="5"/>
        <v>32</v>
      </c>
      <c r="O23" s="9" t="s">
        <v>13</v>
      </c>
      <c r="P23" s="9" t="s">
        <v>14</v>
      </c>
      <c r="Q23" s="9">
        <v>10</v>
      </c>
      <c r="R23" s="12">
        <v>822.19</v>
      </c>
      <c r="S23" s="12">
        <f>VLOOKUP(O23,'Product-cost'!A:B,2,)</f>
        <v>600</v>
      </c>
      <c r="T23" s="9" t="s">
        <v>34</v>
      </c>
      <c r="U23" s="9" t="s">
        <v>102</v>
      </c>
      <c r="V23" s="9" t="s">
        <v>873</v>
      </c>
      <c r="W23" s="9" t="s">
        <v>895</v>
      </c>
      <c r="X23" s="12">
        <f t="shared" si="6"/>
        <v>8221.9000000000015</v>
      </c>
      <c r="Y23" s="12">
        <f t="shared" si="7"/>
        <v>6000</v>
      </c>
      <c r="Z23" s="16">
        <f>VLOOKUP(T23,Taxrate!A:B,2,FALSE)</f>
        <v>0.15</v>
      </c>
      <c r="AA23" s="12">
        <f t="shared" si="8"/>
        <v>1233.2850000000001</v>
      </c>
      <c r="AB23" s="16">
        <f>VLOOKUP('Sales Dataset'!O23,'Discount Rate'!A:B,2,)</f>
        <v>0.05</v>
      </c>
      <c r="AC23" s="12">
        <f t="shared" si="9"/>
        <v>300</v>
      </c>
      <c r="AD23" s="18">
        <f t="shared" si="10"/>
        <v>5999.8</v>
      </c>
    </row>
    <row r="24" spans="1:30" ht="51" customHeight="1" x14ac:dyDescent="0.35">
      <c r="A24" s="9" t="s">
        <v>103</v>
      </c>
      <c r="B24" s="9" t="s">
        <v>104</v>
      </c>
      <c r="C24" s="9" t="s">
        <v>83</v>
      </c>
      <c r="D24" s="20" t="s">
        <v>84</v>
      </c>
      <c r="E24" s="9" t="s">
        <v>913</v>
      </c>
      <c r="F24" s="9" t="s">
        <v>914</v>
      </c>
      <c r="G24" s="8">
        <v>46285</v>
      </c>
      <c r="H24" s="7">
        <f t="shared" si="0"/>
        <v>2026</v>
      </c>
      <c r="I24" s="7" t="str">
        <f t="shared" si="1"/>
        <v>September</v>
      </c>
      <c r="J24" s="8" t="str">
        <f t="shared" si="2"/>
        <v>Sunday</v>
      </c>
      <c r="K24" s="11">
        <v>0.83146990740740745</v>
      </c>
      <c r="L24" s="14">
        <f t="shared" si="3"/>
        <v>19</v>
      </c>
      <c r="M24" s="7">
        <f t="shared" si="4"/>
        <v>57</v>
      </c>
      <c r="N24" s="7">
        <f t="shared" si="5"/>
        <v>19</v>
      </c>
      <c r="O24" s="9" t="s">
        <v>40</v>
      </c>
      <c r="P24" s="9" t="s">
        <v>41</v>
      </c>
      <c r="Q24" s="9">
        <v>7</v>
      </c>
      <c r="R24" s="12">
        <v>252.69</v>
      </c>
      <c r="S24" s="12">
        <f>VLOOKUP(O24,'Product-cost'!A:B,2,)</f>
        <v>150</v>
      </c>
      <c r="T24" s="9" t="s">
        <v>49</v>
      </c>
      <c r="U24" s="9" t="s">
        <v>102</v>
      </c>
      <c r="V24" s="9" t="s">
        <v>877</v>
      </c>
      <c r="W24" s="9" t="s">
        <v>894</v>
      </c>
      <c r="X24" s="12">
        <f t="shared" si="6"/>
        <v>1768.83</v>
      </c>
      <c r="Y24" s="12">
        <f t="shared" si="7"/>
        <v>1050</v>
      </c>
      <c r="Z24" s="16">
        <f>VLOOKUP(T24,Taxrate!A:B,2,FALSE)</f>
        <v>0.12</v>
      </c>
      <c r="AA24" s="12">
        <f t="shared" si="8"/>
        <v>212.25959999999998</v>
      </c>
      <c r="AB24" s="16">
        <f>VLOOKUP('Sales Dataset'!O24,'Discount Rate'!A:B,2,)</f>
        <v>7.0000000000000007E-2</v>
      </c>
      <c r="AC24" s="12">
        <f t="shared" si="9"/>
        <v>73.5</v>
      </c>
      <c r="AD24" s="18">
        <f t="shared" si="10"/>
        <v>1049.8100000000002</v>
      </c>
    </row>
    <row r="25" spans="1:30" ht="51" customHeight="1" x14ac:dyDescent="0.35">
      <c r="A25" s="9" t="s">
        <v>105</v>
      </c>
      <c r="B25" s="9" t="s">
        <v>106</v>
      </c>
      <c r="C25" s="9" t="s">
        <v>107</v>
      </c>
      <c r="D25" s="20" t="s">
        <v>53</v>
      </c>
      <c r="E25" s="9" t="s">
        <v>909</v>
      </c>
      <c r="F25" s="9" t="s">
        <v>910</v>
      </c>
      <c r="G25" s="8">
        <v>45446</v>
      </c>
      <c r="H25" s="7">
        <f t="shared" si="0"/>
        <v>2024</v>
      </c>
      <c r="I25" s="7" t="str">
        <f t="shared" si="1"/>
        <v>June</v>
      </c>
      <c r="J25" s="8" t="str">
        <f t="shared" si="2"/>
        <v>Monday</v>
      </c>
      <c r="K25" s="11">
        <v>0.85946759259259264</v>
      </c>
      <c r="L25" s="14">
        <f t="shared" si="3"/>
        <v>20</v>
      </c>
      <c r="M25" s="7">
        <f t="shared" si="4"/>
        <v>37</v>
      </c>
      <c r="N25" s="7">
        <f t="shared" si="5"/>
        <v>38</v>
      </c>
      <c r="O25" s="9" t="s">
        <v>26</v>
      </c>
      <c r="P25" s="9" t="s">
        <v>27</v>
      </c>
      <c r="Q25" s="9">
        <v>8</v>
      </c>
      <c r="R25" s="12">
        <v>422.23</v>
      </c>
      <c r="S25" s="12">
        <f>VLOOKUP(O25,'Product-cost'!A:B,2,)</f>
        <v>200</v>
      </c>
      <c r="T25" s="9" t="s">
        <v>28</v>
      </c>
      <c r="U25" s="9" t="s">
        <v>54</v>
      </c>
      <c r="V25" s="9" t="s">
        <v>872</v>
      </c>
      <c r="W25" s="9" t="s">
        <v>896</v>
      </c>
      <c r="X25" s="12">
        <f t="shared" si="6"/>
        <v>3377.84</v>
      </c>
      <c r="Y25" s="12">
        <f t="shared" si="7"/>
        <v>1600</v>
      </c>
      <c r="Z25" s="16">
        <f>VLOOKUP(T25,Taxrate!A:B,2,FALSE)</f>
        <v>0.2</v>
      </c>
      <c r="AA25" s="12">
        <f t="shared" si="8"/>
        <v>675.5680000000001</v>
      </c>
      <c r="AB25" s="16">
        <f>VLOOKUP('Sales Dataset'!O25,'Discount Rate'!A:B,2,)</f>
        <v>0.08</v>
      </c>
      <c r="AC25" s="12">
        <f t="shared" si="9"/>
        <v>128</v>
      </c>
      <c r="AD25" s="18">
        <f t="shared" si="10"/>
        <v>1599.72</v>
      </c>
    </row>
    <row r="26" spans="1:30" ht="51" customHeight="1" x14ac:dyDescent="0.35">
      <c r="A26" s="9" t="s">
        <v>108</v>
      </c>
      <c r="B26" s="9" t="s">
        <v>109</v>
      </c>
      <c r="C26" s="9" t="s">
        <v>18</v>
      </c>
      <c r="D26" s="20" t="s">
        <v>19</v>
      </c>
      <c r="E26" s="9" t="s">
        <v>903</v>
      </c>
      <c r="F26" s="9" t="s">
        <v>904</v>
      </c>
      <c r="G26" s="8">
        <v>45228</v>
      </c>
      <c r="H26" s="7">
        <f t="shared" si="0"/>
        <v>2023</v>
      </c>
      <c r="I26" s="7" t="str">
        <f t="shared" si="1"/>
        <v>October</v>
      </c>
      <c r="J26" s="8" t="str">
        <f t="shared" si="2"/>
        <v>Sunday</v>
      </c>
      <c r="K26" s="11">
        <v>0.34409722222222222</v>
      </c>
      <c r="L26" s="14">
        <f t="shared" si="3"/>
        <v>8</v>
      </c>
      <c r="M26" s="7">
        <f t="shared" si="4"/>
        <v>15</v>
      </c>
      <c r="N26" s="7">
        <f t="shared" si="5"/>
        <v>30</v>
      </c>
      <c r="O26" s="9" t="s">
        <v>40</v>
      </c>
      <c r="P26" s="9" t="s">
        <v>41</v>
      </c>
      <c r="Q26" s="9">
        <v>2</v>
      </c>
      <c r="R26" s="12">
        <v>273.48</v>
      </c>
      <c r="S26" s="12">
        <f>VLOOKUP(O26,'Product-cost'!A:B,2,)</f>
        <v>150</v>
      </c>
      <c r="T26" s="9" t="s">
        <v>49</v>
      </c>
      <c r="U26" s="9" t="s">
        <v>46</v>
      </c>
      <c r="V26" s="9" t="s">
        <v>872</v>
      </c>
      <c r="W26" s="9" t="s">
        <v>896</v>
      </c>
      <c r="X26" s="12">
        <f t="shared" si="6"/>
        <v>546.96</v>
      </c>
      <c r="Y26" s="12">
        <f t="shared" si="7"/>
        <v>300</v>
      </c>
      <c r="Z26" s="16">
        <f>VLOOKUP(T26,Taxrate!A:B,2,FALSE)</f>
        <v>0.12</v>
      </c>
      <c r="AA26" s="12">
        <f t="shared" si="8"/>
        <v>65.635199999999998</v>
      </c>
      <c r="AB26" s="16">
        <f>VLOOKUP('Sales Dataset'!O26,'Discount Rate'!A:B,2,)</f>
        <v>7.0000000000000007E-2</v>
      </c>
      <c r="AC26" s="12">
        <f t="shared" si="9"/>
        <v>21.000000000000004</v>
      </c>
      <c r="AD26" s="18">
        <f t="shared" si="10"/>
        <v>299.81</v>
      </c>
    </row>
    <row r="27" spans="1:30" ht="51" customHeight="1" x14ac:dyDescent="0.35">
      <c r="A27" s="9" t="s">
        <v>110</v>
      </c>
      <c r="B27" s="9" t="s">
        <v>111</v>
      </c>
      <c r="C27" s="9" t="s">
        <v>11</v>
      </c>
      <c r="D27" s="20" t="s">
        <v>12</v>
      </c>
      <c r="E27" s="9" t="s">
        <v>901</v>
      </c>
      <c r="F27" s="9" t="s">
        <v>902</v>
      </c>
      <c r="G27" s="8">
        <v>45375</v>
      </c>
      <c r="H27" s="7">
        <f t="shared" si="0"/>
        <v>2024</v>
      </c>
      <c r="I27" s="7" t="str">
        <f t="shared" si="1"/>
        <v>March</v>
      </c>
      <c r="J27" s="8" t="str">
        <f t="shared" si="2"/>
        <v>Sunday</v>
      </c>
      <c r="K27" s="11">
        <v>0.86427083333333332</v>
      </c>
      <c r="L27" s="14">
        <f t="shared" si="3"/>
        <v>20</v>
      </c>
      <c r="M27" s="7">
        <f t="shared" si="4"/>
        <v>44</v>
      </c>
      <c r="N27" s="7">
        <f t="shared" si="5"/>
        <v>33</v>
      </c>
      <c r="O27" s="9" t="s">
        <v>66</v>
      </c>
      <c r="P27" s="9" t="s">
        <v>67</v>
      </c>
      <c r="Q27" s="9">
        <v>7</v>
      </c>
      <c r="R27" s="12">
        <v>183.63</v>
      </c>
      <c r="S27" s="12">
        <f>VLOOKUP(O27,'Product-cost'!A:B,2,)</f>
        <v>50</v>
      </c>
      <c r="T27" s="9" t="s">
        <v>34</v>
      </c>
      <c r="U27" s="9" t="s">
        <v>29</v>
      </c>
      <c r="V27" s="9" t="s">
        <v>878</v>
      </c>
      <c r="W27" s="9" t="s">
        <v>894</v>
      </c>
      <c r="X27" s="12">
        <f t="shared" si="6"/>
        <v>1285.4099999999999</v>
      </c>
      <c r="Y27" s="12">
        <f t="shared" si="7"/>
        <v>350</v>
      </c>
      <c r="Z27" s="16">
        <f>VLOOKUP(T27,Taxrate!A:B,2,FALSE)</f>
        <v>0.15</v>
      </c>
      <c r="AA27" s="12">
        <f t="shared" si="8"/>
        <v>192.81149999999997</v>
      </c>
      <c r="AB27" s="16">
        <f>VLOOKUP('Sales Dataset'!O27,'Discount Rate'!A:B,2,)</f>
        <v>0.03</v>
      </c>
      <c r="AC27" s="12">
        <f t="shared" si="9"/>
        <v>10.5</v>
      </c>
      <c r="AD27" s="18">
        <f t="shared" si="10"/>
        <v>349.82000000000005</v>
      </c>
    </row>
    <row r="28" spans="1:30" ht="51" customHeight="1" x14ac:dyDescent="0.35">
      <c r="A28" s="9" t="s">
        <v>112</v>
      </c>
      <c r="B28" s="9" t="s">
        <v>113</v>
      </c>
      <c r="C28" s="9" t="s">
        <v>114</v>
      </c>
      <c r="D28" s="20" t="s">
        <v>19</v>
      </c>
      <c r="E28" s="9" t="s">
        <v>903</v>
      </c>
      <c r="F28" s="9" t="s">
        <v>904</v>
      </c>
      <c r="G28" s="8">
        <v>46049</v>
      </c>
      <c r="H28" s="7">
        <f t="shared" si="0"/>
        <v>2026</v>
      </c>
      <c r="I28" s="7" t="str">
        <f t="shared" si="1"/>
        <v>January</v>
      </c>
      <c r="J28" s="8" t="str">
        <f t="shared" si="2"/>
        <v>Tuesday</v>
      </c>
      <c r="K28" s="11">
        <v>0.44994212962962965</v>
      </c>
      <c r="L28" s="14">
        <f t="shared" si="3"/>
        <v>10</v>
      </c>
      <c r="M28" s="7">
        <f t="shared" si="4"/>
        <v>47</v>
      </c>
      <c r="N28" s="7">
        <f t="shared" si="5"/>
        <v>55</v>
      </c>
      <c r="O28" s="9" t="s">
        <v>66</v>
      </c>
      <c r="P28" s="9" t="s">
        <v>67</v>
      </c>
      <c r="Q28" s="9">
        <v>13</v>
      </c>
      <c r="R28" s="12">
        <v>167.82</v>
      </c>
      <c r="S28" s="12">
        <f>VLOOKUP(O28,'Product-cost'!A:B,2,)</f>
        <v>50</v>
      </c>
      <c r="T28" s="9" t="s">
        <v>49</v>
      </c>
      <c r="U28" s="9" t="s">
        <v>46</v>
      </c>
      <c r="V28" s="9" t="s">
        <v>872</v>
      </c>
      <c r="W28" s="9" t="s">
        <v>896</v>
      </c>
      <c r="X28" s="12">
        <f t="shared" si="6"/>
        <v>2181.66</v>
      </c>
      <c r="Y28" s="12">
        <f t="shared" si="7"/>
        <v>650</v>
      </c>
      <c r="Z28" s="16">
        <f>VLOOKUP(T28,Taxrate!A:B,2,FALSE)</f>
        <v>0.12</v>
      </c>
      <c r="AA28" s="12">
        <f t="shared" si="8"/>
        <v>261.79919999999998</v>
      </c>
      <c r="AB28" s="16">
        <f>VLOOKUP('Sales Dataset'!O28,'Discount Rate'!A:B,2,)</f>
        <v>0.03</v>
      </c>
      <c r="AC28" s="12">
        <f t="shared" si="9"/>
        <v>19.5</v>
      </c>
      <c r="AD28" s="18">
        <f t="shared" si="10"/>
        <v>649.85</v>
      </c>
    </row>
    <row r="29" spans="1:30" ht="51" customHeight="1" x14ac:dyDescent="0.35">
      <c r="A29" s="9" t="s">
        <v>115</v>
      </c>
      <c r="B29" s="9" t="s">
        <v>116</v>
      </c>
      <c r="C29" s="9" t="s">
        <v>117</v>
      </c>
      <c r="D29" s="20" t="s">
        <v>19</v>
      </c>
      <c r="E29" s="9" t="s">
        <v>903</v>
      </c>
      <c r="F29" s="9" t="s">
        <v>904</v>
      </c>
      <c r="G29" s="8">
        <v>45400</v>
      </c>
      <c r="H29" s="7">
        <f t="shared" si="0"/>
        <v>2024</v>
      </c>
      <c r="I29" s="7" t="str">
        <f t="shared" si="1"/>
        <v>April</v>
      </c>
      <c r="J29" s="8" t="str">
        <f t="shared" si="2"/>
        <v>Thursday</v>
      </c>
      <c r="K29" s="11">
        <v>0.79843750000000002</v>
      </c>
      <c r="L29" s="14">
        <f t="shared" si="3"/>
        <v>19</v>
      </c>
      <c r="M29" s="7">
        <f t="shared" si="4"/>
        <v>9</v>
      </c>
      <c r="N29" s="7">
        <f t="shared" si="5"/>
        <v>45</v>
      </c>
      <c r="O29" s="9" t="s">
        <v>20</v>
      </c>
      <c r="P29" s="9" t="s">
        <v>21</v>
      </c>
      <c r="Q29" s="9">
        <v>7</v>
      </c>
      <c r="R29" s="12">
        <v>642.78</v>
      </c>
      <c r="S29" s="12">
        <f>VLOOKUP(O29,'Product-cost'!A:B,2,)</f>
        <v>300</v>
      </c>
      <c r="T29" s="9" t="s">
        <v>34</v>
      </c>
      <c r="U29" s="9" t="s">
        <v>46</v>
      </c>
      <c r="V29" s="9" t="s">
        <v>868</v>
      </c>
      <c r="W29" s="9" t="s">
        <v>894</v>
      </c>
      <c r="X29" s="12">
        <f t="shared" si="6"/>
        <v>4499.46</v>
      </c>
      <c r="Y29" s="12">
        <f t="shared" si="7"/>
        <v>2100</v>
      </c>
      <c r="Z29" s="16">
        <f>VLOOKUP(T29,Taxrate!A:B,2,FALSE)</f>
        <v>0.15</v>
      </c>
      <c r="AA29" s="12">
        <f t="shared" si="8"/>
        <v>674.91899999999998</v>
      </c>
      <c r="AB29" s="16">
        <f>VLOOKUP('Sales Dataset'!O29,'Discount Rate'!A:B,2,)</f>
        <v>0.1</v>
      </c>
      <c r="AC29" s="12">
        <f t="shared" si="9"/>
        <v>210</v>
      </c>
      <c r="AD29" s="18">
        <f t="shared" si="10"/>
        <v>2099.75</v>
      </c>
    </row>
    <row r="30" spans="1:30" ht="51" customHeight="1" x14ac:dyDescent="0.35">
      <c r="A30" s="9" t="s">
        <v>118</v>
      </c>
      <c r="B30" s="9" t="s">
        <v>119</v>
      </c>
      <c r="C30" s="9" t="s">
        <v>32</v>
      </c>
      <c r="D30" s="20" t="s">
        <v>33</v>
      </c>
      <c r="E30" s="9" t="s">
        <v>905</v>
      </c>
      <c r="F30" s="9" t="s">
        <v>906</v>
      </c>
      <c r="G30" s="8">
        <v>45903</v>
      </c>
      <c r="H30" s="7">
        <f t="shared" si="0"/>
        <v>2025</v>
      </c>
      <c r="I30" s="7" t="str">
        <f t="shared" si="1"/>
        <v>September</v>
      </c>
      <c r="J30" s="8" t="str">
        <f t="shared" si="2"/>
        <v>Wednesday</v>
      </c>
      <c r="K30" s="11">
        <v>0.69984953703703701</v>
      </c>
      <c r="L30" s="14">
        <f t="shared" si="3"/>
        <v>16</v>
      </c>
      <c r="M30" s="7">
        <f t="shared" si="4"/>
        <v>47</v>
      </c>
      <c r="N30" s="7">
        <f t="shared" si="5"/>
        <v>47</v>
      </c>
      <c r="O30" s="9" t="s">
        <v>40</v>
      </c>
      <c r="P30" s="9" t="s">
        <v>41</v>
      </c>
      <c r="Q30" s="9">
        <v>15</v>
      </c>
      <c r="R30" s="12">
        <v>200.14</v>
      </c>
      <c r="S30" s="12">
        <f>VLOOKUP(O30,'Product-cost'!A:B,2,)</f>
        <v>150</v>
      </c>
      <c r="T30" s="9" t="s">
        <v>34</v>
      </c>
      <c r="U30" s="9" t="s">
        <v>35</v>
      </c>
      <c r="V30" s="9" t="s">
        <v>879</v>
      </c>
      <c r="W30" s="9" t="s">
        <v>894</v>
      </c>
      <c r="X30" s="12">
        <f t="shared" si="6"/>
        <v>3002.1</v>
      </c>
      <c r="Y30" s="12">
        <f t="shared" si="7"/>
        <v>2250</v>
      </c>
      <c r="Z30" s="16">
        <f>VLOOKUP(T30,Taxrate!A:B,2,FALSE)</f>
        <v>0.15</v>
      </c>
      <c r="AA30" s="12">
        <f t="shared" si="8"/>
        <v>450.315</v>
      </c>
      <c r="AB30" s="16">
        <f>VLOOKUP('Sales Dataset'!O30,'Discount Rate'!A:B,2,)</f>
        <v>7.0000000000000007E-2</v>
      </c>
      <c r="AC30" s="12">
        <f t="shared" si="9"/>
        <v>157.50000000000003</v>
      </c>
      <c r="AD30" s="18">
        <f t="shared" si="10"/>
        <v>2249.7799999999997</v>
      </c>
    </row>
    <row r="31" spans="1:30" ht="51" customHeight="1" x14ac:dyDescent="0.35">
      <c r="A31" s="9" t="s">
        <v>120</v>
      </c>
      <c r="B31" s="9" t="s">
        <v>121</v>
      </c>
      <c r="C31" s="9" t="s">
        <v>57</v>
      </c>
      <c r="D31" s="20" t="s">
        <v>12</v>
      </c>
      <c r="E31" s="9" t="s">
        <v>901</v>
      </c>
      <c r="F31" s="9" t="s">
        <v>902</v>
      </c>
      <c r="G31" s="8">
        <v>45733</v>
      </c>
      <c r="H31" s="7">
        <f t="shared" si="0"/>
        <v>2025</v>
      </c>
      <c r="I31" s="7" t="str">
        <f t="shared" si="1"/>
        <v>March</v>
      </c>
      <c r="J31" s="8" t="str">
        <f t="shared" si="2"/>
        <v>Monday</v>
      </c>
      <c r="K31" s="11">
        <v>0.40378472222222223</v>
      </c>
      <c r="L31" s="14">
        <f t="shared" si="3"/>
        <v>9</v>
      </c>
      <c r="M31" s="7">
        <f t="shared" si="4"/>
        <v>41</v>
      </c>
      <c r="N31" s="7">
        <f t="shared" si="5"/>
        <v>27</v>
      </c>
      <c r="O31" s="9" t="s">
        <v>20</v>
      </c>
      <c r="P31" s="9" t="s">
        <v>21</v>
      </c>
      <c r="Q31" s="9">
        <v>3</v>
      </c>
      <c r="R31" s="12">
        <v>500</v>
      </c>
      <c r="S31" s="12">
        <f>VLOOKUP(O31,'Product-cost'!A:B,2,)</f>
        <v>300</v>
      </c>
      <c r="T31" s="9" t="s">
        <v>34</v>
      </c>
      <c r="U31" s="9" t="s">
        <v>29</v>
      </c>
      <c r="V31" s="9" t="s">
        <v>879</v>
      </c>
      <c r="W31" s="9" t="s">
        <v>894</v>
      </c>
      <c r="X31" s="12">
        <f t="shared" si="6"/>
        <v>1500</v>
      </c>
      <c r="Y31" s="12">
        <f t="shared" si="7"/>
        <v>900</v>
      </c>
      <c r="Z31" s="16">
        <f>VLOOKUP(T31,Taxrate!A:B,2,FALSE)</f>
        <v>0.15</v>
      </c>
      <c r="AA31" s="12">
        <f t="shared" si="8"/>
        <v>225</v>
      </c>
      <c r="AB31" s="16">
        <f>VLOOKUP('Sales Dataset'!O31,'Discount Rate'!A:B,2,)</f>
        <v>0.1</v>
      </c>
      <c r="AC31" s="12">
        <f t="shared" si="9"/>
        <v>90</v>
      </c>
      <c r="AD31" s="18">
        <f t="shared" si="10"/>
        <v>899.75</v>
      </c>
    </row>
    <row r="32" spans="1:30" ht="51" customHeight="1" x14ac:dyDescent="0.35">
      <c r="A32" s="9" t="s">
        <v>122</v>
      </c>
      <c r="B32" s="9" t="s">
        <v>123</v>
      </c>
      <c r="C32" s="9" t="s">
        <v>60</v>
      </c>
      <c r="D32" s="20" t="s">
        <v>61</v>
      </c>
      <c r="E32" s="9" t="s">
        <v>911</v>
      </c>
      <c r="F32" s="9" t="s">
        <v>912</v>
      </c>
      <c r="G32" s="8">
        <v>45171</v>
      </c>
      <c r="H32" s="7">
        <f t="shared" si="0"/>
        <v>2023</v>
      </c>
      <c r="I32" s="7" t="str">
        <f t="shared" si="1"/>
        <v>September</v>
      </c>
      <c r="J32" s="8" t="str">
        <f t="shared" si="2"/>
        <v>Saturday</v>
      </c>
      <c r="K32" s="11">
        <v>0.55186342592592597</v>
      </c>
      <c r="L32" s="14">
        <f t="shared" si="3"/>
        <v>13</v>
      </c>
      <c r="M32" s="7">
        <f t="shared" si="4"/>
        <v>14</v>
      </c>
      <c r="N32" s="7">
        <f t="shared" si="5"/>
        <v>41</v>
      </c>
      <c r="O32" s="9" t="s">
        <v>13</v>
      </c>
      <c r="P32" s="9" t="s">
        <v>14</v>
      </c>
      <c r="Q32" s="9">
        <v>11</v>
      </c>
      <c r="R32" s="12">
        <v>500</v>
      </c>
      <c r="S32" s="12">
        <f>VLOOKUP(O32,'Product-cost'!A:B,2,)</f>
        <v>600</v>
      </c>
      <c r="T32" s="9" t="s">
        <v>45</v>
      </c>
      <c r="U32" s="9" t="s">
        <v>62</v>
      </c>
      <c r="V32" s="9" t="s">
        <v>876</v>
      </c>
      <c r="W32" s="9" t="s">
        <v>896</v>
      </c>
      <c r="X32" s="12">
        <f t="shared" si="6"/>
        <v>5500</v>
      </c>
      <c r="Y32" s="12">
        <f t="shared" si="7"/>
        <v>6600</v>
      </c>
      <c r="Z32" s="16">
        <f>VLOOKUP(T32,Taxrate!A:B,2,FALSE)</f>
        <v>7.0000000000000007E-2</v>
      </c>
      <c r="AA32" s="12">
        <f t="shared" si="8"/>
        <v>385.00000000000006</v>
      </c>
      <c r="AB32" s="16">
        <f>VLOOKUP('Sales Dataset'!O32,'Discount Rate'!A:B,2,)</f>
        <v>0.05</v>
      </c>
      <c r="AC32" s="12">
        <f t="shared" si="9"/>
        <v>330</v>
      </c>
      <c r="AD32" s="18">
        <f t="shared" si="10"/>
        <v>6599.88</v>
      </c>
    </row>
    <row r="33" spans="1:30" ht="51" customHeight="1" x14ac:dyDescent="0.35">
      <c r="A33" s="9" t="s">
        <v>124</v>
      </c>
      <c r="B33" s="9" t="s">
        <v>125</v>
      </c>
      <c r="C33" s="9" t="s">
        <v>126</v>
      </c>
      <c r="D33" s="20" t="s">
        <v>19</v>
      </c>
      <c r="E33" s="9" t="s">
        <v>903</v>
      </c>
      <c r="F33" s="9" t="s">
        <v>904</v>
      </c>
      <c r="G33" s="8">
        <v>45682</v>
      </c>
      <c r="H33" s="7">
        <f t="shared" si="0"/>
        <v>2025</v>
      </c>
      <c r="I33" s="7" t="str">
        <f t="shared" si="1"/>
        <v>January</v>
      </c>
      <c r="J33" s="8" t="str">
        <f t="shared" si="2"/>
        <v>Saturday</v>
      </c>
      <c r="K33" s="11">
        <v>0.73526620370370366</v>
      </c>
      <c r="L33" s="14">
        <f t="shared" si="3"/>
        <v>17</v>
      </c>
      <c r="M33" s="7">
        <f t="shared" si="4"/>
        <v>38</v>
      </c>
      <c r="N33" s="7">
        <f t="shared" si="5"/>
        <v>47</v>
      </c>
      <c r="O33" s="9" t="s">
        <v>13</v>
      </c>
      <c r="P33" s="9" t="s">
        <v>14</v>
      </c>
      <c r="Q33" s="9">
        <v>3</v>
      </c>
      <c r="R33" s="12">
        <v>854.05</v>
      </c>
      <c r="S33" s="12">
        <f>VLOOKUP(O33,'Product-cost'!A:B,2,)</f>
        <v>600</v>
      </c>
      <c r="T33" s="9" t="s">
        <v>45</v>
      </c>
      <c r="U33" s="9" t="s">
        <v>23</v>
      </c>
      <c r="V33" s="9" t="s">
        <v>879</v>
      </c>
      <c r="W33" s="9" t="s">
        <v>894</v>
      </c>
      <c r="X33" s="12">
        <f t="shared" si="6"/>
        <v>2562.1499999999996</v>
      </c>
      <c r="Y33" s="12">
        <f t="shared" si="7"/>
        <v>1800</v>
      </c>
      <c r="Z33" s="16">
        <f>VLOOKUP(T33,Taxrate!A:B,2,FALSE)</f>
        <v>7.0000000000000007E-2</v>
      </c>
      <c r="AA33" s="12">
        <f t="shared" si="8"/>
        <v>179.35049999999998</v>
      </c>
      <c r="AB33" s="16">
        <f>VLOOKUP('Sales Dataset'!O33,'Discount Rate'!A:B,2,)</f>
        <v>0.05</v>
      </c>
      <c r="AC33" s="12">
        <f t="shared" si="9"/>
        <v>90</v>
      </c>
      <c r="AD33" s="18">
        <f t="shared" si="10"/>
        <v>1799.88</v>
      </c>
    </row>
    <row r="34" spans="1:30" ht="51" customHeight="1" x14ac:dyDescent="0.35">
      <c r="A34" s="9" t="s">
        <v>127</v>
      </c>
      <c r="B34" s="9" t="s">
        <v>128</v>
      </c>
      <c r="C34" s="9" t="s">
        <v>18</v>
      </c>
      <c r="D34" s="20" t="s">
        <v>19</v>
      </c>
      <c r="E34" s="9" t="s">
        <v>903</v>
      </c>
      <c r="F34" s="9" t="s">
        <v>904</v>
      </c>
      <c r="G34" s="8">
        <v>46354</v>
      </c>
      <c r="H34" s="7">
        <f t="shared" si="0"/>
        <v>2026</v>
      </c>
      <c r="I34" s="7" t="str">
        <f t="shared" si="1"/>
        <v>November</v>
      </c>
      <c r="J34" s="8" t="str">
        <f t="shared" si="2"/>
        <v>Saturday</v>
      </c>
      <c r="K34" s="11">
        <v>0.90530092592592593</v>
      </c>
      <c r="L34" s="14">
        <f t="shared" si="3"/>
        <v>21</v>
      </c>
      <c r="M34" s="7">
        <f t="shared" si="4"/>
        <v>43</v>
      </c>
      <c r="N34" s="7">
        <f t="shared" si="5"/>
        <v>38</v>
      </c>
      <c r="O34" s="9" t="s">
        <v>13</v>
      </c>
      <c r="P34" s="9" t="s">
        <v>14</v>
      </c>
      <c r="Q34" s="9">
        <v>10</v>
      </c>
      <c r="R34" s="12">
        <v>973.6</v>
      </c>
      <c r="S34" s="12">
        <f>VLOOKUP(O34,'Product-cost'!A:B,2,)</f>
        <v>600</v>
      </c>
      <c r="T34" s="9" t="s">
        <v>34</v>
      </c>
      <c r="U34" s="9" t="s">
        <v>46</v>
      </c>
      <c r="V34" s="9" t="s">
        <v>868</v>
      </c>
      <c r="W34" s="9" t="s">
        <v>894</v>
      </c>
      <c r="X34" s="12">
        <f t="shared" si="6"/>
        <v>9736</v>
      </c>
      <c r="Y34" s="12">
        <f t="shared" si="7"/>
        <v>6000</v>
      </c>
      <c r="Z34" s="16">
        <f>VLOOKUP(T34,Taxrate!A:B,2,FALSE)</f>
        <v>0.15</v>
      </c>
      <c r="AA34" s="12">
        <f t="shared" si="8"/>
        <v>1460.3999999999999</v>
      </c>
      <c r="AB34" s="16">
        <f>VLOOKUP('Sales Dataset'!O34,'Discount Rate'!A:B,2,)</f>
        <v>0.05</v>
      </c>
      <c r="AC34" s="12">
        <f t="shared" si="9"/>
        <v>300</v>
      </c>
      <c r="AD34" s="18">
        <f t="shared" si="10"/>
        <v>5999.8</v>
      </c>
    </row>
    <row r="35" spans="1:30" ht="51" customHeight="1" x14ac:dyDescent="0.35">
      <c r="A35" s="9" t="s">
        <v>129</v>
      </c>
      <c r="B35" s="9" t="s">
        <v>44</v>
      </c>
      <c r="C35" s="9" t="s">
        <v>126</v>
      </c>
      <c r="D35" s="20" t="s">
        <v>19</v>
      </c>
      <c r="E35" s="9" t="s">
        <v>903</v>
      </c>
      <c r="F35" s="9" t="s">
        <v>904</v>
      </c>
      <c r="G35" s="8">
        <v>45936</v>
      </c>
      <c r="H35" s="7">
        <f t="shared" si="0"/>
        <v>2025</v>
      </c>
      <c r="I35" s="7" t="str">
        <f t="shared" si="1"/>
        <v>October</v>
      </c>
      <c r="J35" s="8" t="str">
        <f t="shared" si="2"/>
        <v>Monday</v>
      </c>
      <c r="K35" s="11">
        <v>0.81505787037037036</v>
      </c>
      <c r="L35" s="14">
        <f t="shared" si="3"/>
        <v>19</v>
      </c>
      <c r="M35" s="7">
        <f t="shared" si="4"/>
        <v>33</v>
      </c>
      <c r="N35" s="7">
        <f t="shared" si="5"/>
        <v>41</v>
      </c>
      <c r="O35" s="9" t="s">
        <v>26</v>
      </c>
      <c r="P35" s="9" t="s">
        <v>27</v>
      </c>
      <c r="Q35" s="9">
        <v>15</v>
      </c>
      <c r="R35" s="12">
        <v>416.7</v>
      </c>
      <c r="S35" s="12">
        <f>VLOOKUP(O35,'Product-cost'!A:B,2,)</f>
        <v>200</v>
      </c>
      <c r="T35" s="9" t="s">
        <v>34</v>
      </c>
      <c r="U35" s="9" t="s">
        <v>130</v>
      </c>
      <c r="V35" s="9" t="s">
        <v>871</v>
      </c>
      <c r="W35" s="9" t="s">
        <v>894</v>
      </c>
      <c r="X35" s="12">
        <f t="shared" si="6"/>
        <v>6250.5</v>
      </c>
      <c r="Y35" s="12">
        <f t="shared" si="7"/>
        <v>3000</v>
      </c>
      <c r="Z35" s="16">
        <f>VLOOKUP(T35,Taxrate!A:B,2,FALSE)</f>
        <v>0.15</v>
      </c>
      <c r="AA35" s="12">
        <f t="shared" si="8"/>
        <v>937.57499999999993</v>
      </c>
      <c r="AB35" s="16">
        <f>VLOOKUP('Sales Dataset'!O35,'Discount Rate'!A:B,2,)</f>
        <v>0.08</v>
      </c>
      <c r="AC35" s="12">
        <f t="shared" si="9"/>
        <v>240</v>
      </c>
      <c r="AD35" s="18">
        <f t="shared" si="10"/>
        <v>2999.77</v>
      </c>
    </row>
    <row r="36" spans="1:30" ht="51" customHeight="1" x14ac:dyDescent="0.35">
      <c r="A36" s="9" t="s">
        <v>131</v>
      </c>
      <c r="B36" s="9" t="s">
        <v>132</v>
      </c>
      <c r="C36" s="9" t="s">
        <v>126</v>
      </c>
      <c r="D36" s="20" t="s">
        <v>19</v>
      </c>
      <c r="E36" s="9" t="s">
        <v>903</v>
      </c>
      <c r="F36" s="9" t="s">
        <v>904</v>
      </c>
      <c r="G36" s="8">
        <v>45615</v>
      </c>
      <c r="H36" s="7">
        <f t="shared" si="0"/>
        <v>2024</v>
      </c>
      <c r="I36" s="7" t="str">
        <f t="shared" si="1"/>
        <v>November</v>
      </c>
      <c r="J36" s="8" t="str">
        <f t="shared" si="2"/>
        <v>Tuesday</v>
      </c>
      <c r="K36" s="11">
        <v>0.66273148148148153</v>
      </c>
      <c r="L36" s="14">
        <f t="shared" si="3"/>
        <v>15</v>
      </c>
      <c r="M36" s="7">
        <f t="shared" si="4"/>
        <v>54</v>
      </c>
      <c r="N36" s="7">
        <f t="shared" si="5"/>
        <v>20</v>
      </c>
      <c r="O36" s="9" t="s">
        <v>20</v>
      </c>
      <c r="P36" s="9" t="s">
        <v>21</v>
      </c>
      <c r="Q36" s="9">
        <v>6</v>
      </c>
      <c r="R36" s="12">
        <v>582.1</v>
      </c>
      <c r="S36" s="12">
        <f>VLOOKUP(O36,'Product-cost'!A:B,2,)</f>
        <v>300</v>
      </c>
      <c r="T36" s="9" t="s">
        <v>49</v>
      </c>
      <c r="U36" s="9" t="s">
        <v>23</v>
      </c>
      <c r="V36" s="9" t="s">
        <v>872</v>
      </c>
      <c r="W36" s="9" t="s">
        <v>896</v>
      </c>
      <c r="X36" s="12">
        <f t="shared" si="6"/>
        <v>3492.6000000000004</v>
      </c>
      <c r="Y36" s="12">
        <f t="shared" si="7"/>
        <v>1800</v>
      </c>
      <c r="Z36" s="16">
        <f>VLOOKUP(T36,Taxrate!A:B,2,FALSE)</f>
        <v>0.12</v>
      </c>
      <c r="AA36" s="12">
        <f t="shared" si="8"/>
        <v>419.11200000000002</v>
      </c>
      <c r="AB36" s="16">
        <f>VLOOKUP('Sales Dataset'!O36,'Discount Rate'!A:B,2,)</f>
        <v>0.1</v>
      </c>
      <c r="AC36" s="12">
        <f t="shared" si="9"/>
        <v>180</v>
      </c>
      <c r="AD36" s="18">
        <f t="shared" si="10"/>
        <v>1799.7800000000002</v>
      </c>
    </row>
    <row r="37" spans="1:30" ht="51" customHeight="1" x14ac:dyDescent="0.35">
      <c r="A37" s="9" t="s">
        <v>133</v>
      </c>
      <c r="B37" s="9" t="s">
        <v>134</v>
      </c>
      <c r="C37" s="9" t="s">
        <v>18</v>
      </c>
      <c r="D37" s="20" t="s">
        <v>19</v>
      </c>
      <c r="E37" s="9" t="s">
        <v>903</v>
      </c>
      <c r="F37" s="9" t="s">
        <v>904</v>
      </c>
      <c r="G37" s="8">
        <v>46249</v>
      </c>
      <c r="H37" s="7">
        <f t="shared" si="0"/>
        <v>2026</v>
      </c>
      <c r="I37" s="7" t="str">
        <f t="shared" si="1"/>
        <v>August</v>
      </c>
      <c r="J37" s="8" t="str">
        <f t="shared" si="2"/>
        <v>Saturday</v>
      </c>
      <c r="K37" s="11">
        <v>0.65973379629629625</v>
      </c>
      <c r="L37" s="14">
        <f t="shared" si="3"/>
        <v>15</v>
      </c>
      <c r="M37" s="7">
        <f t="shared" si="4"/>
        <v>50</v>
      </c>
      <c r="N37" s="7">
        <f t="shared" si="5"/>
        <v>1</v>
      </c>
      <c r="O37" s="9" t="s">
        <v>13</v>
      </c>
      <c r="P37" s="9" t="s">
        <v>14</v>
      </c>
      <c r="Q37" s="9">
        <v>7</v>
      </c>
      <c r="R37" s="12">
        <v>953.1</v>
      </c>
      <c r="S37" s="12">
        <f>VLOOKUP(O37,'Product-cost'!A:B,2,)</f>
        <v>600</v>
      </c>
      <c r="T37" s="9" t="s">
        <v>49</v>
      </c>
      <c r="U37" s="9" t="s">
        <v>23</v>
      </c>
      <c r="V37" s="9" t="s">
        <v>878</v>
      </c>
      <c r="W37" s="9" t="s">
        <v>894</v>
      </c>
      <c r="X37" s="12">
        <f t="shared" si="6"/>
        <v>6671.7</v>
      </c>
      <c r="Y37" s="12">
        <f t="shared" si="7"/>
        <v>4200</v>
      </c>
      <c r="Z37" s="16">
        <f>VLOOKUP(T37,Taxrate!A:B,2,FALSE)</f>
        <v>0.12</v>
      </c>
      <c r="AA37" s="12">
        <f t="shared" si="8"/>
        <v>800.60399999999993</v>
      </c>
      <c r="AB37" s="16">
        <f>VLOOKUP('Sales Dataset'!O37,'Discount Rate'!A:B,2,)</f>
        <v>0.05</v>
      </c>
      <c r="AC37" s="12">
        <f t="shared" si="9"/>
        <v>210</v>
      </c>
      <c r="AD37" s="18">
        <f t="shared" si="10"/>
        <v>4199.83</v>
      </c>
    </row>
    <row r="38" spans="1:30" ht="51" customHeight="1" x14ac:dyDescent="0.35">
      <c r="A38" s="9" t="s">
        <v>135</v>
      </c>
      <c r="B38" s="9" t="s">
        <v>136</v>
      </c>
      <c r="C38" s="9" t="s">
        <v>11</v>
      </c>
      <c r="D38" s="20" t="s">
        <v>12</v>
      </c>
      <c r="E38" s="9" t="s">
        <v>901</v>
      </c>
      <c r="F38" s="9" t="s">
        <v>902</v>
      </c>
      <c r="G38" s="8">
        <v>45514</v>
      </c>
      <c r="H38" s="7">
        <f t="shared" si="0"/>
        <v>2024</v>
      </c>
      <c r="I38" s="7" t="str">
        <f t="shared" si="1"/>
        <v>August</v>
      </c>
      <c r="J38" s="8" t="str">
        <f t="shared" si="2"/>
        <v>Saturday</v>
      </c>
      <c r="K38" s="11">
        <v>0.8158333333333333</v>
      </c>
      <c r="L38" s="14">
        <f t="shared" si="3"/>
        <v>19</v>
      </c>
      <c r="M38" s="7">
        <f t="shared" si="4"/>
        <v>34</v>
      </c>
      <c r="N38" s="7">
        <f t="shared" si="5"/>
        <v>48</v>
      </c>
      <c r="O38" s="9" t="s">
        <v>20</v>
      </c>
      <c r="P38" s="9" t="s">
        <v>21</v>
      </c>
      <c r="Q38" s="9">
        <v>12</v>
      </c>
      <c r="R38" s="12">
        <v>697.38</v>
      </c>
      <c r="S38" s="12">
        <f>VLOOKUP(O38,'Product-cost'!A:B,2,)</f>
        <v>300</v>
      </c>
      <c r="T38" s="9" t="s">
        <v>49</v>
      </c>
      <c r="U38" s="9" t="s">
        <v>15</v>
      </c>
      <c r="V38" s="9" t="s">
        <v>872</v>
      </c>
      <c r="W38" s="9" t="s">
        <v>896</v>
      </c>
      <c r="X38" s="12">
        <f t="shared" si="6"/>
        <v>8368.56</v>
      </c>
      <c r="Y38" s="12">
        <f t="shared" si="7"/>
        <v>3600</v>
      </c>
      <c r="Z38" s="16">
        <f>VLOOKUP(T38,Taxrate!A:B,2,FALSE)</f>
        <v>0.12</v>
      </c>
      <c r="AA38" s="12">
        <f t="shared" si="8"/>
        <v>1004.2271999999999</v>
      </c>
      <c r="AB38" s="16">
        <f>VLOOKUP('Sales Dataset'!O38,'Discount Rate'!A:B,2,)</f>
        <v>0.1</v>
      </c>
      <c r="AC38" s="12">
        <f t="shared" si="9"/>
        <v>360</v>
      </c>
      <c r="AD38" s="18">
        <f t="shared" si="10"/>
        <v>3599.78</v>
      </c>
    </row>
    <row r="39" spans="1:30" ht="51" customHeight="1" x14ac:dyDescent="0.35">
      <c r="A39" s="9" t="s">
        <v>137</v>
      </c>
      <c r="B39" s="9" t="s">
        <v>138</v>
      </c>
      <c r="C39" s="9" t="s">
        <v>117</v>
      </c>
      <c r="D39" s="20" t="s">
        <v>19</v>
      </c>
      <c r="E39" s="9" t="s">
        <v>903</v>
      </c>
      <c r="F39" s="9" t="s">
        <v>904</v>
      </c>
      <c r="G39" s="8">
        <v>45020</v>
      </c>
      <c r="H39" s="7">
        <f t="shared" si="0"/>
        <v>2023</v>
      </c>
      <c r="I39" s="7" t="str">
        <f t="shared" si="1"/>
        <v>April</v>
      </c>
      <c r="J39" s="8" t="str">
        <f t="shared" si="2"/>
        <v>Tuesday</v>
      </c>
      <c r="K39" s="11">
        <v>0.67967592592592596</v>
      </c>
      <c r="L39" s="14">
        <f t="shared" si="3"/>
        <v>16</v>
      </c>
      <c r="M39" s="7">
        <f t="shared" si="4"/>
        <v>18</v>
      </c>
      <c r="N39" s="7">
        <f t="shared" si="5"/>
        <v>44</v>
      </c>
      <c r="O39" s="9" t="s">
        <v>20</v>
      </c>
      <c r="P39" s="9" t="s">
        <v>21</v>
      </c>
      <c r="Q39" s="9">
        <v>13</v>
      </c>
      <c r="R39" s="12">
        <v>741.82</v>
      </c>
      <c r="S39" s="12">
        <f>VLOOKUP(O39,'Product-cost'!A:B,2,)</f>
        <v>300</v>
      </c>
      <c r="T39" s="9" t="s">
        <v>49</v>
      </c>
      <c r="U39" s="9" t="s">
        <v>130</v>
      </c>
      <c r="V39" s="9" t="s">
        <v>880</v>
      </c>
      <c r="W39" s="9" t="s">
        <v>894</v>
      </c>
      <c r="X39" s="12">
        <f t="shared" si="6"/>
        <v>9643.66</v>
      </c>
      <c r="Y39" s="12">
        <f t="shared" si="7"/>
        <v>3900</v>
      </c>
      <c r="Z39" s="16">
        <f>VLOOKUP(T39,Taxrate!A:B,2,FALSE)</f>
        <v>0.12</v>
      </c>
      <c r="AA39" s="12">
        <f t="shared" si="8"/>
        <v>1157.2392</v>
      </c>
      <c r="AB39" s="16">
        <f>VLOOKUP('Sales Dataset'!O39,'Discount Rate'!A:B,2,)</f>
        <v>0.1</v>
      </c>
      <c r="AC39" s="12">
        <f t="shared" si="9"/>
        <v>390</v>
      </c>
      <c r="AD39" s="18">
        <f t="shared" si="10"/>
        <v>3899.78</v>
      </c>
    </row>
    <row r="40" spans="1:30" ht="51" customHeight="1" x14ac:dyDescent="0.35">
      <c r="A40" s="9" t="s">
        <v>139</v>
      </c>
      <c r="B40" s="9" t="s">
        <v>140</v>
      </c>
      <c r="C40" s="9" t="s">
        <v>141</v>
      </c>
      <c r="D40" s="20" t="s">
        <v>142</v>
      </c>
      <c r="E40" s="9" t="s">
        <v>917</v>
      </c>
      <c r="F40" s="9" t="s">
        <v>918</v>
      </c>
      <c r="G40" s="8">
        <v>44932</v>
      </c>
      <c r="H40" s="7">
        <f t="shared" si="0"/>
        <v>2023</v>
      </c>
      <c r="I40" s="7" t="str">
        <f t="shared" si="1"/>
        <v>January</v>
      </c>
      <c r="J40" s="8" t="str">
        <f t="shared" si="2"/>
        <v>Friday</v>
      </c>
      <c r="K40" s="11">
        <v>0.42350694444444442</v>
      </c>
      <c r="L40" s="14">
        <f t="shared" si="3"/>
        <v>10</v>
      </c>
      <c r="M40" s="7">
        <f t="shared" si="4"/>
        <v>9</v>
      </c>
      <c r="N40" s="7">
        <f t="shared" si="5"/>
        <v>51</v>
      </c>
      <c r="O40" s="9" t="s">
        <v>40</v>
      </c>
      <c r="P40" s="9" t="s">
        <v>41</v>
      </c>
      <c r="Q40" s="9">
        <v>2</v>
      </c>
      <c r="R40" s="12">
        <v>189.03</v>
      </c>
      <c r="S40" s="12">
        <f>VLOOKUP(O40,'Product-cost'!A:B,2,)</f>
        <v>150</v>
      </c>
      <c r="T40" s="9" t="s">
        <v>34</v>
      </c>
      <c r="U40" s="9" t="s">
        <v>143</v>
      </c>
      <c r="V40" s="9" t="s">
        <v>881</v>
      </c>
      <c r="W40" s="9" t="s">
        <v>894</v>
      </c>
      <c r="X40" s="12">
        <f t="shared" si="6"/>
        <v>378.06</v>
      </c>
      <c r="Y40" s="12">
        <f t="shared" si="7"/>
        <v>300</v>
      </c>
      <c r="Z40" s="16">
        <f>VLOOKUP(T40,Taxrate!A:B,2,FALSE)</f>
        <v>0.15</v>
      </c>
      <c r="AA40" s="12">
        <f t="shared" si="8"/>
        <v>56.708999999999996</v>
      </c>
      <c r="AB40" s="16">
        <f>VLOOKUP('Sales Dataset'!O40,'Discount Rate'!A:B,2,)</f>
        <v>7.0000000000000007E-2</v>
      </c>
      <c r="AC40" s="12">
        <f t="shared" si="9"/>
        <v>21.000000000000004</v>
      </c>
      <c r="AD40" s="18">
        <f t="shared" si="10"/>
        <v>299.78000000000003</v>
      </c>
    </row>
    <row r="41" spans="1:30" ht="51" customHeight="1" x14ac:dyDescent="0.35">
      <c r="A41" s="9" t="s">
        <v>144</v>
      </c>
      <c r="B41" s="9" t="s">
        <v>145</v>
      </c>
      <c r="C41" s="9" t="s">
        <v>90</v>
      </c>
      <c r="D41" s="20" t="s">
        <v>91</v>
      </c>
      <c r="E41" s="9" t="s">
        <v>915</v>
      </c>
      <c r="F41" s="9" t="s">
        <v>916</v>
      </c>
      <c r="G41" s="8">
        <v>46298</v>
      </c>
      <c r="H41" s="7">
        <f t="shared" si="0"/>
        <v>2026</v>
      </c>
      <c r="I41" s="7" t="str">
        <f t="shared" si="1"/>
        <v>October</v>
      </c>
      <c r="J41" s="8" t="str">
        <f t="shared" si="2"/>
        <v>Saturday</v>
      </c>
      <c r="K41" s="11">
        <v>0.74104166666666671</v>
      </c>
      <c r="L41" s="14">
        <f t="shared" si="3"/>
        <v>17</v>
      </c>
      <c r="M41" s="7">
        <f t="shared" si="4"/>
        <v>47</v>
      </c>
      <c r="N41" s="7">
        <f t="shared" si="5"/>
        <v>6</v>
      </c>
      <c r="O41" s="9" t="s">
        <v>20</v>
      </c>
      <c r="P41" s="9" t="s">
        <v>21</v>
      </c>
      <c r="Q41" s="9">
        <v>5</v>
      </c>
      <c r="R41" s="12">
        <v>527.12</v>
      </c>
      <c r="S41" s="12">
        <f>VLOOKUP(O41,'Product-cost'!A:B,2,)</f>
        <v>300</v>
      </c>
      <c r="T41" s="9" t="s">
        <v>28</v>
      </c>
      <c r="U41" s="9" t="s">
        <v>92</v>
      </c>
      <c r="V41" s="9" t="s">
        <v>875</v>
      </c>
      <c r="W41" s="9" t="s">
        <v>894</v>
      </c>
      <c r="X41" s="12">
        <f t="shared" si="6"/>
        <v>2635.6</v>
      </c>
      <c r="Y41" s="12">
        <f t="shared" si="7"/>
        <v>1500</v>
      </c>
      <c r="Z41" s="16">
        <f>VLOOKUP(T41,Taxrate!A:B,2,FALSE)</f>
        <v>0.2</v>
      </c>
      <c r="AA41" s="12">
        <f t="shared" si="8"/>
        <v>527.12</v>
      </c>
      <c r="AB41" s="16">
        <f>VLOOKUP('Sales Dataset'!O41,'Discount Rate'!A:B,2,)</f>
        <v>0.1</v>
      </c>
      <c r="AC41" s="12">
        <f t="shared" si="9"/>
        <v>150</v>
      </c>
      <c r="AD41" s="18">
        <f t="shared" si="10"/>
        <v>1499.7</v>
      </c>
    </row>
    <row r="42" spans="1:30" ht="51" customHeight="1" x14ac:dyDescent="0.35">
      <c r="A42" s="9" t="s">
        <v>146</v>
      </c>
      <c r="B42" s="9" t="s">
        <v>147</v>
      </c>
      <c r="C42" s="9" t="s">
        <v>126</v>
      </c>
      <c r="D42" s="20" t="s">
        <v>19</v>
      </c>
      <c r="E42" s="9" t="s">
        <v>903</v>
      </c>
      <c r="F42" s="9" t="s">
        <v>904</v>
      </c>
      <c r="G42" s="8">
        <v>46245</v>
      </c>
      <c r="H42" s="7">
        <f t="shared" si="0"/>
        <v>2026</v>
      </c>
      <c r="I42" s="7" t="str">
        <f t="shared" si="1"/>
        <v>August</v>
      </c>
      <c r="J42" s="8" t="str">
        <f t="shared" si="2"/>
        <v>Tuesday</v>
      </c>
      <c r="K42" s="11">
        <v>0.53530092592592593</v>
      </c>
      <c r="L42" s="14">
        <f t="shared" si="3"/>
        <v>12</v>
      </c>
      <c r="M42" s="7">
        <f t="shared" si="4"/>
        <v>50</v>
      </c>
      <c r="N42" s="7">
        <f t="shared" si="5"/>
        <v>50</v>
      </c>
      <c r="O42" s="9" t="s">
        <v>40</v>
      </c>
      <c r="P42" s="9" t="s">
        <v>41</v>
      </c>
      <c r="Q42" s="9">
        <v>15</v>
      </c>
      <c r="R42" s="12">
        <v>188.63</v>
      </c>
      <c r="S42" s="12">
        <f>VLOOKUP(O42,'Product-cost'!A:B,2,)</f>
        <v>150</v>
      </c>
      <c r="T42" s="9" t="s">
        <v>28</v>
      </c>
      <c r="U42" s="9" t="s">
        <v>130</v>
      </c>
      <c r="V42" s="9" t="s">
        <v>872</v>
      </c>
      <c r="W42" s="9" t="s">
        <v>896</v>
      </c>
      <c r="X42" s="12">
        <f t="shared" si="6"/>
        <v>2829.45</v>
      </c>
      <c r="Y42" s="12">
        <f t="shared" si="7"/>
        <v>2250</v>
      </c>
      <c r="Z42" s="16">
        <f>VLOOKUP(T42,Taxrate!A:B,2,FALSE)</f>
        <v>0.2</v>
      </c>
      <c r="AA42" s="12">
        <f t="shared" si="8"/>
        <v>565.89</v>
      </c>
      <c r="AB42" s="16">
        <f>VLOOKUP('Sales Dataset'!O42,'Discount Rate'!A:B,2,)</f>
        <v>7.0000000000000007E-2</v>
      </c>
      <c r="AC42" s="12">
        <f t="shared" si="9"/>
        <v>157.50000000000003</v>
      </c>
      <c r="AD42" s="18">
        <f t="shared" si="10"/>
        <v>2249.73</v>
      </c>
    </row>
    <row r="43" spans="1:30" ht="51" customHeight="1" x14ac:dyDescent="0.35">
      <c r="A43" s="9" t="s">
        <v>148</v>
      </c>
      <c r="B43" s="9" t="s">
        <v>149</v>
      </c>
      <c r="C43" s="9" t="s">
        <v>150</v>
      </c>
      <c r="D43" s="20" t="s">
        <v>33</v>
      </c>
      <c r="E43" s="9" t="s">
        <v>905</v>
      </c>
      <c r="F43" s="9" t="s">
        <v>906</v>
      </c>
      <c r="G43" s="8">
        <v>45826</v>
      </c>
      <c r="H43" s="7">
        <f t="shared" si="0"/>
        <v>2025</v>
      </c>
      <c r="I43" s="7" t="str">
        <f t="shared" si="1"/>
        <v>June</v>
      </c>
      <c r="J43" s="8" t="str">
        <f t="shared" si="2"/>
        <v>Wednesday</v>
      </c>
      <c r="K43" s="11">
        <v>0.65577546296296296</v>
      </c>
      <c r="L43" s="14">
        <f t="shared" si="3"/>
        <v>15</v>
      </c>
      <c r="M43" s="7">
        <f t="shared" si="4"/>
        <v>44</v>
      </c>
      <c r="N43" s="7">
        <f t="shared" si="5"/>
        <v>19</v>
      </c>
      <c r="O43" s="9" t="s">
        <v>66</v>
      </c>
      <c r="P43" s="9" t="s">
        <v>67</v>
      </c>
      <c r="Q43" s="9">
        <v>9</v>
      </c>
      <c r="R43" s="12">
        <v>152.83000000000001</v>
      </c>
      <c r="S43" s="12">
        <f>VLOOKUP(O43,'Product-cost'!A:B,2,)</f>
        <v>50</v>
      </c>
      <c r="T43" s="9" t="s">
        <v>49</v>
      </c>
      <c r="U43" s="9" t="s">
        <v>35</v>
      </c>
      <c r="V43" s="9" t="s">
        <v>872</v>
      </c>
      <c r="W43" s="9" t="s">
        <v>896</v>
      </c>
      <c r="X43" s="12">
        <f t="shared" si="6"/>
        <v>1375.47</v>
      </c>
      <c r="Y43" s="12">
        <f t="shared" si="7"/>
        <v>450</v>
      </c>
      <c r="Z43" s="16">
        <f>VLOOKUP(T43,Taxrate!A:B,2,FALSE)</f>
        <v>0.12</v>
      </c>
      <c r="AA43" s="12">
        <f t="shared" si="8"/>
        <v>165.0564</v>
      </c>
      <c r="AB43" s="16">
        <f>VLOOKUP('Sales Dataset'!O43,'Discount Rate'!A:B,2,)</f>
        <v>0.03</v>
      </c>
      <c r="AC43" s="12">
        <f t="shared" si="9"/>
        <v>13.5</v>
      </c>
      <c r="AD43" s="18">
        <f t="shared" si="10"/>
        <v>449.85</v>
      </c>
    </row>
    <row r="44" spans="1:30" ht="51" customHeight="1" x14ac:dyDescent="0.35">
      <c r="A44" s="9" t="s">
        <v>151</v>
      </c>
      <c r="B44" s="9" t="s">
        <v>111</v>
      </c>
      <c r="C44" s="9" t="s">
        <v>150</v>
      </c>
      <c r="D44" s="20" t="s">
        <v>33</v>
      </c>
      <c r="E44" s="9" t="s">
        <v>905</v>
      </c>
      <c r="F44" s="9" t="s">
        <v>906</v>
      </c>
      <c r="G44" s="8">
        <v>46244</v>
      </c>
      <c r="H44" s="7">
        <f t="shared" si="0"/>
        <v>2026</v>
      </c>
      <c r="I44" s="7" t="str">
        <f t="shared" si="1"/>
        <v>August</v>
      </c>
      <c r="J44" s="8" t="str">
        <f t="shared" si="2"/>
        <v>Monday</v>
      </c>
      <c r="K44" s="11">
        <v>0.71027777777777779</v>
      </c>
      <c r="L44" s="14">
        <f t="shared" si="3"/>
        <v>17</v>
      </c>
      <c r="M44" s="7">
        <f t="shared" si="4"/>
        <v>2</v>
      </c>
      <c r="N44" s="7">
        <f t="shared" si="5"/>
        <v>48</v>
      </c>
      <c r="O44" s="9" t="s">
        <v>20</v>
      </c>
      <c r="P44" s="9" t="s">
        <v>21</v>
      </c>
      <c r="Q44" s="9">
        <v>11</v>
      </c>
      <c r="R44" s="12">
        <v>563.45000000000005</v>
      </c>
      <c r="S44" s="12">
        <f>VLOOKUP(O44,'Product-cost'!A:B,2,)</f>
        <v>300</v>
      </c>
      <c r="T44" s="9" t="s">
        <v>49</v>
      </c>
      <c r="U44" s="9" t="s">
        <v>77</v>
      </c>
      <c r="V44" s="9" t="s">
        <v>875</v>
      </c>
      <c r="W44" s="9" t="s">
        <v>894</v>
      </c>
      <c r="X44" s="12">
        <f t="shared" si="6"/>
        <v>6197.9500000000007</v>
      </c>
      <c r="Y44" s="12">
        <f t="shared" si="7"/>
        <v>3300</v>
      </c>
      <c r="Z44" s="16">
        <f>VLOOKUP(T44,Taxrate!A:B,2,FALSE)</f>
        <v>0.12</v>
      </c>
      <c r="AA44" s="12">
        <f t="shared" si="8"/>
        <v>743.75400000000002</v>
      </c>
      <c r="AB44" s="16">
        <f>VLOOKUP('Sales Dataset'!O44,'Discount Rate'!A:B,2,)</f>
        <v>0.1</v>
      </c>
      <c r="AC44" s="12">
        <f t="shared" si="9"/>
        <v>330</v>
      </c>
      <c r="AD44" s="18">
        <f t="shared" si="10"/>
        <v>3299.78</v>
      </c>
    </row>
    <row r="45" spans="1:30" ht="51" customHeight="1" x14ac:dyDescent="0.35">
      <c r="A45" s="9" t="s">
        <v>152</v>
      </c>
      <c r="B45" s="9" t="s">
        <v>153</v>
      </c>
      <c r="C45" s="9" t="s">
        <v>52</v>
      </c>
      <c r="D45" s="20" t="s">
        <v>53</v>
      </c>
      <c r="E45" s="9" t="s">
        <v>909</v>
      </c>
      <c r="F45" s="9" t="s">
        <v>910</v>
      </c>
      <c r="G45" s="8">
        <v>45770</v>
      </c>
      <c r="H45" s="7">
        <f t="shared" si="0"/>
        <v>2025</v>
      </c>
      <c r="I45" s="7" t="str">
        <f t="shared" si="1"/>
        <v>April</v>
      </c>
      <c r="J45" s="8" t="str">
        <f t="shared" si="2"/>
        <v>Wednesday</v>
      </c>
      <c r="K45" s="11">
        <v>0.52945601851851853</v>
      </c>
      <c r="L45" s="14">
        <f t="shared" si="3"/>
        <v>12</v>
      </c>
      <c r="M45" s="7">
        <f t="shared" si="4"/>
        <v>42</v>
      </c>
      <c r="N45" s="7">
        <f t="shared" si="5"/>
        <v>25</v>
      </c>
      <c r="O45" s="9" t="s">
        <v>40</v>
      </c>
      <c r="P45" s="9" t="s">
        <v>41</v>
      </c>
      <c r="Q45" s="9">
        <v>7</v>
      </c>
      <c r="R45" s="12">
        <v>500</v>
      </c>
      <c r="S45" s="12">
        <f>VLOOKUP(O45,'Product-cost'!A:B,2,)</f>
        <v>150</v>
      </c>
      <c r="T45" s="9" t="s">
        <v>22</v>
      </c>
      <c r="U45" s="9" t="s">
        <v>68</v>
      </c>
      <c r="V45" s="9" t="s">
        <v>881</v>
      </c>
      <c r="W45" s="9" t="s">
        <v>894</v>
      </c>
      <c r="X45" s="12">
        <f t="shared" si="6"/>
        <v>3500</v>
      </c>
      <c r="Y45" s="12">
        <f t="shared" si="7"/>
        <v>1050</v>
      </c>
      <c r="Z45" s="16">
        <f>VLOOKUP(T45,Taxrate!A:B,2,FALSE)</f>
        <v>0.1</v>
      </c>
      <c r="AA45" s="12">
        <f t="shared" si="8"/>
        <v>350</v>
      </c>
      <c r="AB45" s="16">
        <f>VLOOKUP('Sales Dataset'!O45,'Discount Rate'!A:B,2,)</f>
        <v>7.0000000000000007E-2</v>
      </c>
      <c r="AC45" s="12">
        <f t="shared" si="9"/>
        <v>73.5</v>
      </c>
      <c r="AD45" s="18">
        <f t="shared" si="10"/>
        <v>1049.8300000000002</v>
      </c>
    </row>
    <row r="46" spans="1:30" ht="51" customHeight="1" x14ac:dyDescent="0.35">
      <c r="A46" s="9" t="s">
        <v>154</v>
      </c>
      <c r="B46" s="9" t="s">
        <v>155</v>
      </c>
      <c r="C46" s="9" t="s">
        <v>90</v>
      </c>
      <c r="D46" s="20" t="s">
        <v>91</v>
      </c>
      <c r="E46" s="9" t="s">
        <v>915</v>
      </c>
      <c r="F46" s="9" t="s">
        <v>916</v>
      </c>
      <c r="G46" s="8">
        <v>45311</v>
      </c>
      <c r="H46" s="7">
        <f t="shared" si="0"/>
        <v>2024</v>
      </c>
      <c r="I46" s="7" t="str">
        <f t="shared" si="1"/>
        <v>January</v>
      </c>
      <c r="J46" s="8" t="str">
        <f t="shared" si="2"/>
        <v>Saturday</v>
      </c>
      <c r="K46" s="11">
        <v>0.74202546296296301</v>
      </c>
      <c r="L46" s="14">
        <f t="shared" si="3"/>
        <v>17</v>
      </c>
      <c r="M46" s="7">
        <f t="shared" si="4"/>
        <v>48</v>
      </c>
      <c r="N46" s="7">
        <f t="shared" si="5"/>
        <v>31</v>
      </c>
      <c r="O46" s="9" t="s">
        <v>66</v>
      </c>
      <c r="P46" s="9" t="s">
        <v>67</v>
      </c>
      <c r="Q46" s="9">
        <v>4</v>
      </c>
      <c r="R46" s="12">
        <v>129.83000000000001</v>
      </c>
      <c r="S46" s="12">
        <f>VLOOKUP(O46,'Product-cost'!A:B,2,)</f>
        <v>50</v>
      </c>
      <c r="T46" s="9" t="s">
        <v>22</v>
      </c>
      <c r="U46" s="9" t="s">
        <v>95</v>
      </c>
      <c r="V46" s="9" t="s">
        <v>871</v>
      </c>
      <c r="W46" s="9" t="s">
        <v>894</v>
      </c>
      <c r="X46" s="12">
        <f t="shared" si="6"/>
        <v>519.32000000000005</v>
      </c>
      <c r="Y46" s="12">
        <f t="shared" si="7"/>
        <v>200</v>
      </c>
      <c r="Z46" s="16">
        <f>VLOOKUP(T46,Taxrate!A:B,2,FALSE)</f>
        <v>0.1</v>
      </c>
      <c r="AA46" s="12">
        <f t="shared" si="8"/>
        <v>51.932000000000009</v>
      </c>
      <c r="AB46" s="16">
        <f>VLOOKUP('Sales Dataset'!O46,'Discount Rate'!A:B,2,)</f>
        <v>0.03</v>
      </c>
      <c r="AC46" s="12">
        <f t="shared" si="9"/>
        <v>6</v>
      </c>
      <c r="AD46" s="18">
        <f t="shared" si="10"/>
        <v>199.87</v>
      </c>
    </row>
    <row r="47" spans="1:30" ht="51" customHeight="1" x14ac:dyDescent="0.35">
      <c r="A47" s="9" t="s">
        <v>156</v>
      </c>
      <c r="B47" s="9" t="s">
        <v>157</v>
      </c>
      <c r="C47" s="9" t="s">
        <v>60</v>
      </c>
      <c r="D47" s="20" t="s">
        <v>61</v>
      </c>
      <c r="E47" s="9" t="s">
        <v>911</v>
      </c>
      <c r="F47" s="9" t="s">
        <v>912</v>
      </c>
      <c r="G47" s="8">
        <v>45159</v>
      </c>
      <c r="H47" s="7">
        <f t="shared" si="0"/>
        <v>2023</v>
      </c>
      <c r="I47" s="7" t="str">
        <f t="shared" si="1"/>
        <v>August</v>
      </c>
      <c r="J47" s="8" t="str">
        <f t="shared" si="2"/>
        <v>Monday</v>
      </c>
      <c r="K47" s="11">
        <v>0.40408564814814812</v>
      </c>
      <c r="L47" s="14">
        <f t="shared" si="3"/>
        <v>9</v>
      </c>
      <c r="M47" s="7">
        <f t="shared" si="4"/>
        <v>41</v>
      </c>
      <c r="N47" s="7">
        <f t="shared" si="5"/>
        <v>53</v>
      </c>
      <c r="O47" s="9" t="s">
        <v>20</v>
      </c>
      <c r="P47" s="9" t="s">
        <v>21</v>
      </c>
      <c r="Q47" s="9">
        <v>12</v>
      </c>
      <c r="R47" s="12">
        <v>691.62</v>
      </c>
      <c r="S47" s="12">
        <f>VLOOKUP(O47,'Product-cost'!A:B,2,)</f>
        <v>300</v>
      </c>
      <c r="T47" s="9" t="s">
        <v>34</v>
      </c>
      <c r="U47" s="9" t="s">
        <v>158</v>
      </c>
      <c r="V47" s="9" t="s">
        <v>876</v>
      </c>
      <c r="W47" s="9" t="s">
        <v>896</v>
      </c>
      <c r="X47" s="12">
        <f t="shared" si="6"/>
        <v>8299.44</v>
      </c>
      <c r="Y47" s="12">
        <f t="shared" si="7"/>
        <v>3600</v>
      </c>
      <c r="Z47" s="16">
        <f>VLOOKUP(T47,Taxrate!A:B,2,FALSE)</f>
        <v>0.15</v>
      </c>
      <c r="AA47" s="12">
        <f t="shared" si="8"/>
        <v>1244.9159999999999</v>
      </c>
      <c r="AB47" s="16">
        <f>VLOOKUP('Sales Dataset'!O47,'Discount Rate'!A:B,2,)</f>
        <v>0.1</v>
      </c>
      <c r="AC47" s="12">
        <f t="shared" si="9"/>
        <v>360</v>
      </c>
      <c r="AD47" s="18">
        <f t="shared" si="10"/>
        <v>3599.75</v>
      </c>
    </row>
    <row r="48" spans="1:30" ht="51" customHeight="1" x14ac:dyDescent="0.35">
      <c r="A48" s="9" t="s">
        <v>159</v>
      </c>
      <c r="B48" s="9" t="s">
        <v>160</v>
      </c>
      <c r="C48" s="9" t="s">
        <v>60</v>
      </c>
      <c r="D48" s="20" t="s">
        <v>61</v>
      </c>
      <c r="E48" s="9" t="s">
        <v>911</v>
      </c>
      <c r="F48" s="9" t="s">
        <v>912</v>
      </c>
      <c r="G48" s="8">
        <v>45776</v>
      </c>
      <c r="H48" s="7">
        <f t="shared" si="0"/>
        <v>2025</v>
      </c>
      <c r="I48" s="7" t="str">
        <f t="shared" si="1"/>
        <v>April</v>
      </c>
      <c r="J48" s="8" t="str">
        <f t="shared" si="2"/>
        <v>Tuesday</v>
      </c>
      <c r="K48" s="11">
        <v>0.85575231481481484</v>
      </c>
      <c r="L48" s="14">
        <f t="shared" si="3"/>
        <v>20</v>
      </c>
      <c r="M48" s="7">
        <f t="shared" si="4"/>
        <v>32</v>
      </c>
      <c r="N48" s="7">
        <f t="shared" si="5"/>
        <v>17</v>
      </c>
      <c r="O48" s="9" t="s">
        <v>13</v>
      </c>
      <c r="P48" s="9" t="s">
        <v>14</v>
      </c>
      <c r="Q48" s="9">
        <v>5</v>
      </c>
      <c r="R48" s="12">
        <v>1089.96</v>
      </c>
      <c r="S48" s="12">
        <f>VLOOKUP(O48,'Product-cost'!A:B,2,)</f>
        <v>600</v>
      </c>
      <c r="T48" s="9" t="s">
        <v>34</v>
      </c>
      <c r="U48" s="9" t="s">
        <v>62</v>
      </c>
      <c r="V48" s="9" t="s">
        <v>878</v>
      </c>
      <c r="W48" s="9" t="s">
        <v>894</v>
      </c>
      <c r="X48" s="12">
        <f t="shared" si="6"/>
        <v>5449.8</v>
      </c>
      <c r="Y48" s="12">
        <f t="shared" si="7"/>
        <v>3000</v>
      </c>
      <c r="Z48" s="16">
        <f>VLOOKUP(T48,Taxrate!A:B,2,FALSE)</f>
        <v>0.15</v>
      </c>
      <c r="AA48" s="12">
        <f t="shared" si="8"/>
        <v>817.47</v>
      </c>
      <c r="AB48" s="16">
        <f>VLOOKUP('Sales Dataset'!O48,'Discount Rate'!A:B,2,)</f>
        <v>0.05</v>
      </c>
      <c r="AC48" s="12">
        <f t="shared" si="9"/>
        <v>150</v>
      </c>
      <c r="AD48" s="18">
        <f t="shared" si="10"/>
        <v>2999.7999999999997</v>
      </c>
    </row>
    <row r="49" spans="1:30" ht="51" customHeight="1" x14ac:dyDescent="0.35">
      <c r="A49" s="9" t="s">
        <v>161</v>
      </c>
      <c r="B49" s="9" t="s">
        <v>162</v>
      </c>
      <c r="C49" s="9" t="s">
        <v>163</v>
      </c>
      <c r="D49" s="20" t="s">
        <v>53</v>
      </c>
      <c r="E49" s="9" t="s">
        <v>909</v>
      </c>
      <c r="F49" s="9" t="s">
        <v>910</v>
      </c>
      <c r="G49" s="8">
        <v>46098</v>
      </c>
      <c r="H49" s="7">
        <f t="shared" si="0"/>
        <v>2026</v>
      </c>
      <c r="I49" s="7" t="str">
        <f t="shared" si="1"/>
        <v>March</v>
      </c>
      <c r="J49" s="8" t="str">
        <f t="shared" si="2"/>
        <v>Tuesday</v>
      </c>
      <c r="K49" s="11">
        <v>0.49640046296296297</v>
      </c>
      <c r="L49" s="14">
        <f t="shared" si="3"/>
        <v>11</v>
      </c>
      <c r="M49" s="7">
        <f t="shared" si="4"/>
        <v>54</v>
      </c>
      <c r="N49" s="7">
        <f t="shared" si="5"/>
        <v>49</v>
      </c>
      <c r="O49" s="9" t="s">
        <v>66</v>
      </c>
      <c r="P49" s="9" t="s">
        <v>67</v>
      </c>
      <c r="Q49" s="9">
        <v>7</v>
      </c>
      <c r="R49" s="12">
        <v>172.89</v>
      </c>
      <c r="S49" s="12">
        <f>VLOOKUP(O49,'Product-cost'!A:B,2,)</f>
        <v>50</v>
      </c>
      <c r="T49" s="9" t="s">
        <v>34</v>
      </c>
      <c r="U49" s="9" t="s">
        <v>54</v>
      </c>
      <c r="V49" s="9" t="s">
        <v>876</v>
      </c>
      <c r="W49" s="9" t="s">
        <v>896</v>
      </c>
      <c r="X49" s="12">
        <f t="shared" si="6"/>
        <v>1210.23</v>
      </c>
      <c r="Y49" s="12">
        <f t="shared" si="7"/>
        <v>350</v>
      </c>
      <c r="Z49" s="16">
        <f>VLOOKUP(T49,Taxrate!A:B,2,FALSE)</f>
        <v>0.15</v>
      </c>
      <c r="AA49" s="12">
        <f t="shared" si="8"/>
        <v>181.53450000000001</v>
      </c>
      <c r="AB49" s="16">
        <f>VLOOKUP('Sales Dataset'!O49,'Discount Rate'!A:B,2,)</f>
        <v>0.03</v>
      </c>
      <c r="AC49" s="12">
        <f t="shared" si="9"/>
        <v>10.5</v>
      </c>
      <c r="AD49" s="18">
        <f t="shared" si="10"/>
        <v>349.82000000000005</v>
      </c>
    </row>
    <row r="50" spans="1:30" ht="51" customHeight="1" x14ac:dyDescent="0.35">
      <c r="A50" s="9" t="s">
        <v>164</v>
      </c>
      <c r="B50" s="9" t="s">
        <v>165</v>
      </c>
      <c r="C50" s="9" t="s">
        <v>76</v>
      </c>
      <c r="D50" s="20" t="s">
        <v>33</v>
      </c>
      <c r="E50" s="9" t="s">
        <v>905</v>
      </c>
      <c r="F50" s="9" t="s">
        <v>906</v>
      </c>
      <c r="G50" s="8">
        <v>45828</v>
      </c>
      <c r="H50" s="7">
        <f t="shared" si="0"/>
        <v>2025</v>
      </c>
      <c r="I50" s="7" t="str">
        <f t="shared" si="1"/>
        <v>June</v>
      </c>
      <c r="J50" s="8" t="str">
        <f t="shared" si="2"/>
        <v>Friday</v>
      </c>
      <c r="K50" s="11">
        <v>0.70728009259259261</v>
      </c>
      <c r="L50" s="14">
        <f t="shared" si="3"/>
        <v>16</v>
      </c>
      <c r="M50" s="7">
        <f t="shared" si="4"/>
        <v>58</v>
      </c>
      <c r="N50" s="7">
        <f t="shared" si="5"/>
        <v>29</v>
      </c>
      <c r="O50" s="9" t="s">
        <v>13</v>
      </c>
      <c r="P50" s="9" t="s">
        <v>14</v>
      </c>
      <c r="Q50" s="9">
        <v>7</v>
      </c>
      <c r="R50" s="12">
        <v>1284.98</v>
      </c>
      <c r="S50" s="12">
        <f>VLOOKUP(O50,'Product-cost'!A:B,2,)</f>
        <v>600</v>
      </c>
      <c r="T50" s="9" t="s">
        <v>45</v>
      </c>
      <c r="U50" s="9" t="s">
        <v>77</v>
      </c>
      <c r="V50" s="9" t="s">
        <v>879</v>
      </c>
      <c r="W50" s="9" t="s">
        <v>894</v>
      </c>
      <c r="X50" s="12">
        <f t="shared" si="6"/>
        <v>8994.86</v>
      </c>
      <c r="Y50" s="12">
        <f t="shared" si="7"/>
        <v>4200</v>
      </c>
      <c r="Z50" s="16">
        <f>VLOOKUP(T50,Taxrate!A:B,2,FALSE)</f>
        <v>7.0000000000000007E-2</v>
      </c>
      <c r="AA50" s="12">
        <f t="shared" si="8"/>
        <v>629.64020000000005</v>
      </c>
      <c r="AB50" s="16">
        <f>VLOOKUP('Sales Dataset'!O50,'Discount Rate'!A:B,2,)</f>
        <v>0.05</v>
      </c>
      <c r="AC50" s="12">
        <f t="shared" si="9"/>
        <v>210</v>
      </c>
      <c r="AD50" s="18">
        <f t="shared" si="10"/>
        <v>4199.88</v>
      </c>
    </row>
    <row r="51" spans="1:30" ht="51" customHeight="1" x14ac:dyDescent="0.35">
      <c r="A51" s="9" t="s">
        <v>166</v>
      </c>
      <c r="B51" s="9" t="s">
        <v>167</v>
      </c>
      <c r="C51" s="9" t="s">
        <v>57</v>
      </c>
      <c r="D51" s="20" t="s">
        <v>12</v>
      </c>
      <c r="E51" s="9" t="s">
        <v>901</v>
      </c>
      <c r="F51" s="9" t="s">
        <v>902</v>
      </c>
      <c r="G51" s="8">
        <v>45575</v>
      </c>
      <c r="H51" s="7">
        <f t="shared" si="0"/>
        <v>2024</v>
      </c>
      <c r="I51" s="7" t="str">
        <f t="shared" si="1"/>
        <v>October</v>
      </c>
      <c r="J51" s="8" t="str">
        <f t="shared" si="2"/>
        <v>Thursday</v>
      </c>
      <c r="K51" s="11">
        <v>0.89863425925925922</v>
      </c>
      <c r="L51" s="14">
        <f t="shared" si="3"/>
        <v>21</v>
      </c>
      <c r="M51" s="7">
        <f t="shared" si="4"/>
        <v>34</v>
      </c>
      <c r="N51" s="7">
        <f t="shared" si="5"/>
        <v>2</v>
      </c>
      <c r="O51" s="9" t="s">
        <v>40</v>
      </c>
      <c r="P51" s="9" t="s">
        <v>41</v>
      </c>
      <c r="Q51" s="9">
        <v>7</v>
      </c>
      <c r="R51" s="12">
        <v>277.3</v>
      </c>
      <c r="S51" s="12">
        <f>VLOOKUP(O51,'Product-cost'!A:B,2,)</f>
        <v>150</v>
      </c>
      <c r="T51" s="9" t="s">
        <v>28</v>
      </c>
      <c r="U51" s="9" t="s">
        <v>15</v>
      </c>
      <c r="V51" s="9" t="s">
        <v>870</v>
      </c>
      <c r="W51" s="9" t="s">
        <v>894</v>
      </c>
      <c r="X51" s="12">
        <f t="shared" si="6"/>
        <v>1941.1000000000001</v>
      </c>
      <c r="Y51" s="12">
        <f t="shared" si="7"/>
        <v>1050</v>
      </c>
      <c r="Z51" s="16">
        <f>VLOOKUP(T51,Taxrate!A:B,2,FALSE)</f>
        <v>0.2</v>
      </c>
      <c r="AA51" s="12">
        <f t="shared" si="8"/>
        <v>388.22</v>
      </c>
      <c r="AB51" s="16">
        <f>VLOOKUP('Sales Dataset'!O51,'Discount Rate'!A:B,2,)</f>
        <v>7.0000000000000007E-2</v>
      </c>
      <c r="AC51" s="12">
        <f t="shared" si="9"/>
        <v>73.5</v>
      </c>
      <c r="AD51" s="18">
        <f t="shared" si="10"/>
        <v>1049.73</v>
      </c>
    </row>
    <row r="52" spans="1:30" ht="51" customHeight="1" x14ac:dyDescent="0.35">
      <c r="A52" s="9" t="s">
        <v>168</v>
      </c>
      <c r="B52" s="9" t="s">
        <v>169</v>
      </c>
      <c r="C52" s="9" t="s">
        <v>76</v>
      </c>
      <c r="D52" s="20" t="s">
        <v>33</v>
      </c>
      <c r="E52" s="9" t="s">
        <v>905</v>
      </c>
      <c r="F52" s="9" t="s">
        <v>906</v>
      </c>
      <c r="G52" s="8">
        <v>45527</v>
      </c>
      <c r="H52" s="7">
        <f t="shared" si="0"/>
        <v>2024</v>
      </c>
      <c r="I52" s="7" t="str">
        <f t="shared" si="1"/>
        <v>August</v>
      </c>
      <c r="J52" s="8" t="str">
        <f t="shared" si="2"/>
        <v>Friday</v>
      </c>
      <c r="K52" s="11">
        <v>0.56052083333333336</v>
      </c>
      <c r="L52" s="14">
        <f t="shared" si="3"/>
        <v>13</v>
      </c>
      <c r="M52" s="7">
        <f t="shared" si="4"/>
        <v>27</v>
      </c>
      <c r="N52" s="7">
        <f t="shared" si="5"/>
        <v>9</v>
      </c>
      <c r="O52" s="9" t="s">
        <v>20</v>
      </c>
      <c r="P52" s="9" t="s">
        <v>21</v>
      </c>
      <c r="Q52" s="9">
        <v>10</v>
      </c>
      <c r="R52" s="12">
        <v>534.02</v>
      </c>
      <c r="S52" s="12">
        <f>VLOOKUP(O52,'Product-cost'!A:B,2,)</f>
        <v>300</v>
      </c>
      <c r="T52" s="9" t="s">
        <v>28</v>
      </c>
      <c r="U52" s="9" t="s">
        <v>77</v>
      </c>
      <c r="V52" s="9" t="s">
        <v>871</v>
      </c>
      <c r="W52" s="9" t="s">
        <v>894</v>
      </c>
      <c r="X52" s="12">
        <f t="shared" si="6"/>
        <v>5340.2</v>
      </c>
      <c r="Y52" s="12">
        <f t="shared" si="7"/>
        <v>3000</v>
      </c>
      <c r="Z52" s="16">
        <f>VLOOKUP(T52,Taxrate!A:B,2,FALSE)</f>
        <v>0.2</v>
      </c>
      <c r="AA52" s="12">
        <f t="shared" si="8"/>
        <v>1068.04</v>
      </c>
      <c r="AB52" s="16">
        <f>VLOOKUP('Sales Dataset'!O52,'Discount Rate'!A:B,2,)</f>
        <v>0.1</v>
      </c>
      <c r="AC52" s="12">
        <f t="shared" si="9"/>
        <v>300</v>
      </c>
      <c r="AD52" s="18">
        <f t="shared" si="10"/>
        <v>2999.7000000000003</v>
      </c>
    </row>
    <row r="53" spans="1:30" ht="51" customHeight="1" x14ac:dyDescent="0.35">
      <c r="A53" s="9" t="s">
        <v>170</v>
      </c>
      <c r="B53" s="9" t="s">
        <v>171</v>
      </c>
      <c r="C53" s="9" t="s">
        <v>172</v>
      </c>
      <c r="D53" s="20" t="s">
        <v>142</v>
      </c>
      <c r="E53" s="9" t="s">
        <v>917</v>
      </c>
      <c r="F53" s="9" t="s">
        <v>918</v>
      </c>
      <c r="G53" s="8">
        <v>45449</v>
      </c>
      <c r="H53" s="7">
        <f t="shared" si="0"/>
        <v>2024</v>
      </c>
      <c r="I53" s="7" t="str">
        <f t="shared" si="1"/>
        <v>June</v>
      </c>
      <c r="J53" s="8" t="str">
        <f t="shared" si="2"/>
        <v>Thursday</v>
      </c>
      <c r="K53" s="11">
        <v>0.8541319444444444</v>
      </c>
      <c r="L53" s="14">
        <f t="shared" si="3"/>
        <v>20</v>
      </c>
      <c r="M53" s="7">
        <f t="shared" si="4"/>
        <v>29</v>
      </c>
      <c r="N53" s="7">
        <f t="shared" si="5"/>
        <v>57</v>
      </c>
      <c r="O53" s="9" t="s">
        <v>26</v>
      </c>
      <c r="P53" s="9" t="s">
        <v>27</v>
      </c>
      <c r="Q53" s="9">
        <v>3</v>
      </c>
      <c r="R53" s="12">
        <v>500</v>
      </c>
      <c r="S53" s="12">
        <f>VLOOKUP(O53,'Product-cost'!A:B,2,)</f>
        <v>200</v>
      </c>
      <c r="T53" s="9" t="s">
        <v>22</v>
      </c>
      <c r="U53" s="9" t="s">
        <v>143</v>
      </c>
      <c r="V53" s="9" t="s">
        <v>872</v>
      </c>
      <c r="W53" s="9" t="s">
        <v>896</v>
      </c>
      <c r="X53" s="12">
        <f t="shared" si="6"/>
        <v>1500</v>
      </c>
      <c r="Y53" s="12">
        <f t="shared" si="7"/>
        <v>600</v>
      </c>
      <c r="Z53" s="16">
        <f>VLOOKUP(T53,Taxrate!A:B,2,FALSE)</f>
        <v>0.1</v>
      </c>
      <c r="AA53" s="12">
        <f t="shared" si="8"/>
        <v>150</v>
      </c>
      <c r="AB53" s="16">
        <f>VLOOKUP('Sales Dataset'!O53,'Discount Rate'!A:B,2,)</f>
        <v>0.08</v>
      </c>
      <c r="AC53" s="12">
        <f t="shared" si="9"/>
        <v>48</v>
      </c>
      <c r="AD53" s="18">
        <f t="shared" si="10"/>
        <v>599.81999999999994</v>
      </c>
    </row>
    <row r="54" spans="1:30" ht="51" customHeight="1" x14ac:dyDescent="0.35">
      <c r="A54" s="9" t="s">
        <v>173</v>
      </c>
      <c r="B54" s="9" t="s">
        <v>174</v>
      </c>
      <c r="C54" s="9" t="s">
        <v>65</v>
      </c>
      <c r="D54" s="20" t="s">
        <v>53</v>
      </c>
      <c r="E54" s="9" t="s">
        <v>909</v>
      </c>
      <c r="F54" s="9" t="s">
        <v>910</v>
      </c>
      <c r="G54" s="8">
        <v>45412</v>
      </c>
      <c r="H54" s="7">
        <f t="shared" si="0"/>
        <v>2024</v>
      </c>
      <c r="I54" s="7" t="str">
        <f t="shared" si="1"/>
        <v>April</v>
      </c>
      <c r="J54" s="8" t="str">
        <f t="shared" si="2"/>
        <v>Tuesday</v>
      </c>
      <c r="K54" s="11">
        <v>0.72402777777777783</v>
      </c>
      <c r="L54" s="14">
        <f t="shared" si="3"/>
        <v>17</v>
      </c>
      <c r="M54" s="7">
        <f t="shared" si="4"/>
        <v>22</v>
      </c>
      <c r="N54" s="7">
        <f t="shared" si="5"/>
        <v>36</v>
      </c>
      <c r="O54" s="9" t="s">
        <v>26</v>
      </c>
      <c r="P54" s="9" t="s">
        <v>27</v>
      </c>
      <c r="Q54" s="9">
        <v>5</v>
      </c>
      <c r="R54" s="12">
        <v>500</v>
      </c>
      <c r="S54" s="12">
        <f>VLOOKUP(O54,'Product-cost'!A:B,2,)</f>
        <v>200</v>
      </c>
      <c r="T54" s="9" t="s">
        <v>34</v>
      </c>
      <c r="U54" s="9" t="s">
        <v>68</v>
      </c>
      <c r="V54" s="9" t="s">
        <v>880</v>
      </c>
      <c r="W54" s="9" t="s">
        <v>894</v>
      </c>
      <c r="X54" s="12">
        <f t="shared" si="6"/>
        <v>2500</v>
      </c>
      <c r="Y54" s="12">
        <f t="shared" si="7"/>
        <v>1000</v>
      </c>
      <c r="Z54" s="16">
        <f>VLOOKUP(T54,Taxrate!A:B,2,FALSE)</f>
        <v>0.15</v>
      </c>
      <c r="AA54" s="12">
        <f t="shared" si="8"/>
        <v>375</v>
      </c>
      <c r="AB54" s="16">
        <f>VLOOKUP('Sales Dataset'!O54,'Discount Rate'!A:B,2,)</f>
        <v>0.08</v>
      </c>
      <c r="AC54" s="12">
        <f t="shared" si="9"/>
        <v>80</v>
      </c>
      <c r="AD54" s="18">
        <f t="shared" si="10"/>
        <v>999.77</v>
      </c>
    </row>
    <row r="55" spans="1:30" ht="51" customHeight="1" x14ac:dyDescent="0.35">
      <c r="A55" s="9" t="s">
        <v>175</v>
      </c>
      <c r="B55" s="9" t="s">
        <v>176</v>
      </c>
      <c r="C55" s="9" t="s">
        <v>18</v>
      </c>
      <c r="D55" s="20" t="s">
        <v>19</v>
      </c>
      <c r="E55" s="9" t="s">
        <v>903</v>
      </c>
      <c r="F55" s="9" t="s">
        <v>904</v>
      </c>
      <c r="G55" s="8">
        <v>45375</v>
      </c>
      <c r="H55" s="7">
        <f t="shared" si="0"/>
        <v>2024</v>
      </c>
      <c r="I55" s="7" t="str">
        <f t="shared" si="1"/>
        <v>March</v>
      </c>
      <c r="J55" s="8" t="str">
        <f t="shared" si="2"/>
        <v>Sunday</v>
      </c>
      <c r="K55" s="11">
        <v>0.71994212962962967</v>
      </c>
      <c r="L55" s="14">
        <f t="shared" si="3"/>
        <v>17</v>
      </c>
      <c r="M55" s="7">
        <f t="shared" si="4"/>
        <v>16</v>
      </c>
      <c r="N55" s="7">
        <f t="shared" si="5"/>
        <v>43</v>
      </c>
      <c r="O55" s="9" t="s">
        <v>20</v>
      </c>
      <c r="P55" s="9" t="s">
        <v>21</v>
      </c>
      <c r="Q55" s="9">
        <v>15</v>
      </c>
      <c r="R55" s="12">
        <v>491.83</v>
      </c>
      <c r="S55" s="12">
        <f>VLOOKUP(O55,'Product-cost'!A:B,2,)</f>
        <v>300</v>
      </c>
      <c r="T55" s="9" t="s">
        <v>34</v>
      </c>
      <c r="U55" s="9" t="s">
        <v>23</v>
      </c>
      <c r="V55" s="9" t="s">
        <v>872</v>
      </c>
      <c r="W55" s="9" t="s">
        <v>896</v>
      </c>
      <c r="X55" s="12">
        <f t="shared" si="6"/>
        <v>7377.45</v>
      </c>
      <c r="Y55" s="12">
        <f t="shared" si="7"/>
        <v>4500</v>
      </c>
      <c r="Z55" s="16">
        <f>VLOOKUP(T55,Taxrate!A:B,2,FALSE)</f>
        <v>0.15</v>
      </c>
      <c r="AA55" s="12">
        <f t="shared" si="8"/>
        <v>1106.6174999999998</v>
      </c>
      <c r="AB55" s="16">
        <f>VLOOKUP('Sales Dataset'!O55,'Discount Rate'!A:B,2,)</f>
        <v>0.1</v>
      </c>
      <c r="AC55" s="12">
        <f t="shared" si="9"/>
        <v>450</v>
      </c>
      <c r="AD55" s="18">
        <f t="shared" si="10"/>
        <v>4499.75</v>
      </c>
    </row>
    <row r="56" spans="1:30" ht="51" customHeight="1" x14ac:dyDescent="0.35">
      <c r="A56" s="9" t="s">
        <v>177</v>
      </c>
      <c r="B56" s="9" t="s">
        <v>178</v>
      </c>
      <c r="C56" s="9" t="s">
        <v>57</v>
      </c>
      <c r="D56" s="20" t="s">
        <v>12</v>
      </c>
      <c r="E56" s="9" t="s">
        <v>901</v>
      </c>
      <c r="F56" s="9" t="s">
        <v>902</v>
      </c>
      <c r="G56" s="8">
        <v>46014</v>
      </c>
      <c r="H56" s="7">
        <f t="shared" si="0"/>
        <v>2025</v>
      </c>
      <c r="I56" s="7" t="str">
        <f t="shared" si="1"/>
        <v>December</v>
      </c>
      <c r="J56" s="8" t="str">
        <f t="shared" si="2"/>
        <v>Tuesday</v>
      </c>
      <c r="K56" s="11">
        <v>0.8821296296296296</v>
      </c>
      <c r="L56" s="14">
        <f t="shared" si="3"/>
        <v>21</v>
      </c>
      <c r="M56" s="7">
        <f t="shared" si="4"/>
        <v>10</v>
      </c>
      <c r="N56" s="7">
        <f t="shared" si="5"/>
        <v>16</v>
      </c>
      <c r="O56" s="9" t="s">
        <v>66</v>
      </c>
      <c r="P56" s="9" t="s">
        <v>67</v>
      </c>
      <c r="Q56" s="9">
        <v>5</v>
      </c>
      <c r="R56" s="12">
        <v>145.4</v>
      </c>
      <c r="S56" s="12">
        <f>VLOOKUP(O56,'Product-cost'!A:B,2,)</f>
        <v>50</v>
      </c>
      <c r="T56" s="9" t="s">
        <v>45</v>
      </c>
      <c r="U56" s="9" t="s">
        <v>15</v>
      </c>
      <c r="V56" s="9" t="s">
        <v>871</v>
      </c>
      <c r="W56" s="9" t="s">
        <v>894</v>
      </c>
      <c r="X56" s="12">
        <f t="shared" si="6"/>
        <v>727</v>
      </c>
      <c r="Y56" s="12">
        <f t="shared" si="7"/>
        <v>250</v>
      </c>
      <c r="Z56" s="16">
        <f>VLOOKUP(T56,Taxrate!A:B,2,FALSE)</f>
        <v>7.0000000000000007E-2</v>
      </c>
      <c r="AA56" s="12">
        <f t="shared" si="8"/>
        <v>50.890000000000008</v>
      </c>
      <c r="AB56" s="16">
        <f>VLOOKUP('Sales Dataset'!O56,'Discount Rate'!A:B,2,)</f>
        <v>0.03</v>
      </c>
      <c r="AC56" s="12">
        <f t="shared" si="9"/>
        <v>7.5</v>
      </c>
      <c r="AD56" s="18">
        <f t="shared" si="10"/>
        <v>249.9</v>
      </c>
    </row>
    <row r="57" spans="1:30" ht="51" customHeight="1" x14ac:dyDescent="0.35">
      <c r="A57" s="9" t="s">
        <v>179</v>
      </c>
      <c r="B57" s="9" t="s">
        <v>180</v>
      </c>
      <c r="C57" s="9" t="s">
        <v>57</v>
      </c>
      <c r="D57" s="20" t="s">
        <v>12</v>
      </c>
      <c r="E57" s="9" t="s">
        <v>901</v>
      </c>
      <c r="F57" s="9" t="s">
        <v>902</v>
      </c>
      <c r="G57" s="8">
        <v>45023</v>
      </c>
      <c r="H57" s="7">
        <f t="shared" si="0"/>
        <v>2023</v>
      </c>
      <c r="I57" s="7" t="str">
        <f t="shared" si="1"/>
        <v>April</v>
      </c>
      <c r="J57" s="8" t="str">
        <f t="shared" si="2"/>
        <v>Friday</v>
      </c>
      <c r="K57" s="11">
        <v>0.34483796296296299</v>
      </c>
      <c r="L57" s="14">
        <f t="shared" si="3"/>
        <v>8</v>
      </c>
      <c r="M57" s="7">
        <f t="shared" si="4"/>
        <v>16</v>
      </c>
      <c r="N57" s="7">
        <f t="shared" si="5"/>
        <v>34</v>
      </c>
      <c r="O57" s="9" t="s">
        <v>13</v>
      </c>
      <c r="P57" s="9" t="s">
        <v>14</v>
      </c>
      <c r="Q57" s="9">
        <v>11</v>
      </c>
      <c r="R57" s="12">
        <v>931.08</v>
      </c>
      <c r="S57" s="12">
        <f>VLOOKUP(O57,'Product-cost'!A:B,2,)</f>
        <v>600</v>
      </c>
      <c r="T57" s="9" t="s">
        <v>34</v>
      </c>
      <c r="U57" s="9" t="s">
        <v>15</v>
      </c>
      <c r="V57" s="9" t="s">
        <v>871</v>
      </c>
      <c r="W57" s="9" t="s">
        <v>894</v>
      </c>
      <c r="X57" s="12">
        <f t="shared" si="6"/>
        <v>10241.880000000001</v>
      </c>
      <c r="Y57" s="12">
        <f t="shared" si="7"/>
        <v>6600</v>
      </c>
      <c r="Z57" s="16">
        <f>VLOOKUP(T57,Taxrate!A:B,2,FALSE)</f>
        <v>0.15</v>
      </c>
      <c r="AA57" s="12">
        <f t="shared" si="8"/>
        <v>1536.2820000000002</v>
      </c>
      <c r="AB57" s="16">
        <f>VLOOKUP('Sales Dataset'!O57,'Discount Rate'!A:B,2,)</f>
        <v>0.05</v>
      </c>
      <c r="AC57" s="12">
        <f t="shared" si="9"/>
        <v>330</v>
      </c>
      <c r="AD57" s="18">
        <f t="shared" si="10"/>
        <v>6599.8</v>
      </c>
    </row>
    <row r="58" spans="1:30" ht="51" customHeight="1" x14ac:dyDescent="0.35">
      <c r="A58" s="9" t="s">
        <v>181</v>
      </c>
      <c r="B58" s="9" t="s">
        <v>182</v>
      </c>
      <c r="C58" s="9" t="s">
        <v>83</v>
      </c>
      <c r="D58" s="20" t="s">
        <v>84</v>
      </c>
      <c r="E58" s="9" t="s">
        <v>913</v>
      </c>
      <c r="F58" s="9" t="s">
        <v>914</v>
      </c>
      <c r="G58" s="8">
        <v>46253</v>
      </c>
      <c r="H58" s="7">
        <f t="shared" si="0"/>
        <v>2026</v>
      </c>
      <c r="I58" s="7" t="str">
        <f t="shared" si="1"/>
        <v>August</v>
      </c>
      <c r="J58" s="8" t="str">
        <f t="shared" si="2"/>
        <v>Wednesday</v>
      </c>
      <c r="K58" s="11">
        <v>0.78644675925925922</v>
      </c>
      <c r="L58" s="14">
        <f t="shared" si="3"/>
        <v>18</v>
      </c>
      <c r="M58" s="7">
        <f t="shared" si="4"/>
        <v>52</v>
      </c>
      <c r="N58" s="7">
        <f t="shared" si="5"/>
        <v>29</v>
      </c>
      <c r="O58" s="9" t="s">
        <v>26</v>
      </c>
      <c r="P58" s="9" t="s">
        <v>27</v>
      </c>
      <c r="Q58" s="9">
        <v>2</v>
      </c>
      <c r="R58" s="12">
        <v>509.25</v>
      </c>
      <c r="S58" s="12">
        <f>VLOOKUP(O58,'Product-cost'!A:B,2,)</f>
        <v>200</v>
      </c>
      <c r="T58" s="9" t="s">
        <v>22</v>
      </c>
      <c r="U58" s="9" t="s">
        <v>183</v>
      </c>
      <c r="V58" s="9" t="s">
        <v>876</v>
      </c>
      <c r="W58" s="9" t="s">
        <v>896</v>
      </c>
      <c r="X58" s="12">
        <f t="shared" si="6"/>
        <v>1018.5</v>
      </c>
      <c r="Y58" s="12">
        <f t="shared" si="7"/>
        <v>400</v>
      </c>
      <c r="Z58" s="16">
        <f>VLOOKUP(T58,Taxrate!A:B,2,FALSE)</f>
        <v>0.1</v>
      </c>
      <c r="AA58" s="12">
        <f t="shared" si="8"/>
        <v>101.85000000000001</v>
      </c>
      <c r="AB58" s="16">
        <f>VLOOKUP('Sales Dataset'!O58,'Discount Rate'!A:B,2,)</f>
        <v>0.08</v>
      </c>
      <c r="AC58" s="12">
        <f t="shared" si="9"/>
        <v>32</v>
      </c>
      <c r="AD58" s="18">
        <f t="shared" si="10"/>
        <v>399.82</v>
      </c>
    </row>
    <row r="59" spans="1:30" ht="51" customHeight="1" x14ac:dyDescent="0.35">
      <c r="A59" s="9" t="s">
        <v>184</v>
      </c>
      <c r="B59" s="9" t="s">
        <v>185</v>
      </c>
      <c r="C59" s="9" t="s">
        <v>57</v>
      </c>
      <c r="D59" s="20" t="s">
        <v>12</v>
      </c>
      <c r="E59" s="9" t="s">
        <v>901</v>
      </c>
      <c r="F59" s="9" t="s">
        <v>902</v>
      </c>
      <c r="G59" s="8">
        <v>46129</v>
      </c>
      <c r="H59" s="7">
        <f t="shared" si="0"/>
        <v>2026</v>
      </c>
      <c r="I59" s="7" t="str">
        <f t="shared" si="1"/>
        <v>April</v>
      </c>
      <c r="J59" s="8" t="str">
        <f t="shared" si="2"/>
        <v>Friday</v>
      </c>
      <c r="K59" s="11">
        <v>0.61187499999999995</v>
      </c>
      <c r="L59" s="14">
        <f t="shared" si="3"/>
        <v>14</v>
      </c>
      <c r="M59" s="7">
        <f t="shared" si="4"/>
        <v>41</v>
      </c>
      <c r="N59" s="7">
        <f t="shared" si="5"/>
        <v>6</v>
      </c>
      <c r="O59" s="9" t="s">
        <v>66</v>
      </c>
      <c r="P59" s="9" t="s">
        <v>67</v>
      </c>
      <c r="Q59" s="9">
        <v>5</v>
      </c>
      <c r="R59" s="12">
        <v>500</v>
      </c>
      <c r="S59" s="12">
        <f>VLOOKUP(O59,'Product-cost'!A:B,2,)</f>
        <v>50</v>
      </c>
      <c r="T59" s="9" t="s">
        <v>22</v>
      </c>
      <c r="U59" s="9" t="s">
        <v>15</v>
      </c>
      <c r="V59" s="9" t="s">
        <v>872</v>
      </c>
      <c r="W59" s="9" t="s">
        <v>896</v>
      </c>
      <c r="X59" s="12">
        <f t="shared" si="6"/>
        <v>2500</v>
      </c>
      <c r="Y59" s="12">
        <f t="shared" si="7"/>
        <v>250</v>
      </c>
      <c r="Z59" s="16">
        <f>VLOOKUP(T59,Taxrate!A:B,2,FALSE)</f>
        <v>0.1</v>
      </c>
      <c r="AA59" s="12">
        <f t="shared" si="8"/>
        <v>250</v>
      </c>
      <c r="AB59" s="16">
        <f>VLOOKUP('Sales Dataset'!O59,'Discount Rate'!A:B,2,)</f>
        <v>0.03</v>
      </c>
      <c r="AC59" s="12">
        <f t="shared" si="9"/>
        <v>7.5</v>
      </c>
      <c r="AD59" s="18">
        <f t="shared" si="10"/>
        <v>249.87</v>
      </c>
    </row>
    <row r="60" spans="1:30" ht="51" customHeight="1" x14ac:dyDescent="0.35">
      <c r="A60" s="9" t="s">
        <v>186</v>
      </c>
      <c r="B60" s="9" t="s">
        <v>187</v>
      </c>
      <c r="C60" s="9" t="s">
        <v>32</v>
      </c>
      <c r="D60" s="20" t="s">
        <v>33</v>
      </c>
      <c r="E60" s="9" t="s">
        <v>905</v>
      </c>
      <c r="F60" s="9" t="s">
        <v>906</v>
      </c>
      <c r="G60" s="8">
        <v>45742</v>
      </c>
      <c r="H60" s="7">
        <f t="shared" si="0"/>
        <v>2025</v>
      </c>
      <c r="I60" s="7" t="str">
        <f t="shared" si="1"/>
        <v>March</v>
      </c>
      <c r="J60" s="8" t="str">
        <f t="shared" si="2"/>
        <v>Wednesday</v>
      </c>
      <c r="K60" s="11">
        <v>0.46381944444444445</v>
      </c>
      <c r="L60" s="14">
        <f t="shared" si="3"/>
        <v>11</v>
      </c>
      <c r="M60" s="7">
        <f t="shared" si="4"/>
        <v>7</v>
      </c>
      <c r="N60" s="7">
        <f t="shared" si="5"/>
        <v>54</v>
      </c>
      <c r="O60" s="9" t="s">
        <v>66</v>
      </c>
      <c r="P60" s="9" t="s">
        <v>67</v>
      </c>
      <c r="Q60" s="9">
        <v>7</v>
      </c>
      <c r="R60" s="12">
        <v>167.96</v>
      </c>
      <c r="S60" s="12">
        <f>VLOOKUP(O60,'Product-cost'!A:B,2,)</f>
        <v>50</v>
      </c>
      <c r="T60" s="9" t="s">
        <v>45</v>
      </c>
      <c r="U60" s="9" t="s">
        <v>77</v>
      </c>
      <c r="V60" s="9" t="s">
        <v>872</v>
      </c>
      <c r="W60" s="9" t="s">
        <v>896</v>
      </c>
      <c r="X60" s="12">
        <f t="shared" si="6"/>
        <v>1175.72</v>
      </c>
      <c r="Y60" s="12">
        <f t="shared" si="7"/>
        <v>350</v>
      </c>
      <c r="Z60" s="16">
        <f>VLOOKUP(T60,Taxrate!A:B,2,FALSE)</f>
        <v>7.0000000000000007E-2</v>
      </c>
      <c r="AA60" s="12">
        <f t="shared" si="8"/>
        <v>82.30040000000001</v>
      </c>
      <c r="AB60" s="16">
        <f>VLOOKUP('Sales Dataset'!O60,'Discount Rate'!A:B,2,)</f>
        <v>0.03</v>
      </c>
      <c r="AC60" s="12">
        <f t="shared" si="9"/>
        <v>10.5</v>
      </c>
      <c r="AD60" s="18">
        <f t="shared" si="10"/>
        <v>349.90000000000003</v>
      </c>
    </row>
    <row r="61" spans="1:30" ht="51" customHeight="1" x14ac:dyDescent="0.35">
      <c r="A61" s="9" t="s">
        <v>188</v>
      </c>
      <c r="B61" s="9" t="s">
        <v>189</v>
      </c>
      <c r="C61" s="9" t="s">
        <v>18</v>
      </c>
      <c r="D61" s="20" t="s">
        <v>19</v>
      </c>
      <c r="E61" s="9" t="s">
        <v>903</v>
      </c>
      <c r="F61" s="9" t="s">
        <v>904</v>
      </c>
      <c r="G61" s="8">
        <v>45229</v>
      </c>
      <c r="H61" s="7">
        <f t="shared" si="0"/>
        <v>2023</v>
      </c>
      <c r="I61" s="7" t="str">
        <f t="shared" si="1"/>
        <v>October</v>
      </c>
      <c r="J61" s="8" t="str">
        <f t="shared" si="2"/>
        <v>Monday</v>
      </c>
      <c r="K61" s="11">
        <v>0.53760416666666666</v>
      </c>
      <c r="L61" s="14">
        <f t="shared" si="3"/>
        <v>12</v>
      </c>
      <c r="M61" s="7">
        <f t="shared" si="4"/>
        <v>54</v>
      </c>
      <c r="N61" s="7">
        <f t="shared" si="5"/>
        <v>9</v>
      </c>
      <c r="O61" s="9" t="s">
        <v>20</v>
      </c>
      <c r="P61" s="9" t="s">
        <v>21</v>
      </c>
      <c r="Q61" s="9">
        <v>13</v>
      </c>
      <c r="R61" s="12">
        <v>678.32</v>
      </c>
      <c r="S61" s="12">
        <f>VLOOKUP(O61,'Product-cost'!A:B,2,)</f>
        <v>300</v>
      </c>
      <c r="T61" s="9" t="s">
        <v>45</v>
      </c>
      <c r="U61" s="9" t="s">
        <v>23</v>
      </c>
      <c r="V61" s="9" t="s">
        <v>872</v>
      </c>
      <c r="W61" s="9" t="s">
        <v>896</v>
      </c>
      <c r="X61" s="12">
        <f t="shared" si="6"/>
        <v>8818.16</v>
      </c>
      <c r="Y61" s="12">
        <f t="shared" si="7"/>
        <v>3900</v>
      </c>
      <c r="Z61" s="16">
        <f>VLOOKUP(T61,Taxrate!A:B,2,FALSE)</f>
        <v>7.0000000000000007E-2</v>
      </c>
      <c r="AA61" s="12">
        <f t="shared" si="8"/>
        <v>617.27120000000002</v>
      </c>
      <c r="AB61" s="16">
        <f>VLOOKUP('Sales Dataset'!O61,'Discount Rate'!A:B,2,)</f>
        <v>0.1</v>
      </c>
      <c r="AC61" s="12">
        <f t="shared" si="9"/>
        <v>390</v>
      </c>
      <c r="AD61" s="18">
        <f t="shared" si="10"/>
        <v>3899.83</v>
      </c>
    </row>
    <row r="62" spans="1:30" ht="51" customHeight="1" x14ac:dyDescent="0.35">
      <c r="A62" s="9" t="s">
        <v>190</v>
      </c>
      <c r="B62" s="9" t="s">
        <v>191</v>
      </c>
      <c r="C62" s="9" t="s">
        <v>114</v>
      </c>
      <c r="D62" s="20" t="s">
        <v>19</v>
      </c>
      <c r="E62" s="9" t="s">
        <v>903</v>
      </c>
      <c r="F62" s="9" t="s">
        <v>904</v>
      </c>
      <c r="G62" s="8">
        <v>45235</v>
      </c>
      <c r="H62" s="7">
        <f t="shared" si="0"/>
        <v>2023</v>
      </c>
      <c r="I62" s="7" t="str">
        <f t="shared" si="1"/>
        <v>November</v>
      </c>
      <c r="J62" s="8" t="str">
        <f t="shared" si="2"/>
        <v>Sunday</v>
      </c>
      <c r="K62" s="11">
        <v>0.65929398148148144</v>
      </c>
      <c r="L62" s="14">
        <f t="shared" si="3"/>
        <v>15</v>
      </c>
      <c r="M62" s="7">
        <f t="shared" si="4"/>
        <v>49</v>
      </c>
      <c r="N62" s="7">
        <f t="shared" si="5"/>
        <v>23</v>
      </c>
      <c r="O62" s="9" t="s">
        <v>40</v>
      </c>
      <c r="P62" s="9" t="s">
        <v>41</v>
      </c>
      <c r="Q62" s="9">
        <v>8</v>
      </c>
      <c r="R62" s="12">
        <v>280</v>
      </c>
      <c r="S62" s="12">
        <f>VLOOKUP(O62,'Product-cost'!A:B,2,)</f>
        <v>150</v>
      </c>
      <c r="T62" s="9" t="s">
        <v>45</v>
      </c>
      <c r="U62" s="9" t="s">
        <v>23</v>
      </c>
      <c r="V62" s="9" t="s">
        <v>872</v>
      </c>
      <c r="W62" s="9" t="s">
        <v>896</v>
      </c>
      <c r="X62" s="12">
        <f t="shared" si="6"/>
        <v>2240</v>
      </c>
      <c r="Y62" s="12">
        <f t="shared" si="7"/>
        <v>1200</v>
      </c>
      <c r="Z62" s="16">
        <f>VLOOKUP(T62,Taxrate!A:B,2,FALSE)</f>
        <v>7.0000000000000007E-2</v>
      </c>
      <c r="AA62" s="12">
        <f t="shared" si="8"/>
        <v>156.80000000000001</v>
      </c>
      <c r="AB62" s="16">
        <f>VLOOKUP('Sales Dataset'!O62,'Discount Rate'!A:B,2,)</f>
        <v>7.0000000000000007E-2</v>
      </c>
      <c r="AC62" s="12">
        <f t="shared" si="9"/>
        <v>84.000000000000014</v>
      </c>
      <c r="AD62" s="18">
        <f t="shared" si="10"/>
        <v>1199.8600000000001</v>
      </c>
    </row>
    <row r="63" spans="1:30" ht="51" customHeight="1" x14ac:dyDescent="0.35">
      <c r="A63" s="9" t="s">
        <v>192</v>
      </c>
      <c r="B63" s="9" t="s">
        <v>193</v>
      </c>
      <c r="C63" s="9" t="s">
        <v>141</v>
      </c>
      <c r="D63" s="20" t="s">
        <v>142</v>
      </c>
      <c r="E63" s="9" t="s">
        <v>917</v>
      </c>
      <c r="F63" s="9" t="s">
        <v>918</v>
      </c>
      <c r="G63" s="8">
        <v>46184</v>
      </c>
      <c r="H63" s="7">
        <f t="shared" si="0"/>
        <v>2026</v>
      </c>
      <c r="I63" s="7" t="str">
        <f t="shared" si="1"/>
        <v>June</v>
      </c>
      <c r="J63" s="8" t="str">
        <f t="shared" si="2"/>
        <v>Thursday</v>
      </c>
      <c r="K63" s="11">
        <v>0.65692129629629625</v>
      </c>
      <c r="L63" s="14">
        <f t="shared" si="3"/>
        <v>15</v>
      </c>
      <c r="M63" s="7">
        <f t="shared" si="4"/>
        <v>45</v>
      </c>
      <c r="N63" s="7">
        <f t="shared" si="5"/>
        <v>58</v>
      </c>
      <c r="O63" s="9" t="s">
        <v>66</v>
      </c>
      <c r="P63" s="9" t="s">
        <v>67</v>
      </c>
      <c r="Q63" s="9">
        <v>7</v>
      </c>
      <c r="R63" s="12">
        <v>500</v>
      </c>
      <c r="S63" s="12">
        <f>VLOOKUP(O63,'Product-cost'!A:B,2,)</f>
        <v>50</v>
      </c>
      <c r="T63" s="9" t="s">
        <v>49</v>
      </c>
      <c r="U63" s="9" t="s">
        <v>143</v>
      </c>
      <c r="V63" s="9" t="s">
        <v>878</v>
      </c>
      <c r="W63" s="9" t="s">
        <v>894</v>
      </c>
      <c r="X63" s="12">
        <f t="shared" si="6"/>
        <v>3500</v>
      </c>
      <c r="Y63" s="12">
        <f t="shared" si="7"/>
        <v>350</v>
      </c>
      <c r="Z63" s="16">
        <f>VLOOKUP(T63,Taxrate!A:B,2,FALSE)</f>
        <v>0.12</v>
      </c>
      <c r="AA63" s="12">
        <f t="shared" si="8"/>
        <v>420</v>
      </c>
      <c r="AB63" s="16">
        <f>VLOOKUP('Sales Dataset'!O63,'Discount Rate'!A:B,2,)</f>
        <v>0.03</v>
      </c>
      <c r="AC63" s="12">
        <f t="shared" si="9"/>
        <v>10.5</v>
      </c>
      <c r="AD63" s="18">
        <f t="shared" si="10"/>
        <v>349.85</v>
      </c>
    </row>
    <row r="64" spans="1:30" ht="51" customHeight="1" x14ac:dyDescent="0.35">
      <c r="A64" s="9" t="s">
        <v>194</v>
      </c>
      <c r="B64" s="9" t="s">
        <v>195</v>
      </c>
      <c r="C64" s="9" t="s">
        <v>83</v>
      </c>
      <c r="D64" s="20" t="s">
        <v>84</v>
      </c>
      <c r="E64" s="9" t="s">
        <v>913</v>
      </c>
      <c r="F64" s="9" t="s">
        <v>914</v>
      </c>
      <c r="G64" s="8">
        <v>45130</v>
      </c>
      <c r="H64" s="7">
        <f t="shared" si="0"/>
        <v>2023</v>
      </c>
      <c r="I64" s="7" t="str">
        <f t="shared" si="1"/>
        <v>July</v>
      </c>
      <c r="J64" s="8" t="str">
        <f t="shared" si="2"/>
        <v>Sunday</v>
      </c>
      <c r="K64" s="11">
        <v>0.90394675925925927</v>
      </c>
      <c r="L64" s="14">
        <f t="shared" si="3"/>
        <v>21</v>
      </c>
      <c r="M64" s="7">
        <f t="shared" si="4"/>
        <v>41</v>
      </c>
      <c r="N64" s="7">
        <f t="shared" si="5"/>
        <v>41</v>
      </c>
      <c r="O64" s="9" t="s">
        <v>40</v>
      </c>
      <c r="P64" s="9" t="s">
        <v>41</v>
      </c>
      <c r="Q64" s="9">
        <v>4</v>
      </c>
      <c r="R64" s="12">
        <v>273.69</v>
      </c>
      <c r="S64" s="12">
        <f>VLOOKUP(O64,'Product-cost'!A:B,2,)</f>
        <v>150</v>
      </c>
      <c r="T64" s="9" t="s">
        <v>34</v>
      </c>
      <c r="U64" s="9" t="s">
        <v>102</v>
      </c>
      <c r="V64" s="9" t="s">
        <v>870</v>
      </c>
      <c r="W64" s="9" t="s">
        <v>894</v>
      </c>
      <c r="X64" s="12">
        <f t="shared" si="6"/>
        <v>1094.76</v>
      </c>
      <c r="Y64" s="12">
        <f t="shared" si="7"/>
        <v>600</v>
      </c>
      <c r="Z64" s="16">
        <f>VLOOKUP(T64,Taxrate!A:B,2,FALSE)</f>
        <v>0.15</v>
      </c>
      <c r="AA64" s="12">
        <f t="shared" si="8"/>
        <v>164.214</v>
      </c>
      <c r="AB64" s="16">
        <f>VLOOKUP('Sales Dataset'!O64,'Discount Rate'!A:B,2,)</f>
        <v>7.0000000000000007E-2</v>
      </c>
      <c r="AC64" s="12">
        <f t="shared" si="9"/>
        <v>42.000000000000007</v>
      </c>
      <c r="AD64" s="18">
        <f t="shared" si="10"/>
        <v>599.78</v>
      </c>
    </row>
    <row r="65" spans="1:30" ht="51" customHeight="1" x14ac:dyDescent="0.35">
      <c r="A65" s="9" t="s">
        <v>196</v>
      </c>
      <c r="B65" s="9" t="s">
        <v>197</v>
      </c>
      <c r="C65" s="9" t="s">
        <v>65</v>
      </c>
      <c r="D65" s="20" t="s">
        <v>53</v>
      </c>
      <c r="E65" s="9" t="s">
        <v>909</v>
      </c>
      <c r="F65" s="9" t="s">
        <v>910</v>
      </c>
      <c r="G65" s="8">
        <v>45084</v>
      </c>
      <c r="H65" s="7">
        <f t="shared" si="0"/>
        <v>2023</v>
      </c>
      <c r="I65" s="7" t="str">
        <f t="shared" si="1"/>
        <v>June</v>
      </c>
      <c r="J65" s="8" t="str">
        <f t="shared" si="2"/>
        <v>Wednesday</v>
      </c>
      <c r="K65" s="11">
        <v>0.39381944444444444</v>
      </c>
      <c r="L65" s="14">
        <f t="shared" si="3"/>
        <v>9</v>
      </c>
      <c r="M65" s="7">
        <f t="shared" si="4"/>
        <v>27</v>
      </c>
      <c r="N65" s="7">
        <f t="shared" si="5"/>
        <v>6</v>
      </c>
      <c r="O65" s="9" t="s">
        <v>26</v>
      </c>
      <c r="P65" s="9" t="s">
        <v>27</v>
      </c>
      <c r="Q65" s="9">
        <v>9</v>
      </c>
      <c r="R65" s="12">
        <v>500</v>
      </c>
      <c r="S65" s="12">
        <f>VLOOKUP(O65,'Product-cost'!A:B,2,)</f>
        <v>200</v>
      </c>
      <c r="T65" s="9" t="s">
        <v>49</v>
      </c>
      <c r="U65" s="9" t="s">
        <v>68</v>
      </c>
      <c r="V65" s="9" t="s">
        <v>882</v>
      </c>
      <c r="W65" s="9" t="s">
        <v>895</v>
      </c>
      <c r="X65" s="12">
        <f t="shared" si="6"/>
        <v>4500</v>
      </c>
      <c r="Y65" s="12">
        <f t="shared" si="7"/>
        <v>1800</v>
      </c>
      <c r="Z65" s="16">
        <f>VLOOKUP(T65,Taxrate!A:B,2,FALSE)</f>
        <v>0.12</v>
      </c>
      <c r="AA65" s="12">
        <f t="shared" si="8"/>
        <v>540</v>
      </c>
      <c r="AB65" s="16">
        <f>VLOOKUP('Sales Dataset'!O65,'Discount Rate'!A:B,2,)</f>
        <v>0.08</v>
      </c>
      <c r="AC65" s="12">
        <f t="shared" si="9"/>
        <v>144</v>
      </c>
      <c r="AD65" s="18">
        <f t="shared" si="10"/>
        <v>1799.8000000000002</v>
      </c>
    </row>
    <row r="66" spans="1:30" ht="51" customHeight="1" x14ac:dyDescent="0.35">
      <c r="A66" s="9" t="s">
        <v>198</v>
      </c>
      <c r="B66" s="9" t="s">
        <v>199</v>
      </c>
      <c r="C66" s="9" t="s">
        <v>107</v>
      </c>
      <c r="D66" s="20" t="s">
        <v>53</v>
      </c>
      <c r="E66" s="9" t="s">
        <v>909</v>
      </c>
      <c r="F66" s="9" t="s">
        <v>910</v>
      </c>
      <c r="G66" s="8">
        <v>44934</v>
      </c>
      <c r="H66" s="7">
        <f t="shared" si="0"/>
        <v>2023</v>
      </c>
      <c r="I66" s="7" t="str">
        <f t="shared" si="1"/>
        <v>January</v>
      </c>
      <c r="J66" s="8" t="str">
        <f t="shared" si="2"/>
        <v>Sunday</v>
      </c>
      <c r="K66" s="11">
        <v>0.44618055555555558</v>
      </c>
      <c r="L66" s="14">
        <f t="shared" si="3"/>
        <v>10</v>
      </c>
      <c r="M66" s="7">
        <f t="shared" si="4"/>
        <v>42</v>
      </c>
      <c r="N66" s="7">
        <f t="shared" si="5"/>
        <v>30</v>
      </c>
      <c r="O66" s="9" t="s">
        <v>20</v>
      </c>
      <c r="P66" s="9" t="s">
        <v>21</v>
      </c>
      <c r="Q66" s="9">
        <v>6</v>
      </c>
      <c r="R66" s="12">
        <v>590.27</v>
      </c>
      <c r="S66" s="12">
        <f>VLOOKUP(O66,'Product-cost'!A:B,2,)</f>
        <v>300</v>
      </c>
      <c r="T66" s="9" t="s">
        <v>22</v>
      </c>
      <c r="U66" s="9" t="s">
        <v>54</v>
      </c>
      <c r="V66" s="9" t="s">
        <v>868</v>
      </c>
      <c r="W66" s="9" t="s">
        <v>894</v>
      </c>
      <c r="X66" s="12">
        <f t="shared" si="6"/>
        <v>3541.62</v>
      </c>
      <c r="Y66" s="12">
        <f t="shared" si="7"/>
        <v>1800</v>
      </c>
      <c r="Z66" s="16">
        <f>VLOOKUP(T66,Taxrate!A:B,2,FALSE)</f>
        <v>0.1</v>
      </c>
      <c r="AA66" s="12">
        <f t="shared" si="8"/>
        <v>354.16200000000003</v>
      </c>
      <c r="AB66" s="16">
        <f>VLOOKUP('Sales Dataset'!O66,'Discount Rate'!A:B,2,)</f>
        <v>0.1</v>
      </c>
      <c r="AC66" s="12">
        <f t="shared" si="9"/>
        <v>180</v>
      </c>
      <c r="AD66" s="18">
        <f t="shared" si="10"/>
        <v>1799.8000000000002</v>
      </c>
    </row>
    <row r="67" spans="1:30" ht="51" customHeight="1" x14ac:dyDescent="0.35">
      <c r="A67" s="9" t="s">
        <v>200</v>
      </c>
      <c r="B67" s="9" t="s">
        <v>201</v>
      </c>
      <c r="C67" s="9" t="s">
        <v>52</v>
      </c>
      <c r="D67" s="20" t="s">
        <v>53</v>
      </c>
      <c r="E67" s="9" t="s">
        <v>909</v>
      </c>
      <c r="F67" s="9" t="s">
        <v>910</v>
      </c>
      <c r="G67" s="8">
        <v>46307</v>
      </c>
      <c r="H67" s="7">
        <f t="shared" ref="H67:H130" si="11">YEAR(G67)</f>
        <v>2026</v>
      </c>
      <c r="I67" s="7" t="str">
        <f t="shared" ref="I67:I130" si="12">TEXT(G67,"mmmm")</f>
        <v>October</v>
      </c>
      <c r="J67" s="8" t="str">
        <f t="shared" ref="J67:J130" si="13">TEXT(G67,"dddd")</f>
        <v>Monday</v>
      </c>
      <c r="K67" s="11">
        <v>0.55694444444444446</v>
      </c>
      <c r="L67" s="14">
        <f t="shared" ref="L67:L130" si="14">HOUR(K67)</f>
        <v>13</v>
      </c>
      <c r="M67" s="7">
        <f t="shared" ref="M67:M130" si="15">MINUTE(K67)</f>
        <v>22</v>
      </c>
      <c r="N67" s="7">
        <f t="shared" ref="N67:N130" si="16">SECOND(K67)</f>
        <v>0</v>
      </c>
      <c r="O67" s="9" t="s">
        <v>20</v>
      </c>
      <c r="P67" s="9" t="s">
        <v>21</v>
      </c>
      <c r="Q67" s="9">
        <v>10</v>
      </c>
      <c r="R67" s="12">
        <v>500.88</v>
      </c>
      <c r="S67" s="12">
        <f>VLOOKUP(O67,'Product-cost'!A:B,2,)</f>
        <v>300</v>
      </c>
      <c r="T67" s="9" t="s">
        <v>45</v>
      </c>
      <c r="U67" s="9" t="s">
        <v>68</v>
      </c>
      <c r="V67" s="9" t="s">
        <v>874</v>
      </c>
      <c r="W67" s="9" t="s">
        <v>894</v>
      </c>
      <c r="X67" s="12">
        <f t="shared" ref="X67:X130" si="17">R67*Q67</f>
        <v>5008.8</v>
      </c>
      <c r="Y67" s="12">
        <f t="shared" ref="Y67:Y130" si="18">S67*Q67</f>
        <v>3000</v>
      </c>
      <c r="Z67" s="16">
        <f>VLOOKUP(T67,Taxrate!A:B,2,FALSE)</f>
        <v>7.0000000000000007E-2</v>
      </c>
      <c r="AA67" s="12">
        <f t="shared" ref="AA67:AA130" si="19">X67*Z67</f>
        <v>350.61600000000004</v>
      </c>
      <c r="AB67" s="16">
        <f>VLOOKUP('Sales Dataset'!O67,'Discount Rate'!A:B,2,)</f>
        <v>0.1</v>
      </c>
      <c r="AC67" s="12">
        <f t="shared" ref="AC67:AC130" si="20">Y67*AB67</f>
        <v>300</v>
      </c>
      <c r="AD67" s="18">
        <f t="shared" ref="AD67:AD130" si="21">Y67-AB67-Z67</f>
        <v>2999.83</v>
      </c>
    </row>
    <row r="68" spans="1:30" ht="51" customHeight="1" x14ac:dyDescent="0.35">
      <c r="A68" s="9" t="s">
        <v>202</v>
      </c>
      <c r="B68" s="9" t="s">
        <v>203</v>
      </c>
      <c r="C68" s="9" t="s">
        <v>150</v>
      </c>
      <c r="D68" s="20" t="s">
        <v>33</v>
      </c>
      <c r="E68" s="9" t="s">
        <v>905</v>
      </c>
      <c r="F68" s="9" t="s">
        <v>906</v>
      </c>
      <c r="G68" s="8">
        <v>45034</v>
      </c>
      <c r="H68" s="7">
        <f t="shared" si="11"/>
        <v>2023</v>
      </c>
      <c r="I68" s="7" t="str">
        <f t="shared" si="12"/>
        <v>April</v>
      </c>
      <c r="J68" s="8" t="str">
        <f t="shared" si="13"/>
        <v>Tuesday</v>
      </c>
      <c r="K68" s="11">
        <v>0.45045138888888892</v>
      </c>
      <c r="L68" s="14">
        <f t="shared" si="14"/>
        <v>10</v>
      </c>
      <c r="M68" s="7">
        <f t="shared" si="15"/>
        <v>48</v>
      </c>
      <c r="N68" s="7">
        <f t="shared" si="16"/>
        <v>39</v>
      </c>
      <c r="O68" s="9" t="s">
        <v>13</v>
      </c>
      <c r="P68" s="9" t="s">
        <v>14</v>
      </c>
      <c r="Q68" s="9">
        <v>5</v>
      </c>
      <c r="R68" s="12">
        <v>1012.01</v>
      </c>
      <c r="S68" s="12">
        <f>VLOOKUP(O68,'Product-cost'!A:B,2,)</f>
        <v>600</v>
      </c>
      <c r="T68" s="9" t="s">
        <v>49</v>
      </c>
      <c r="U68" s="9" t="s">
        <v>77</v>
      </c>
      <c r="V68" s="9" t="s">
        <v>870</v>
      </c>
      <c r="W68" s="9" t="s">
        <v>894</v>
      </c>
      <c r="X68" s="12">
        <f t="shared" si="17"/>
        <v>5060.05</v>
      </c>
      <c r="Y68" s="12">
        <f t="shared" si="18"/>
        <v>3000</v>
      </c>
      <c r="Z68" s="16">
        <f>VLOOKUP(T68,Taxrate!A:B,2,FALSE)</f>
        <v>0.12</v>
      </c>
      <c r="AA68" s="12">
        <f t="shared" si="19"/>
        <v>607.20600000000002</v>
      </c>
      <c r="AB68" s="16">
        <f>VLOOKUP('Sales Dataset'!O68,'Discount Rate'!A:B,2,)</f>
        <v>0.05</v>
      </c>
      <c r="AC68" s="12">
        <f t="shared" si="20"/>
        <v>150</v>
      </c>
      <c r="AD68" s="18">
        <f t="shared" si="21"/>
        <v>2999.83</v>
      </c>
    </row>
    <row r="69" spans="1:30" ht="51" customHeight="1" x14ac:dyDescent="0.35">
      <c r="A69" s="9" t="s">
        <v>204</v>
      </c>
      <c r="B69" s="9" t="s">
        <v>205</v>
      </c>
      <c r="C69" s="9" t="s">
        <v>65</v>
      </c>
      <c r="D69" s="20" t="s">
        <v>53</v>
      </c>
      <c r="E69" s="9" t="s">
        <v>909</v>
      </c>
      <c r="F69" s="9" t="s">
        <v>910</v>
      </c>
      <c r="G69" s="8">
        <v>45020</v>
      </c>
      <c r="H69" s="7">
        <f t="shared" si="11"/>
        <v>2023</v>
      </c>
      <c r="I69" s="7" t="str">
        <f t="shared" si="12"/>
        <v>April</v>
      </c>
      <c r="J69" s="8" t="str">
        <f t="shared" si="13"/>
        <v>Tuesday</v>
      </c>
      <c r="K69" s="11">
        <v>0.60975694444444439</v>
      </c>
      <c r="L69" s="14">
        <f t="shared" si="14"/>
        <v>14</v>
      </c>
      <c r="M69" s="7">
        <f t="shared" si="15"/>
        <v>38</v>
      </c>
      <c r="N69" s="7">
        <f t="shared" si="16"/>
        <v>3</v>
      </c>
      <c r="O69" s="9" t="s">
        <v>13</v>
      </c>
      <c r="P69" s="9" t="s">
        <v>14</v>
      </c>
      <c r="Q69" s="9">
        <v>4</v>
      </c>
      <c r="R69" s="12">
        <v>1182.08</v>
      </c>
      <c r="S69" s="12">
        <f>VLOOKUP(O69,'Product-cost'!A:B,2,)</f>
        <v>600</v>
      </c>
      <c r="T69" s="9" t="s">
        <v>22</v>
      </c>
      <c r="U69" s="9" t="s">
        <v>206</v>
      </c>
      <c r="V69" s="9" t="s">
        <v>872</v>
      </c>
      <c r="W69" s="9" t="s">
        <v>896</v>
      </c>
      <c r="X69" s="12">
        <f t="shared" si="17"/>
        <v>4728.32</v>
      </c>
      <c r="Y69" s="12">
        <f t="shared" si="18"/>
        <v>2400</v>
      </c>
      <c r="Z69" s="16">
        <f>VLOOKUP(T69,Taxrate!A:B,2,FALSE)</f>
        <v>0.1</v>
      </c>
      <c r="AA69" s="12">
        <f t="shared" si="19"/>
        <v>472.83199999999999</v>
      </c>
      <c r="AB69" s="16">
        <f>VLOOKUP('Sales Dataset'!O69,'Discount Rate'!A:B,2,)</f>
        <v>0.05</v>
      </c>
      <c r="AC69" s="12">
        <f t="shared" si="20"/>
        <v>120</v>
      </c>
      <c r="AD69" s="18">
        <f t="shared" si="21"/>
        <v>2399.85</v>
      </c>
    </row>
    <row r="70" spans="1:30" ht="51" customHeight="1" x14ac:dyDescent="0.35">
      <c r="A70" s="9" t="s">
        <v>207</v>
      </c>
      <c r="B70" s="9" t="s">
        <v>208</v>
      </c>
      <c r="C70" s="9" t="s">
        <v>32</v>
      </c>
      <c r="D70" s="20" t="s">
        <v>33</v>
      </c>
      <c r="E70" s="9" t="s">
        <v>905</v>
      </c>
      <c r="F70" s="9" t="s">
        <v>906</v>
      </c>
      <c r="G70" s="8">
        <v>45740</v>
      </c>
      <c r="H70" s="7">
        <f t="shared" si="11"/>
        <v>2025</v>
      </c>
      <c r="I70" s="7" t="str">
        <f t="shared" si="12"/>
        <v>March</v>
      </c>
      <c r="J70" s="8" t="str">
        <f t="shared" si="13"/>
        <v>Monday</v>
      </c>
      <c r="K70" s="11">
        <v>0.58436342592592594</v>
      </c>
      <c r="L70" s="14">
        <f t="shared" si="14"/>
        <v>14</v>
      </c>
      <c r="M70" s="7">
        <f t="shared" si="15"/>
        <v>1</v>
      </c>
      <c r="N70" s="7">
        <f t="shared" si="16"/>
        <v>29</v>
      </c>
      <c r="O70" s="9" t="s">
        <v>13</v>
      </c>
      <c r="P70" s="9" t="s">
        <v>14</v>
      </c>
      <c r="Q70" s="9">
        <v>10</v>
      </c>
      <c r="R70" s="12">
        <v>1002.21</v>
      </c>
      <c r="S70" s="12">
        <f>VLOOKUP(O70,'Product-cost'!A:B,2,)</f>
        <v>600</v>
      </c>
      <c r="T70" s="9" t="s">
        <v>34</v>
      </c>
      <c r="U70" s="9" t="s">
        <v>77</v>
      </c>
      <c r="V70" s="9" t="s">
        <v>877</v>
      </c>
      <c r="W70" s="9" t="s">
        <v>894</v>
      </c>
      <c r="X70" s="12">
        <f t="shared" si="17"/>
        <v>10022.1</v>
      </c>
      <c r="Y70" s="12">
        <f t="shared" si="18"/>
        <v>6000</v>
      </c>
      <c r="Z70" s="16">
        <f>VLOOKUP(T70,Taxrate!A:B,2,FALSE)</f>
        <v>0.15</v>
      </c>
      <c r="AA70" s="12">
        <f t="shared" si="19"/>
        <v>1503.3150000000001</v>
      </c>
      <c r="AB70" s="16">
        <f>VLOOKUP('Sales Dataset'!O70,'Discount Rate'!A:B,2,)</f>
        <v>0.05</v>
      </c>
      <c r="AC70" s="12">
        <f t="shared" si="20"/>
        <v>300</v>
      </c>
      <c r="AD70" s="18">
        <f t="shared" si="21"/>
        <v>5999.8</v>
      </c>
    </row>
    <row r="71" spans="1:30" ht="51" customHeight="1" x14ac:dyDescent="0.35">
      <c r="A71" s="9" t="s">
        <v>209</v>
      </c>
      <c r="B71" s="9" t="s">
        <v>44</v>
      </c>
      <c r="C71" s="9" t="s">
        <v>60</v>
      </c>
      <c r="D71" s="20" t="s">
        <v>61</v>
      </c>
      <c r="E71" s="9" t="s">
        <v>911</v>
      </c>
      <c r="F71" s="9" t="s">
        <v>912</v>
      </c>
      <c r="G71" s="8">
        <v>45054</v>
      </c>
      <c r="H71" s="7">
        <f t="shared" si="11"/>
        <v>2023</v>
      </c>
      <c r="I71" s="7" t="str">
        <f t="shared" si="12"/>
        <v>May</v>
      </c>
      <c r="J71" s="8" t="str">
        <f t="shared" si="13"/>
        <v>Monday</v>
      </c>
      <c r="K71" s="11">
        <v>0.60931712962962958</v>
      </c>
      <c r="L71" s="14">
        <f t="shared" si="14"/>
        <v>14</v>
      </c>
      <c r="M71" s="7">
        <f t="shared" si="15"/>
        <v>37</v>
      </c>
      <c r="N71" s="7">
        <f t="shared" si="16"/>
        <v>25</v>
      </c>
      <c r="O71" s="9" t="s">
        <v>40</v>
      </c>
      <c r="P71" s="9" t="s">
        <v>41</v>
      </c>
      <c r="Q71" s="9">
        <v>7</v>
      </c>
      <c r="R71" s="12">
        <v>258.04000000000002</v>
      </c>
      <c r="S71" s="12">
        <f>VLOOKUP(O71,'Product-cost'!A:B,2,)</f>
        <v>150</v>
      </c>
      <c r="T71" s="9" t="s">
        <v>28</v>
      </c>
      <c r="U71" s="9" t="s">
        <v>62</v>
      </c>
      <c r="V71" s="9" t="s">
        <v>870</v>
      </c>
      <c r="W71" s="9" t="s">
        <v>894</v>
      </c>
      <c r="X71" s="12">
        <f t="shared" si="17"/>
        <v>1806.2800000000002</v>
      </c>
      <c r="Y71" s="12">
        <f t="shared" si="18"/>
        <v>1050</v>
      </c>
      <c r="Z71" s="16">
        <f>VLOOKUP(T71,Taxrate!A:B,2,FALSE)</f>
        <v>0.2</v>
      </c>
      <c r="AA71" s="12">
        <f t="shared" si="19"/>
        <v>361.25600000000009</v>
      </c>
      <c r="AB71" s="16">
        <f>VLOOKUP('Sales Dataset'!O71,'Discount Rate'!A:B,2,)</f>
        <v>7.0000000000000007E-2</v>
      </c>
      <c r="AC71" s="12">
        <f t="shared" si="20"/>
        <v>73.5</v>
      </c>
      <c r="AD71" s="18">
        <f t="shared" si="21"/>
        <v>1049.73</v>
      </c>
    </row>
    <row r="72" spans="1:30" ht="51" customHeight="1" x14ac:dyDescent="0.35">
      <c r="A72" s="9" t="s">
        <v>210</v>
      </c>
      <c r="B72" s="9" t="s">
        <v>211</v>
      </c>
      <c r="C72" s="9" t="s">
        <v>117</v>
      </c>
      <c r="D72" s="20" t="s">
        <v>19</v>
      </c>
      <c r="E72" s="9" t="s">
        <v>903</v>
      </c>
      <c r="F72" s="9" t="s">
        <v>904</v>
      </c>
      <c r="G72" s="8">
        <v>45137</v>
      </c>
      <c r="H72" s="7">
        <f t="shared" si="11"/>
        <v>2023</v>
      </c>
      <c r="I72" s="7" t="str">
        <f t="shared" si="12"/>
        <v>July</v>
      </c>
      <c r="J72" s="8" t="str">
        <f t="shared" si="13"/>
        <v>Sunday</v>
      </c>
      <c r="K72" s="11">
        <v>0.50846064814814818</v>
      </c>
      <c r="L72" s="14">
        <f t="shared" si="14"/>
        <v>12</v>
      </c>
      <c r="M72" s="7">
        <f t="shared" si="15"/>
        <v>12</v>
      </c>
      <c r="N72" s="7">
        <f t="shared" si="16"/>
        <v>11</v>
      </c>
      <c r="O72" s="9" t="s">
        <v>40</v>
      </c>
      <c r="P72" s="9" t="s">
        <v>41</v>
      </c>
      <c r="Q72" s="9">
        <v>13</v>
      </c>
      <c r="R72" s="12">
        <v>195.49</v>
      </c>
      <c r="S72" s="12">
        <f>VLOOKUP(O72,'Product-cost'!A:B,2,)</f>
        <v>150</v>
      </c>
      <c r="T72" s="9" t="s">
        <v>34</v>
      </c>
      <c r="U72" s="9" t="s">
        <v>46</v>
      </c>
      <c r="V72" s="9" t="s">
        <v>878</v>
      </c>
      <c r="W72" s="9" t="s">
        <v>894</v>
      </c>
      <c r="X72" s="12">
        <f t="shared" si="17"/>
        <v>2541.37</v>
      </c>
      <c r="Y72" s="12">
        <f t="shared" si="18"/>
        <v>1950</v>
      </c>
      <c r="Z72" s="16">
        <f>VLOOKUP(T72,Taxrate!A:B,2,FALSE)</f>
        <v>0.15</v>
      </c>
      <c r="AA72" s="12">
        <f t="shared" si="19"/>
        <v>381.20549999999997</v>
      </c>
      <c r="AB72" s="16">
        <f>VLOOKUP('Sales Dataset'!O72,'Discount Rate'!A:B,2,)</f>
        <v>7.0000000000000007E-2</v>
      </c>
      <c r="AC72" s="12">
        <f t="shared" si="20"/>
        <v>136.5</v>
      </c>
      <c r="AD72" s="18">
        <f t="shared" si="21"/>
        <v>1949.78</v>
      </c>
    </row>
    <row r="73" spans="1:30" ht="51" customHeight="1" x14ac:dyDescent="0.35">
      <c r="A73" s="9" t="s">
        <v>212</v>
      </c>
      <c r="B73" s="9" t="s">
        <v>213</v>
      </c>
      <c r="C73" s="9" t="s">
        <v>65</v>
      </c>
      <c r="D73" s="20" t="s">
        <v>53</v>
      </c>
      <c r="E73" s="9" t="s">
        <v>909</v>
      </c>
      <c r="F73" s="9" t="s">
        <v>910</v>
      </c>
      <c r="G73" s="8">
        <v>46220</v>
      </c>
      <c r="H73" s="7">
        <f t="shared" si="11"/>
        <v>2026</v>
      </c>
      <c r="I73" s="7" t="str">
        <f t="shared" si="12"/>
        <v>July</v>
      </c>
      <c r="J73" s="8" t="str">
        <f t="shared" si="13"/>
        <v>Friday</v>
      </c>
      <c r="K73" s="11">
        <v>0.84556712962962965</v>
      </c>
      <c r="L73" s="14">
        <f t="shared" si="14"/>
        <v>20</v>
      </c>
      <c r="M73" s="7">
        <f t="shared" si="15"/>
        <v>17</v>
      </c>
      <c r="N73" s="7">
        <f t="shared" si="16"/>
        <v>37</v>
      </c>
      <c r="O73" s="9" t="s">
        <v>13</v>
      </c>
      <c r="P73" s="9" t="s">
        <v>14</v>
      </c>
      <c r="Q73" s="9">
        <v>2</v>
      </c>
      <c r="R73" s="12">
        <v>1025.96</v>
      </c>
      <c r="S73" s="12">
        <f>VLOOKUP(O73,'Product-cost'!A:B,2,)</f>
        <v>600</v>
      </c>
      <c r="T73" s="9" t="s">
        <v>45</v>
      </c>
      <c r="U73" s="9" t="s">
        <v>206</v>
      </c>
      <c r="V73" s="9" t="s">
        <v>883</v>
      </c>
      <c r="W73" s="9" t="s">
        <v>894</v>
      </c>
      <c r="X73" s="12">
        <f t="shared" si="17"/>
        <v>2051.92</v>
      </c>
      <c r="Y73" s="12">
        <f t="shared" si="18"/>
        <v>1200</v>
      </c>
      <c r="Z73" s="16">
        <f>VLOOKUP(T73,Taxrate!A:B,2,FALSE)</f>
        <v>7.0000000000000007E-2</v>
      </c>
      <c r="AA73" s="12">
        <f t="shared" si="19"/>
        <v>143.63440000000003</v>
      </c>
      <c r="AB73" s="16">
        <f>VLOOKUP('Sales Dataset'!O73,'Discount Rate'!A:B,2,)</f>
        <v>0.05</v>
      </c>
      <c r="AC73" s="12">
        <f t="shared" si="20"/>
        <v>60</v>
      </c>
      <c r="AD73" s="18">
        <f t="shared" si="21"/>
        <v>1199.8800000000001</v>
      </c>
    </row>
    <row r="74" spans="1:30" ht="51" customHeight="1" x14ac:dyDescent="0.35">
      <c r="A74" s="9" t="s">
        <v>214</v>
      </c>
      <c r="B74" s="9" t="s">
        <v>215</v>
      </c>
      <c r="C74" s="9" t="s">
        <v>38</v>
      </c>
      <c r="D74" s="20" t="s">
        <v>39</v>
      </c>
      <c r="E74" s="9" t="s">
        <v>907</v>
      </c>
      <c r="F74" s="9" t="s">
        <v>908</v>
      </c>
      <c r="G74" s="8">
        <v>46097</v>
      </c>
      <c r="H74" s="7">
        <f t="shared" si="11"/>
        <v>2026</v>
      </c>
      <c r="I74" s="7" t="str">
        <f t="shared" si="12"/>
        <v>March</v>
      </c>
      <c r="J74" s="8" t="str">
        <f t="shared" si="13"/>
        <v>Monday</v>
      </c>
      <c r="K74" s="11">
        <v>0.56840277777777781</v>
      </c>
      <c r="L74" s="14">
        <f t="shared" si="14"/>
        <v>13</v>
      </c>
      <c r="M74" s="7">
        <f t="shared" si="15"/>
        <v>38</v>
      </c>
      <c r="N74" s="7">
        <f t="shared" si="16"/>
        <v>30</v>
      </c>
      <c r="O74" s="9" t="s">
        <v>40</v>
      </c>
      <c r="P74" s="9" t="s">
        <v>41</v>
      </c>
      <c r="Q74" s="9">
        <v>1</v>
      </c>
      <c r="R74" s="12">
        <v>265.20999999999998</v>
      </c>
      <c r="S74" s="12">
        <f>VLOOKUP(O74,'Product-cost'!A:B,2,)</f>
        <v>150</v>
      </c>
      <c r="T74" s="9" t="s">
        <v>22</v>
      </c>
      <c r="U74" s="9" t="s">
        <v>42</v>
      </c>
      <c r="V74" s="9" t="s">
        <v>880</v>
      </c>
      <c r="W74" s="9" t="s">
        <v>894</v>
      </c>
      <c r="X74" s="12">
        <f t="shared" si="17"/>
        <v>265.20999999999998</v>
      </c>
      <c r="Y74" s="12">
        <f t="shared" si="18"/>
        <v>150</v>
      </c>
      <c r="Z74" s="16">
        <f>VLOOKUP(T74,Taxrate!A:B,2,FALSE)</f>
        <v>0.1</v>
      </c>
      <c r="AA74" s="12">
        <f t="shared" si="19"/>
        <v>26.521000000000001</v>
      </c>
      <c r="AB74" s="16">
        <f>VLOOKUP('Sales Dataset'!O74,'Discount Rate'!A:B,2,)</f>
        <v>7.0000000000000007E-2</v>
      </c>
      <c r="AC74" s="12">
        <f t="shared" si="20"/>
        <v>10.500000000000002</v>
      </c>
      <c r="AD74" s="18">
        <f t="shared" si="21"/>
        <v>149.83000000000001</v>
      </c>
    </row>
    <row r="75" spans="1:30" ht="51" customHeight="1" x14ac:dyDescent="0.35">
      <c r="A75" s="9" t="s">
        <v>216</v>
      </c>
      <c r="B75" s="9" t="s">
        <v>217</v>
      </c>
      <c r="C75" s="9" t="s">
        <v>83</v>
      </c>
      <c r="D75" s="20" t="s">
        <v>84</v>
      </c>
      <c r="E75" s="9" t="s">
        <v>913</v>
      </c>
      <c r="F75" s="9" t="s">
        <v>914</v>
      </c>
      <c r="G75" s="8">
        <v>45672</v>
      </c>
      <c r="H75" s="7">
        <f t="shared" si="11"/>
        <v>2025</v>
      </c>
      <c r="I75" s="7" t="str">
        <f t="shared" si="12"/>
        <v>January</v>
      </c>
      <c r="J75" s="8" t="str">
        <f t="shared" si="13"/>
        <v>Wednesday</v>
      </c>
      <c r="K75" s="11">
        <v>0.51696759259259262</v>
      </c>
      <c r="L75" s="14">
        <f t="shared" si="14"/>
        <v>12</v>
      </c>
      <c r="M75" s="7">
        <f t="shared" si="15"/>
        <v>24</v>
      </c>
      <c r="N75" s="7">
        <f t="shared" si="16"/>
        <v>26</v>
      </c>
      <c r="O75" s="9" t="s">
        <v>26</v>
      </c>
      <c r="P75" s="9" t="s">
        <v>27</v>
      </c>
      <c r="Q75" s="9">
        <v>1</v>
      </c>
      <c r="R75" s="12">
        <v>449.46</v>
      </c>
      <c r="S75" s="12">
        <f>VLOOKUP(O75,'Product-cost'!A:B,2,)</f>
        <v>200</v>
      </c>
      <c r="T75" s="9" t="s">
        <v>45</v>
      </c>
      <c r="U75" s="9" t="s">
        <v>183</v>
      </c>
      <c r="V75" s="9" t="s">
        <v>872</v>
      </c>
      <c r="W75" s="9" t="s">
        <v>896</v>
      </c>
      <c r="X75" s="12">
        <f t="shared" si="17"/>
        <v>449.46</v>
      </c>
      <c r="Y75" s="12">
        <f t="shared" si="18"/>
        <v>200</v>
      </c>
      <c r="Z75" s="16">
        <f>VLOOKUP(T75,Taxrate!A:B,2,FALSE)</f>
        <v>7.0000000000000007E-2</v>
      </c>
      <c r="AA75" s="12">
        <f t="shared" si="19"/>
        <v>31.462200000000003</v>
      </c>
      <c r="AB75" s="16">
        <f>VLOOKUP('Sales Dataset'!O75,'Discount Rate'!A:B,2,)</f>
        <v>0.08</v>
      </c>
      <c r="AC75" s="12">
        <f t="shared" si="20"/>
        <v>16</v>
      </c>
      <c r="AD75" s="18">
        <f t="shared" si="21"/>
        <v>199.85</v>
      </c>
    </row>
    <row r="76" spans="1:30" ht="51" customHeight="1" x14ac:dyDescent="0.35">
      <c r="A76" s="9" t="s">
        <v>218</v>
      </c>
      <c r="B76" s="9" t="s">
        <v>219</v>
      </c>
      <c r="C76" s="9" t="s">
        <v>117</v>
      </c>
      <c r="D76" s="20" t="s">
        <v>19</v>
      </c>
      <c r="E76" s="9" t="s">
        <v>903</v>
      </c>
      <c r="F76" s="9" t="s">
        <v>904</v>
      </c>
      <c r="G76" s="8">
        <v>45093</v>
      </c>
      <c r="H76" s="7">
        <f t="shared" si="11"/>
        <v>2023</v>
      </c>
      <c r="I76" s="7" t="str">
        <f t="shared" si="12"/>
        <v>June</v>
      </c>
      <c r="J76" s="8" t="str">
        <f t="shared" si="13"/>
        <v>Friday</v>
      </c>
      <c r="K76" s="11">
        <v>0.55533564814814818</v>
      </c>
      <c r="L76" s="14">
        <f t="shared" si="14"/>
        <v>13</v>
      </c>
      <c r="M76" s="7">
        <f t="shared" si="15"/>
        <v>19</v>
      </c>
      <c r="N76" s="7">
        <f t="shared" si="16"/>
        <v>41</v>
      </c>
      <c r="O76" s="9" t="s">
        <v>66</v>
      </c>
      <c r="P76" s="9" t="s">
        <v>67</v>
      </c>
      <c r="Q76" s="9">
        <v>12</v>
      </c>
      <c r="R76" s="12">
        <v>143.22</v>
      </c>
      <c r="S76" s="12">
        <f>VLOOKUP(O76,'Product-cost'!A:B,2,)</f>
        <v>50</v>
      </c>
      <c r="T76" s="9" t="s">
        <v>34</v>
      </c>
      <c r="U76" s="9" t="s">
        <v>130</v>
      </c>
      <c r="V76" s="9" t="s">
        <v>872</v>
      </c>
      <c r="W76" s="9" t="s">
        <v>896</v>
      </c>
      <c r="X76" s="12">
        <f t="shared" si="17"/>
        <v>1718.6399999999999</v>
      </c>
      <c r="Y76" s="12">
        <f t="shared" si="18"/>
        <v>600</v>
      </c>
      <c r="Z76" s="16">
        <f>VLOOKUP(T76,Taxrate!A:B,2,FALSE)</f>
        <v>0.15</v>
      </c>
      <c r="AA76" s="12">
        <f t="shared" si="19"/>
        <v>257.79599999999999</v>
      </c>
      <c r="AB76" s="16">
        <f>VLOOKUP('Sales Dataset'!O76,'Discount Rate'!A:B,2,)</f>
        <v>0.03</v>
      </c>
      <c r="AC76" s="12">
        <f t="shared" si="20"/>
        <v>18</v>
      </c>
      <c r="AD76" s="18">
        <f t="shared" si="21"/>
        <v>599.82000000000005</v>
      </c>
    </row>
    <row r="77" spans="1:30" ht="51" customHeight="1" x14ac:dyDescent="0.35">
      <c r="A77" s="9" t="s">
        <v>220</v>
      </c>
      <c r="B77" s="9" t="s">
        <v>221</v>
      </c>
      <c r="C77" s="9" t="s">
        <v>32</v>
      </c>
      <c r="D77" s="20" t="s">
        <v>33</v>
      </c>
      <c r="E77" s="9" t="s">
        <v>905</v>
      </c>
      <c r="F77" s="9" t="s">
        <v>906</v>
      </c>
      <c r="G77" s="8">
        <v>45413</v>
      </c>
      <c r="H77" s="7">
        <f t="shared" si="11"/>
        <v>2024</v>
      </c>
      <c r="I77" s="7" t="str">
        <f t="shared" si="12"/>
        <v>May</v>
      </c>
      <c r="J77" s="8" t="str">
        <f t="shared" si="13"/>
        <v>Wednesday</v>
      </c>
      <c r="K77" s="11">
        <v>0.57605324074074071</v>
      </c>
      <c r="L77" s="14">
        <f t="shared" si="14"/>
        <v>13</v>
      </c>
      <c r="M77" s="7">
        <f t="shared" si="15"/>
        <v>49</v>
      </c>
      <c r="N77" s="7">
        <f t="shared" si="16"/>
        <v>31</v>
      </c>
      <c r="O77" s="9" t="s">
        <v>20</v>
      </c>
      <c r="P77" s="9" t="s">
        <v>21</v>
      </c>
      <c r="Q77" s="9">
        <v>3</v>
      </c>
      <c r="R77" s="12">
        <v>568.74</v>
      </c>
      <c r="S77" s="12">
        <f>VLOOKUP(O77,'Product-cost'!A:B,2,)</f>
        <v>300</v>
      </c>
      <c r="T77" s="9" t="s">
        <v>45</v>
      </c>
      <c r="U77" s="9" t="s">
        <v>35</v>
      </c>
      <c r="V77" s="9" t="s">
        <v>872</v>
      </c>
      <c r="W77" s="9" t="s">
        <v>896</v>
      </c>
      <c r="X77" s="12">
        <f t="shared" si="17"/>
        <v>1706.22</v>
      </c>
      <c r="Y77" s="12">
        <f t="shared" si="18"/>
        <v>900</v>
      </c>
      <c r="Z77" s="16">
        <f>VLOOKUP(T77,Taxrate!A:B,2,FALSE)</f>
        <v>7.0000000000000007E-2</v>
      </c>
      <c r="AA77" s="12">
        <f t="shared" si="19"/>
        <v>119.43540000000002</v>
      </c>
      <c r="AB77" s="16">
        <f>VLOOKUP('Sales Dataset'!O77,'Discount Rate'!A:B,2,)</f>
        <v>0.1</v>
      </c>
      <c r="AC77" s="12">
        <f t="shared" si="20"/>
        <v>90</v>
      </c>
      <c r="AD77" s="18">
        <f t="shared" si="21"/>
        <v>899.82999999999993</v>
      </c>
    </row>
    <row r="78" spans="1:30" ht="51" customHeight="1" x14ac:dyDescent="0.35">
      <c r="A78" s="9" t="s">
        <v>222</v>
      </c>
      <c r="B78" s="9" t="s">
        <v>223</v>
      </c>
      <c r="C78" s="9" t="s">
        <v>83</v>
      </c>
      <c r="D78" s="20" t="s">
        <v>84</v>
      </c>
      <c r="E78" s="9" t="s">
        <v>913</v>
      </c>
      <c r="F78" s="9" t="s">
        <v>914</v>
      </c>
      <c r="G78" s="8">
        <v>45271</v>
      </c>
      <c r="H78" s="7">
        <f t="shared" si="11"/>
        <v>2023</v>
      </c>
      <c r="I78" s="7" t="str">
        <f t="shared" si="12"/>
        <v>December</v>
      </c>
      <c r="J78" s="8" t="str">
        <f t="shared" si="13"/>
        <v>Monday</v>
      </c>
      <c r="K78" s="11">
        <v>0.45398148148148149</v>
      </c>
      <c r="L78" s="14">
        <f t="shared" si="14"/>
        <v>10</v>
      </c>
      <c r="M78" s="7">
        <f t="shared" si="15"/>
        <v>53</v>
      </c>
      <c r="N78" s="7">
        <f t="shared" si="16"/>
        <v>44</v>
      </c>
      <c r="O78" s="9" t="s">
        <v>40</v>
      </c>
      <c r="P78" s="9" t="s">
        <v>41</v>
      </c>
      <c r="Q78" s="9">
        <v>3</v>
      </c>
      <c r="R78" s="12">
        <v>180.81</v>
      </c>
      <c r="S78" s="12">
        <f>VLOOKUP(O78,'Product-cost'!A:B,2,)</f>
        <v>150</v>
      </c>
      <c r="T78" s="9" t="s">
        <v>22</v>
      </c>
      <c r="U78" s="9" t="s">
        <v>102</v>
      </c>
      <c r="V78" s="9" t="s">
        <v>872</v>
      </c>
      <c r="W78" s="9" t="s">
        <v>896</v>
      </c>
      <c r="X78" s="12">
        <f t="shared" si="17"/>
        <v>542.43000000000006</v>
      </c>
      <c r="Y78" s="12">
        <f t="shared" si="18"/>
        <v>450</v>
      </c>
      <c r="Z78" s="16">
        <f>VLOOKUP(T78,Taxrate!A:B,2,FALSE)</f>
        <v>0.1</v>
      </c>
      <c r="AA78" s="12">
        <f t="shared" si="19"/>
        <v>54.243000000000009</v>
      </c>
      <c r="AB78" s="16">
        <f>VLOOKUP('Sales Dataset'!O78,'Discount Rate'!A:B,2,)</f>
        <v>7.0000000000000007E-2</v>
      </c>
      <c r="AC78" s="12">
        <f t="shared" si="20"/>
        <v>31.500000000000004</v>
      </c>
      <c r="AD78" s="18">
        <f t="shared" si="21"/>
        <v>449.83</v>
      </c>
    </row>
    <row r="79" spans="1:30" ht="51" customHeight="1" x14ac:dyDescent="0.35">
      <c r="A79" s="9" t="s">
        <v>224</v>
      </c>
      <c r="B79" s="9" t="s">
        <v>225</v>
      </c>
      <c r="C79" s="9" t="s">
        <v>107</v>
      </c>
      <c r="D79" s="20" t="s">
        <v>53</v>
      </c>
      <c r="E79" s="9" t="s">
        <v>909</v>
      </c>
      <c r="F79" s="9" t="s">
        <v>910</v>
      </c>
      <c r="G79" s="8">
        <v>45324</v>
      </c>
      <c r="H79" s="7">
        <f t="shared" si="11"/>
        <v>2024</v>
      </c>
      <c r="I79" s="7" t="str">
        <f t="shared" si="12"/>
        <v>February</v>
      </c>
      <c r="J79" s="8" t="str">
        <f t="shared" si="13"/>
        <v>Friday</v>
      </c>
      <c r="K79" s="11">
        <v>0.77532407407407411</v>
      </c>
      <c r="L79" s="14">
        <f t="shared" si="14"/>
        <v>18</v>
      </c>
      <c r="M79" s="7">
        <f t="shared" si="15"/>
        <v>36</v>
      </c>
      <c r="N79" s="7">
        <f t="shared" si="16"/>
        <v>28</v>
      </c>
      <c r="O79" s="9" t="s">
        <v>66</v>
      </c>
      <c r="P79" s="9" t="s">
        <v>67</v>
      </c>
      <c r="Q79" s="9">
        <v>13</v>
      </c>
      <c r="R79" s="12">
        <v>159.56</v>
      </c>
      <c r="S79" s="12">
        <f>VLOOKUP(O79,'Product-cost'!A:B,2,)</f>
        <v>50</v>
      </c>
      <c r="T79" s="9" t="s">
        <v>28</v>
      </c>
      <c r="U79" s="9" t="s">
        <v>54</v>
      </c>
      <c r="V79" s="9" t="s">
        <v>872</v>
      </c>
      <c r="W79" s="9" t="s">
        <v>896</v>
      </c>
      <c r="X79" s="12">
        <f t="shared" si="17"/>
        <v>2074.2800000000002</v>
      </c>
      <c r="Y79" s="12">
        <f t="shared" si="18"/>
        <v>650</v>
      </c>
      <c r="Z79" s="16">
        <f>VLOOKUP(T79,Taxrate!A:B,2,FALSE)</f>
        <v>0.2</v>
      </c>
      <c r="AA79" s="12">
        <f t="shared" si="19"/>
        <v>414.85600000000005</v>
      </c>
      <c r="AB79" s="16">
        <f>VLOOKUP('Sales Dataset'!O79,'Discount Rate'!A:B,2,)</f>
        <v>0.03</v>
      </c>
      <c r="AC79" s="12">
        <f t="shared" si="20"/>
        <v>19.5</v>
      </c>
      <c r="AD79" s="18">
        <f t="shared" si="21"/>
        <v>649.77</v>
      </c>
    </row>
    <row r="80" spans="1:30" ht="51" customHeight="1" x14ac:dyDescent="0.35">
      <c r="A80" s="9" t="s">
        <v>226</v>
      </c>
      <c r="B80" s="9" t="s">
        <v>227</v>
      </c>
      <c r="C80" s="9" t="s">
        <v>114</v>
      </c>
      <c r="D80" s="20" t="s">
        <v>19</v>
      </c>
      <c r="E80" s="9" t="s">
        <v>903</v>
      </c>
      <c r="F80" s="9" t="s">
        <v>904</v>
      </c>
      <c r="G80" s="8">
        <v>45451</v>
      </c>
      <c r="H80" s="7">
        <f t="shared" si="11"/>
        <v>2024</v>
      </c>
      <c r="I80" s="7" t="str">
        <f t="shared" si="12"/>
        <v>June</v>
      </c>
      <c r="J80" s="8" t="str">
        <f t="shared" si="13"/>
        <v>Saturday</v>
      </c>
      <c r="K80" s="11">
        <v>0.84047453703703701</v>
      </c>
      <c r="L80" s="14">
        <f t="shared" si="14"/>
        <v>20</v>
      </c>
      <c r="M80" s="7">
        <f t="shared" si="15"/>
        <v>10</v>
      </c>
      <c r="N80" s="7">
        <f t="shared" si="16"/>
        <v>17</v>
      </c>
      <c r="O80" s="9" t="s">
        <v>66</v>
      </c>
      <c r="P80" s="9" t="s">
        <v>67</v>
      </c>
      <c r="Q80" s="9">
        <v>3</v>
      </c>
      <c r="R80" s="12">
        <v>126.88</v>
      </c>
      <c r="S80" s="12">
        <f>VLOOKUP(O80,'Product-cost'!A:B,2,)</f>
        <v>50</v>
      </c>
      <c r="T80" s="9" t="s">
        <v>28</v>
      </c>
      <c r="U80" s="9" t="s">
        <v>23</v>
      </c>
      <c r="V80" s="9" t="s">
        <v>872</v>
      </c>
      <c r="W80" s="9" t="s">
        <v>896</v>
      </c>
      <c r="X80" s="12">
        <f t="shared" si="17"/>
        <v>380.64</v>
      </c>
      <c r="Y80" s="12">
        <f t="shared" si="18"/>
        <v>150</v>
      </c>
      <c r="Z80" s="16">
        <f>VLOOKUP(T80,Taxrate!A:B,2,FALSE)</f>
        <v>0.2</v>
      </c>
      <c r="AA80" s="12">
        <f t="shared" si="19"/>
        <v>76.128</v>
      </c>
      <c r="AB80" s="16">
        <f>VLOOKUP('Sales Dataset'!O80,'Discount Rate'!A:B,2,)</f>
        <v>0.03</v>
      </c>
      <c r="AC80" s="12">
        <f t="shared" si="20"/>
        <v>4.5</v>
      </c>
      <c r="AD80" s="18">
        <f t="shared" si="21"/>
        <v>149.77000000000001</v>
      </c>
    </row>
    <row r="81" spans="1:30" ht="51" customHeight="1" x14ac:dyDescent="0.35">
      <c r="A81" s="9" t="s">
        <v>228</v>
      </c>
      <c r="B81" s="9" t="s">
        <v>229</v>
      </c>
      <c r="C81" s="9" t="s">
        <v>32</v>
      </c>
      <c r="D81" s="20" t="s">
        <v>33</v>
      </c>
      <c r="E81" s="9" t="s">
        <v>905</v>
      </c>
      <c r="F81" s="9" t="s">
        <v>906</v>
      </c>
      <c r="G81" s="8">
        <v>44984</v>
      </c>
      <c r="H81" s="7">
        <f t="shared" si="11"/>
        <v>2023</v>
      </c>
      <c r="I81" s="7" t="str">
        <f t="shared" si="12"/>
        <v>February</v>
      </c>
      <c r="J81" s="8" t="str">
        <f t="shared" si="13"/>
        <v>Monday</v>
      </c>
      <c r="K81" s="11">
        <v>0.4123263888888889</v>
      </c>
      <c r="L81" s="14">
        <f t="shared" si="14"/>
        <v>9</v>
      </c>
      <c r="M81" s="7">
        <f t="shared" si="15"/>
        <v>53</v>
      </c>
      <c r="N81" s="7">
        <f t="shared" si="16"/>
        <v>45</v>
      </c>
      <c r="O81" s="9" t="s">
        <v>26</v>
      </c>
      <c r="P81" s="9" t="s">
        <v>27</v>
      </c>
      <c r="Q81" s="9">
        <v>3</v>
      </c>
      <c r="R81" s="12">
        <v>500</v>
      </c>
      <c r="S81" s="12">
        <f>VLOOKUP(O81,'Product-cost'!A:B,2,)</f>
        <v>200</v>
      </c>
      <c r="T81" s="9" t="s">
        <v>34</v>
      </c>
      <c r="U81" s="9" t="s">
        <v>77</v>
      </c>
      <c r="V81" s="9" t="s">
        <v>874</v>
      </c>
      <c r="W81" s="9" t="s">
        <v>894</v>
      </c>
      <c r="X81" s="12">
        <f t="shared" si="17"/>
        <v>1500</v>
      </c>
      <c r="Y81" s="12">
        <f t="shared" si="18"/>
        <v>600</v>
      </c>
      <c r="Z81" s="16">
        <f>VLOOKUP(T81,Taxrate!A:B,2,FALSE)</f>
        <v>0.15</v>
      </c>
      <c r="AA81" s="12">
        <f t="shared" si="19"/>
        <v>225</v>
      </c>
      <c r="AB81" s="16">
        <f>VLOOKUP('Sales Dataset'!O81,'Discount Rate'!A:B,2,)</f>
        <v>0.08</v>
      </c>
      <c r="AC81" s="12">
        <f t="shared" si="20"/>
        <v>48</v>
      </c>
      <c r="AD81" s="18">
        <f t="shared" si="21"/>
        <v>599.77</v>
      </c>
    </row>
    <row r="82" spans="1:30" ht="51" customHeight="1" x14ac:dyDescent="0.35">
      <c r="A82" s="9" t="s">
        <v>230</v>
      </c>
      <c r="B82" s="9" t="s">
        <v>231</v>
      </c>
      <c r="C82" s="9" t="s">
        <v>117</v>
      </c>
      <c r="D82" s="20" t="s">
        <v>19</v>
      </c>
      <c r="E82" s="9" t="s">
        <v>903</v>
      </c>
      <c r="F82" s="9" t="s">
        <v>904</v>
      </c>
      <c r="G82" s="8">
        <v>46173</v>
      </c>
      <c r="H82" s="7">
        <f t="shared" si="11"/>
        <v>2026</v>
      </c>
      <c r="I82" s="7" t="str">
        <f t="shared" si="12"/>
        <v>May</v>
      </c>
      <c r="J82" s="8" t="str">
        <f t="shared" si="13"/>
        <v>Sunday</v>
      </c>
      <c r="K82" s="11">
        <v>0.40923611111111113</v>
      </c>
      <c r="L82" s="14">
        <f t="shared" si="14"/>
        <v>9</v>
      </c>
      <c r="M82" s="7">
        <f t="shared" si="15"/>
        <v>49</v>
      </c>
      <c r="N82" s="7">
        <f t="shared" si="16"/>
        <v>18</v>
      </c>
      <c r="O82" s="9" t="s">
        <v>20</v>
      </c>
      <c r="P82" s="9" t="s">
        <v>21</v>
      </c>
      <c r="Q82" s="9">
        <v>1</v>
      </c>
      <c r="R82" s="12">
        <v>671.69</v>
      </c>
      <c r="S82" s="12">
        <f>VLOOKUP(O82,'Product-cost'!A:B,2,)</f>
        <v>300</v>
      </c>
      <c r="T82" s="9" t="s">
        <v>49</v>
      </c>
      <c r="U82" s="9" t="s">
        <v>23</v>
      </c>
      <c r="V82" s="9" t="s">
        <v>868</v>
      </c>
      <c r="W82" s="9" t="s">
        <v>894</v>
      </c>
      <c r="X82" s="12">
        <f t="shared" si="17"/>
        <v>671.69</v>
      </c>
      <c r="Y82" s="12">
        <f t="shared" si="18"/>
        <v>300</v>
      </c>
      <c r="Z82" s="16">
        <f>VLOOKUP(T82,Taxrate!A:B,2,FALSE)</f>
        <v>0.12</v>
      </c>
      <c r="AA82" s="12">
        <f t="shared" si="19"/>
        <v>80.602800000000002</v>
      </c>
      <c r="AB82" s="16">
        <f>VLOOKUP('Sales Dataset'!O82,'Discount Rate'!A:B,2,)</f>
        <v>0.1</v>
      </c>
      <c r="AC82" s="12">
        <f t="shared" si="20"/>
        <v>30</v>
      </c>
      <c r="AD82" s="18">
        <f t="shared" si="21"/>
        <v>299.77999999999997</v>
      </c>
    </row>
    <row r="83" spans="1:30" ht="51" customHeight="1" x14ac:dyDescent="0.35">
      <c r="A83" s="9" t="s">
        <v>232</v>
      </c>
      <c r="B83" s="9" t="s">
        <v>233</v>
      </c>
      <c r="C83" s="9" t="s">
        <v>90</v>
      </c>
      <c r="D83" s="20" t="s">
        <v>91</v>
      </c>
      <c r="E83" s="9" t="s">
        <v>915</v>
      </c>
      <c r="F83" s="9" t="s">
        <v>916</v>
      </c>
      <c r="G83" s="8">
        <v>46186</v>
      </c>
      <c r="H83" s="7">
        <f t="shared" si="11"/>
        <v>2026</v>
      </c>
      <c r="I83" s="7" t="str">
        <f t="shared" si="12"/>
        <v>June</v>
      </c>
      <c r="J83" s="8" t="str">
        <f t="shared" si="13"/>
        <v>Saturday</v>
      </c>
      <c r="K83" s="11">
        <v>0.48363425925925924</v>
      </c>
      <c r="L83" s="14">
        <f t="shared" si="14"/>
        <v>11</v>
      </c>
      <c r="M83" s="7">
        <f t="shared" si="15"/>
        <v>36</v>
      </c>
      <c r="N83" s="7">
        <f t="shared" si="16"/>
        <v>26</v>
      </c>
      <c r="O83" s="9" t="s">
        <v>20</v>
      </c>
      <c r="P83" s="9" t="s">
        <v>21</v>
      </c>
      <c r="Q83" s="9">
        <v>2</v>
      </c>
      <c r="R83" s="12">
        <v>588.17999999999995</v>
      </c>
      <c r="S83" s="12">
        <f>VLOOKUP(O83,'Product-cost'!A:B,2,)</f>
        <v>300</v>
      </c>
      <c r="T83" s="9" t="s">
        <v>49</v>
      </c>
      <c r="U83" s="9" t="s">
        <v>95</v>
      </c>
      <c r="V83" s="9" t="s">
        <v>868</v>
      </c>
      <c r="W83" s="9" t="s">
        <v>894</v>
      </c>
      <c r="X83" s="12">
        <f t="shared" si="17"/>
        <v>1176.3599999999999</v>
      </c>
      <c r="Y83" s="12">
        <f t="shared" si="18"/>
        <v>600</v>
      </c>
      <c r="Z83" s="16">
        <f>VLOOKUP(T83,Taxrate!A:B,2,FALSE)</f>
        <v>0.12</v>
      </c>
      <c r="AA83" s="12">
        <f t="shared" si="19"/>
        <v>141.16319999999999</v>
      </c>
      <c r="AB83" s="16">
        <f>VLOOKUP('Sales Dataset'!O83,'Discount Rate'!A:B,2,)</f>
        <v>0.1</v>
      </c>
      <c r="AC83" s="12">
        <f t="shared" si="20"/>
        <v>60</v>
      </c>
      <c r="AD83" s="18">
        <f t="shared" si="21"/>
        <v>599.78</v>
      </c>
    </row>
    <row r="84" spans="1:30" ht="51" customHeight="1" x14ac:dyDescent="0.35">
      <c r="A84" s="9" t="s">
        <v>234</v>
      </c>
      <c r="B84" s="9" t="s">
        <v>51</v>
      </c>
      <c r="C84" s="9" t="s">
        <v>172</v>
      </c>
      <c r="D84" s="20" t="s">
        <v>142</v>
      </c>
      <c r="E84" s="9" t="s">
        <v>917</v>
      </c>
      <c r="F84" s="9" t="s">
        <v>918</v>
      </c>
      <c r="G84" s="8">
        <v>45658</v>
      </c>
      <c r="H84" s="7">
        <f t="shared" si="11"/>
        <v>2025</v>
      </c>
      <c r="I84" s="7" t="str">
        <f t="shared" si="12"/>
        <v>January</v>
      </c>
      <c r="J84" s="8" t="str">
        <f t="shared" si="13"/>
        <v>Wednesday</v>
      </c>
      <c r="K84" s="11">
        <v>0.55261574074074071</v>
      </c>
      <c r="L84" s="14">
        <f t="shared" si="14"/>
        <v>13</v>
      </c>
      <c r="M84" s="7">
        <f t="shared" si="15"/>
        <v>15</v>
      </c>
      <c r="N84" s="7">
        <f t="shared" si="16"/>
        <v>46</v>
      </c>
      <c r="O84" s="9" t="s">
        <v>13</v>
      </c>
      <c r="P84" s="9" t="s">
        <v>14</v>
      </c>
      <c r="Q84" s="9">
        <v>12</v>
      </c>
      <c r="R84" s="12">
        <v>866.7</v>
      </c>
      <c r="S84" s="12">
        <f>VLOOKUP(O84,'Product-cost'!A:B,2,)</f>
        <v>600</v>
      </c>
      <c r="T84" s="9" t="s">
        <v>22</v>
      </c>
      <c r="U84" s="9" t="s">
        <v>235</v>
      </c>
      <c r="V84" s="9" t="s">
        <v>874</v>
      </c>
      <c r="W84" s="9" t="s">
        <v>894</v>
      </c>
      <c r="X84" s="12">
        <f t="shared" si="17"/>
        <v>10400.400000000001</v>
      </c>
      <c r="Y84" s="12">
        <f t="shared" si="18"/>
        <v>7200</v>
      </c>
      <c r="Z84" s="16">
        <f>VLOOKUP(T84,Taxrate!A:B,2,FALSE)</f>
        <v>0.1</v>
      </c>
      <c r="AA84" s="12">
        <f t="shared" si="19"/>
        <v>1040.0400000000002</v>
      </c>
      <c r="AB84" s="16">
        <f>VLOOKUP('Sales Dataset'!O84,'Discount Rate'!A:B,2,)</f>
        <v>0.05</v>
      </c>
      <c r="AC84" s="12">
        <f t="shared" si="20"/>
        <v>360</v>
      </c>
      <c r="AD84" s="18">
        <f t="shared" si="21"/>
        <v>7199.8499999999995</v>
      </c>
    </row>
    <row r="85" spans="1:30" ht="51" customHeight="1" x14ac:dyDescent="0.35">
      <c r="A85" s="9" t="s">
        <v>236</v>
      </c>
      <c r="B85" s="9" t="s">
        <v>237</v>
      </c>
      <c r="C85" s="9" t="s">
        <v>60</v>
      </c>
      <c r="D85" s="20" t="s">
        <v>61</v>
      </c>
      <c r="E85" s="9" t="s">
        <v>911</v>
      </c>
      <c r="F85" s="9" t="s">
        <v>912</v>
      </c>
      <c r="G85" s="8">
        <v>45002</v>
      </c>
      <c r="H85" s="7">
        <f t="shared" si="11"/>
        <v>2023</v>
      </c>
      <c r="I85" s="7" t="str">
        <f t="shared" si="12"/>
        <v>March</v>
      </c>
      <c r="J85" s="8" t="str">
        <f t="shared" si="13"/>
        <v>Friday</v>
      </c>
      <c r="K85" s="11">
        <v>0.46030092592592592</v>
      </c>
      <c r="L85" s="14">
        <f t="shared" si="14"/>
        <v>11</v>
      </c>
      <c r="M85" s="7">
        <f t="shared" si="15"/>
        <v>2</v>
      </c>
      <c r="N85" s="7">
        <f t="shared" si="16"/>
        <v>50</v>
      </c>
      <c r="O85" s="9" t="s">
        <v>20</v>
      </c>
      <c r="P85" s="9" t="s">
        <v>21</v>
      </c>
      <c r="Q85" s="9">
        <v>6</v>
      </c>
      <c r="R85" s="12">
        <v>634.62</v>
      </c>
      <c r="S85" s="12">
        <f>VLOOKUP(O85,'Product-cost'!A:B,2,)</f>
        <v>300</v>
      </c>
      <c r="T85" s="9" t="s">
        <v>49</v>
      </c>
      <c r="U85" s="9" t="s">
        <v>62</v>
      </c>
      <c r="V85" s="9" t="s">
        <v>872</v>
      </c>
      <c r="W85" s="9" t="s">
        <v>896</v>
      </c>
      <c r="X85" s="12">
        <f t="shared" si="17"/>
        <v>3807.7200000000003</v>
      </c>
      <c r="Y85" s="12">
        <f t="shared" si="18"/>
        <v>1800</v>
      </c>
      <c r="Z85" s="16">
        <f>VLOOKUP(T85,Taxrate!A:B,2,FALSE)</f>
        <v>0.12</v>
      </c>
      <c r="AA85" s="12">
        <f t="shared" si="19"/>
        <v>456.9264</v>
      </c>
      <c r="AB85" s="16">
        <f>VLOOKUP('Sales Dataset'!O85,'Discount Rate'!A:B,2,)</f>
        <v>0.1</v>
      </c>
      <c r="AC85" s="12">
        <f t="shared" si="20"/>
        <v>180</v>
      </c>
      <c r="AD85" s="18">
        <f t="shared" si="21"/>
        <v>1799.7800000000002</v>
      </c>
    </row>
    <row r="86" spans="1:30" ht="51" customHeight="1" x14ac:dyDescent="0.35">
      <c r="A86" s="9" t="s">
        <v>238</v>
      </c>
      <c r="B86" s="9" t="s">
        <v>239</v>
      </c>
      <c r="C86" s="9" t="s">
        <v>172</v>
      </c>
      <c r="D86" s="20" t="s">
        <v>142</v>
      </c>
      <c r="E86" s="9" t="s">
        <v>917</v>
      </c>
      <c r="F86" s="9" t="s">
        <v>918</v>
      </c>
      <c r="G86" s="8">
        <v>45680</v>
      </c>
      <c r="H86" s="7">
        <f t="shared" si="11"/>
        <v>2025</v>
      </c>
      <c r="I86" s="7" t="str">
        <f t="shared" si="12"/>
        <v>January</v>
      </c>
      <c r="J86" s="8" t="str">
        <f t="shared" si="13"/>
        <v>Thursday</v>
      </c>
      <c r="K86" s="11">
        <v>0.61629629629629634</v>
      </c>
      <c r="L86" s="14">
        <f t="shared" si="14"/>
        <v>14</v>
      </c>
      <c r="M86" s="7">
        <f t="shared" si="15"/>
        <v>47</v>
      </c>
      <c r="N86" s="7">
        <f t="shared" si="16"/>
        <v>28</v>
      </c>
      <c r="O86" s="9" t="s">
        <v>66</v>
      </c>
      <c r="P86" s="9" t="s">
        <v>67</v>
      </c>
      <c r="Q86" s="9">
        <v>3</v>
      </c>
      <c r="R86" s="12">
        <v>157.31</v>
      </c>
      <c r="S86" s="12">
        <f>VLOOKUP(O86,'Product-cost'!A:B,2,)</f>
        <v>50</v>
      </c>
      <c r="T86" s="9" t="s">
        <v>49</v>
      </c>
      <c r="U86" s="9" t="s">
        <v>235</v>
      </c>
      <c r="V86" s="9" t="s">
        <v>882</v>
      </c>
      <c r="W86" s="9" t="s">
        <v>895</v>
      </c>
      <c r="X86" s="12">
        <f t="shared" si="17"/>
        <v>471.93</v>
      </c>
      <c r="Y86" s="12">
        <f t="shared" si="18"/>
        <v>150</v>
      </c>
      <c r="Z86" s="16">
        <f>VLOOKUP(T86,Taxrate!A:B,2,FALSE)</f>
        <v>0.12</v>
      </c>
      <c r="AA86" s="12">
        <f t="shared" si="19"/>
        <v>56.631599999999999</v>
      </c>
      <c r="AB86" s="16">
        <f>VLOOKUP('Sales Dataset'!O86,'Discount Rate'!A:B,2,)</f>
        <v>0.03</v>
      </c>
      <c r="AC86" s="12">
        <f t="shared" si="20"/>
        <v>4.5</v>
      </c>
      <c r="AD86" s="18">
        <f t="shared" si="21"/>
        <v>149.85</v>
      </c>
    </row>
    <row r="87" spans="1:30" ht="51" customHeight="1" x14ac:dyDescent="0.35">
      <c r="A87" s="9" t="s">
        <v>240</v>
      </c>
      <c r="B87" s="9" t="s">
        <v>241</v>
      </c>
      <c r="C87" s="9" t="s">
        <v>11</v>
      </c>
      <c r="D87" s="20" t="s">
        <v>12</v>
      </c>
      <c r="E87" s="9" t="s">
        <v>901</v>
      </c>
      <c r="F87" s="9" t="s">
        <v>902</v>
      </c>
      <c r="G87" s="8">
        <v>45333</v>
      </c>
      <c r="H87" s="7">
        <f t="shared" si="11"/>
        <v>2024</v>
      </c>
      <c r="I87" s="7" t="str">
        <f t="shared" si="12"/>
        <v>February</v>
      </c>
      <c r="J87" s="8" t="str">
        <f t="shared" si="13"/>
        <v>Sunday</v>
      </c>
      <c r="K87" s="11">
        <v>0.5198842592592593</v>
      </c>
      <c r="L87" s="14">
        <f t="shared" si="14"/>
        <v>12</v>
      </c>
      <c r="M87" s="7">
        <f t="shared" si="15"/>
        <v>28</v>
      </c>
      <c r="N87" s="7">
        <f t="shared" si="16"/>
        <v>38</v>
      </c>
      <c r="O87" s="9" t="s">
        <v>66</v>
      </c>
      <c r="P87" s="9" t="s">
        <v>67</v>
      </c>
      <c r="Q87" s="9">
        <v>8</v>
      </c>
      <c r="R87" s="12">
        <v>123.18</v>
      </c>
      <c r="S87" s="12">
        <f>VLOOKUP(O87,'Product-cost'!A:B,2,)</f>
        <v>50</v>
      </c>
      <c r="T87" s="9" t="s">
        <v>22</v>
      </c>
      <c r="U87" s="9" t="s">
        <v>15</v>
      </c>
      <c r="V87" s="9" t="s">
        <v>872</v>
      </c>
      <c r="W87" s="9" t="s">
        <v>896</v>
      </c>
      <c r="X87" s="12">
        <f t="shared" si="17"/>
        <v>985.44</v>
      </c>
      <c r="Y87" s="12">
        <f t="shared" si="18"/>
        <v>400</v>
      </c>
      <c r="Z87" s="16">
        <f>VLOOKUP(T87,Taxrate!A:B,2,FALSE)</f>
        <v>0.1</v>
      </c>
      <c r="AA87" s="12">
        <f t="shared" si="19"/>
        <v>98.544000000000011</v>
      </c>
      <c r="AB87" s="16">
        <f>VLOOKUP('Sales Dataset'!O87,'Discount Rate'!A:B,2,)</f>
        <v>0.03</v>
      </c>
      <c r="AC87" s="12">
        <f t="shared" si="20"/>
        <v>12</v>
      </c>
      <c r="AD87" s="18">
        <f t="shared" si="21"/>
        <v>399.87</v>
      </c>
    </row>
    <row r="88" spans="1:30" ht="51" customHeight="1" x14ac:dyDescent="0.35">
      <c r="A88" s="9" t="s">
        <v>242</v>
      </c>
      <c r="B88" s="9" t="s">
        <v>243</v>
      </c>
      <c r="C88" s="9" t="s">
        <v>52</v>
      </c>
      <c r="D88" s="20" t="s">
        <v>53</v>
      </c>
      <c r="E88" s="9" t="s">
        <v>909</v>
      </c>
      <c r="F88" s="9" t="s">
        <v>910</v>
      </c>
      <c r="G88" s="8">
        <v>45219</v>
      </c>
      <c r="H88" s="7">
        <f t="shared" si="11"/>
        <v>2023</v>
      </c>
      <c r="I88" s="7" t="str">
        <f t="shared" si="12"/>
        <v>October</v>
      </c>
      <c r="J88" s="8" t="str">
        <f t="shared" si="13"/>
        <v>Friday</v>
      </c>
      <c r="K88" s="11">
        <v>0.33893518518518517</v>
      </c>
      <c r="L88" s="14">
        <f t="shared" si="14"/>
        <v>8</v>
      </c>
      <c r="M88" s="7">
        <f t="shared" si="15"/>
        <v>8</v>
      </c>
      <c r="N88" s="7">
        <f t="shared" si="16"/>
        <v>4</v>
      </c>
      <c r="O88" s="9" t="s">
        <v>20</v>
      </c>
      <c r="P88" s="9" t="s">
        <v>21</v>
      </c>
      <c r="Q88" s="9">
        <v>6</v>
      </c>
      <c r="R88" s="12">
        <v>764.84</v>
      </c>
      <c r="S88" s="12">
        <f>VLOOKUP(O88,'Product-cost'!A:B,2,)</f>
        <v>300</v>
      </c>
      <c r="T88" s="9" t="s">
        <v>45</v>
      </c>
      <c r="U88" s="9" t="s">
        <v>206</v>
      </c>
      <c r="V88" s="9" t="s">
        <v>869</v>
      </c>
      <c r="W88" s="9" t="s">
        <v>894</v>
      </c>
      <c r="X88" s="12">
        <f t="shared" si="17"/>
        <v>4589.04</v>
      </c>
      <c r="Y88" s="12">
        <f t="shared" si="18"/>
        <v>1800</v>
      </c>
      <c r="Z88" s="16">
        <f>VLOOKUP(T88,Taxrate!A:B,2,FALSE)</f>
        <v>7.0000000000000007E-2</v>
      </c>
      <c r="AA88" s="12">
        <f t="shared" si="19"/>
        <v>321.23280000000005</v>
      </c>
      <c r="AB88" s="16">
        <f>VLOOKUP('Sales Dataset'!O88,'Discount Rate'!A:B,2,)</f>
        <v>0.1</v>
      </c>
      <c r="AC88" s="12">
        <f t="shared" si="20"/>
        <v>180</v>
      </c>
      <c r="AD88" s="18">
        <f t="shared" si="21"/>
        <v>1799.8300000000002</v>
      </c>
    </row>
    <row r="89" spans="1:30" ht="51" customHeight="1" x14ac:dyDescent="0.35">
      <c r="A89" s="9" t="s">
        <v>244</v>
      </c>
      <c r="B89" s="9" t="s">
        <v>245</v>
      </c>
      <c r="C89" s="9" t="s">
        <v>141</v>
      </c>
      <c r="D89" s="20" t="s">
        <v>142</v>
      </c>
      <c r="E89" s="9" t="s">
        <v>917</v>
      </c>
      <c r="F89" s="9" t="s">
        <v>918</v>
      </c>
      <c r="G89" s="8">
        <v>46257</v>
      </c>
      <c r="H89" s="7">
        <f t="shared" si="11"/>
        <v>2026</v>
      </c>
      <c r="I89" s="7" t="str">
        <f t="shared" si="12"/>
        <v>August</v>
      </c>
      <c r="J89" s="8" t="str">
        <f t="shared" si="13"/>
        <v>Sunday</v>
      </c>
      <c r="K89" s="11">
        <v>0.4632060185185185</v>
      </c>
      <c r="L89" s="14">
        <f t="shared" si="14"/>
        <v>11</v>
      </c>
      <c r="M89" s="7">
        <f t="shared" si="15"/>
        <v>7</v>
      </c>
      <c r="N89" s="7">
        <f t="shared" si="16"/>
        <v>1</v>
      </c>
      <c r="O89" s="9" t="s">
        <v>20</v>
      </c>
      <c r="P89" s="9" t="s">
        <v>21</v>
      </c>
      <c r="Q89" s="9">
        <v>7</v>
      </c>
      <c r="R89" s="12">
        <v>515.33000000000004</v>
      </c>
      <c r="S89" s="12">
        <f>VLOOKUP(O89,'Product-cost'!A:B,2,)</f>
        <v>300</v>
      </c>
      <c r="T89" s="9" t="s">
        <v>22</v>
      </c>
      <c r="U89" s="9" t="s">
        <v>143</v>
      </c>
      <c r="V89" s="9" t="s">
        <v>875</v>
      </c>
      <c r="W89" s="9" t="s">
        <v>894</v>
      </c>
      <c r="X89" s="12">
        <f t="shared" si="17"/>
        <v>3607.3100000000004</v>
      </c>
      <c r="Y89" s="12">
        <f t="shared" si="18"/>
        <v>2100</v>
      </c>
      <c r="Z89" s="16">
        <f>VLOOKUP(T89,Taxrate!A:B,2,FALSE)</f>
        <v>0.1</v>
      </c>
      <c r="AA89" s="12">
        <f t="shared" si="19"/>
        <v>360.73100000000005</v>
      </c>
      <c r="AB89" s="16">
        <f>VLOOKUP('Sales Dataset'!O89,'Discount Rate'!A:B,2,)</f>
        <v>0.1</v>
      </c>
      <c r="AC89" s="12">
        <f t="shared" si="20"/>
        <v>210</v>
      </c>
      <c r="AD89" s="18">
        <f t="shared" si="21"/>
        <v>2099.8000000000002</v>
      </c>
    </row>
    <row r="90" spans="1:30" ht="51" customHeight="1" x14ac:dyDescent="0.35">
      <c r="A90" s="9" t="s">
        <v>246</v>
      </c>
      <c r="B90" s="9" t="s">
        <v>247</v>
      </c>
      <c r="C90" s="9" t="s">
        <v>126</v>
      </c>
      <c r="D90" s="20" t="s">
        <v>19</v>
      </c>
      <c r="E90" s="9" t="s">
        <v>903</v>
      </c>
      <c r="F90" s="9" t="s">
        <v>904</v>
      </c>
      <c r="G90" s="8">
        <v>46323</v>
      </c>
      <c r="H90" s="7">
        <f t="shared" si="11"/>
        <v>2026</v>
      </c>
      <c r="I90" s="7" t="str">
        <f t="shared" si="12"/>
        <v>October</v>
      </c>
      <c r="J90" s="8" t="str">
        <f t="shared" si="13"/>
        <v>Wednesday</v>
      </c>
      <c r="K90" s="11">
        <v>0.76579861111111114</v>
      </c>
      <c r="L90" s="14">
        <f t="shared" si="14"/>
        <v>18</v>
      </c>
      <c r="M90" s="7">
        <f t="shared" si="15"/>
        <v>22</v>
      </c>
      <c r="N90" s="7">
        <f t="shared" si="16"/>
        <v>45</v>
      </c>
      <c r="O90" s="9" t="s">
        <v>13</v>
      </c>
      <c r="P90" s="9" t="s">
        <v>14</v>
      </c>
      <c r="Q90" s="9">
        <v>5</v>
      </c>
      <c r="R90" s="12">
        <v>1225.68</v>
      </c>
      <c r="S90" s="12">
        <f>VLOOKUP(O90,'Product-cost'!A:B,2,)</f>
        <v>600</v>
      </c>
      <c r="T90" s="9" t="s">
        <v>28</v>
      </c>
      <c r="U90" s="9" t="s">
        <v>130</v>
      </c>
      <c r="V90" s="9" t="s">
        <v>873</v>
      </c>
      <c r="W90" s="9" t="s">
        <v>895</v>
      </c>
      <c r="X90" s="12">
        <f t="shared" si="17"/>
        <v>6128.4000000000005</v>
      </c>
      <c r="Y90" s="12">
        <f t="shared" si="18"/>
        <v>3000</v>
      </c>
      <c r="Z90" s="16">
        <f>VLOOKUP(T90,Taxrate!A:B,2,FALSE)</f>
        <v>0.2</v>
      </c>
      <c r="AA90" s="12">
        <f t="shared" si="19"/>
        <v>1225.68</v>
      </c>
      <c r="AB90" s="16">
        <f>VLOOKUP('Sales Dataset'!O90,'Discount Rate'!A:B,2,)</f>
        <v>0.05</v>
      </c>
      <c r="AC90" s="12">
        <f t="shared" si="20"/>
        <v>150</v>
      </c>
      <c r="AD90" s="18">
        <f t="shared" si="21"/>
        <v>2999.75</v>
      </c>
    </row>
    <row r="91" spans="1:30" ht="51" customHeight="1" x14ac:dyDescent="0.35">
      <c r="A91" s="9" t="s">
        <v>248</v>
      </c>
      <c r="B91" s="9" t="s">
        <v>249</v>
      </c>
      <c r="C91" s="9" t="s">
        <v>57</v>
      </c>
      <c r="D91" s="20" t="s">
        <v>12</v>
      </c>
      <c r="E91" s="9" t="s">
        <v>901</v>
      </c>
      <c r="F91" s="9" t="s">
        <v>902</v>
      </c>
      <c r="G91" s="8">
        <v>45884</v>
      </c>
      <c r="H91" s="7">
        <f t="shared" si="11"/>
        <v>2025</v>
      </c>
      <c r="I91" s="7" t="str">
        <f t="shared" si="12"/>
        <v>August</v>
      </c>
      <c r="J91" s="8" t="str">
        <f t="shared" si="13"/>
        <v>Friday</v>
      </c>
      <c r="K91" s="11">
        <v>0.74728009259259254</v>
      </c>
      <c r="L91" s="14">
        <f t="shared" si="14"/>
        <v>17</v>
      </c>
      <c r="M91" s="7">
        <f t="shared" si="15"/>
        <v>56</v>
      </c>
      <c r="N91" s="7">
        <f t="shared" si="16"/>
        <v>5</v>
      </c>
      <c r="O91" s="9" t="s">
        <v>13</v>
      </c>
      <c r="P91" s="9" t="s">
        <v>14</v>
      </c>
      <c r="Q91" s="9">
        <v>12</v>
      </c>
      <c r="R91" s="12">
        <v>1062.8499999999999</v>
      </c>
      <c r="S91" s="12">
        <f>VLOOKUP(O91,'Product-cost'!A:B,2,)</f>
        <v>600</v>
      </c>
      <c r="T91" s="9" t="s">
        <v>34</v>
      </c>
      <c r="U91" s="9" t="s">
        <v>15</v>
      </c>
      <c r="V91" s="9" t="s">
        <v>883</v>
      </c>
      <c r="W91" s="9" t="s">
        <v>894</v>
      </c>
      <c r="X91" s="12">
        <f t="shared" si="17"/>
        <v>12754.199999999999</v>
      </c>
      <c r="Y91" s="12">
        <f t="shared" si="18"/>
        <v>7200</v>
      </c>
      <c r="Z91" s="16">
        <f>VLOOKUP(T91,Taxrate!A:B,2,FALSE)</f>
        <v>0.15</v>
      </c>
      <c r="AA91" s="12">
        <f t="shared" si="19"/>
        <v>1913.1299999999997</v>
      </c>
      <c r="AB91" s="16">
        <f>VLOOKUP('Sales Dataset'!O91,'Discount Rate'!A:B,2,)</f>
        <v>0.05</v>
      </c>
      <c r="AC91" s="12">
        <f t="shared" si="20"/>
        <v>360</v>
      </c>
      <c r="AD91" s="18">
        <f t="shared" si="21"/>
        <v>7199.8</v>
      </c>
    </row>
    <row r="92" spans="1:30" ht="51" customHeight="1" x14ac:dyDescent="0.35">
      <c r="A92" s="9" t="s">
        <v>250</v>
      </c>
      <c r="B92" s="9" t="s">
        <v>251</v>
      </c>
      <c r="C92" s="9" t="s">
        <v>57</v>
      </c>
      <c r="D92" s="20" t="s">
        <v>12</v>
      </c>
      <c r="E92" s="9" t="s">
        <v>901</v>
      </c>
      <c r="F92" s="9" t="s">
        <v>902</v>
      </c>
      <c r="G92" s="8">
        <v>45191</v>
      </c>
      <c r="H92" s="7">
        <f t="shared" si="11"/>
        <v>2023</v>
      </c>
      <c r="I92" s="7" t="str">
        <f t="shared" si="12"/>
        <v>September</v>
      </c>
      <c r="J92" s="8" t="str">
        <f t="shared" si="13"/>
        <v>Friday</v>
      </c>
      <c r="K92" s="11">
        <v>0.70758101851851851</v>
      </c>
      <c r="L92" s="14">
        <f t="shared" si="14"/>
        <v>16</v>
      </c>
      <c r="M92" s="7">
        <f t="shared" si="15"/>
        <v>58</v>
      </c>
      <c r="N92" s="7">
        <f t="shared" si="16"/>
        <v>55</v>
      </c>
      <c r="O92" s="9" t="s">
        <v>13</v>
      </c>
      <c r="P92" s="9" t="s">
        <v>14</v>
      </c>
      <c r="Q92" s="9">
        <v>9</v>
      </c>
      <c r="R92" s="12">
        <v>882.33</v>
      </c>
      <c r="S92" s="12">
        <f>VLOOKUP(O92,'Product-cost'!A:B,2,)</f>
        <v>600</v>
      </c>
      <c r="T92" s="9" t="s">
        <v>22</v>
      </c>
      <c r="U92" s="9" t="s">
        <v>29</v>
      </c>
      <c r="V92" s="9" t="s">
        <v>881</v>
      </c>
      <c r="W92" s="9" t="s">
        <v>894</v>
      </c>
      <c r="X92" s="12">
        <f t="shared" si="17"/>
        <v>7940.97</v>
      </c>
      <c r="Y92" s="12">
        <f t="shared" si="18"/>
        <v>5400</v>
      </c>
      <c r="Z92" s="16">
        <f>VLOOKUP(T92,Taxrate!A:B,2,FALSE)</f>
        <v>0.1</v>
      </c>
      <c r="AA92" s="12">
        <f t="shared" si="19"/>
        <v>794.09700000000009</v>
      </c>
      <c r="AB92" s="16">
        <f>VLOOKUP('Sales Dataset'!O92,'Discount Rate'!A:B,2,)</f>
        <v>0.05</v>
      </c>
      <c r="AC92" s="12">
        <f t="shared" si="20"/>
        <v>270</v>
      </c>
      <c r="AD92" s="18">
        <f t="shared" si="21"/>
        <v>5399.8499999999995</v>
      </c>
    </row>
    <row r="93" spans="1:30" ht="51" customHeight="1" x14ac:dyDescent="0.35">
      <c r="A93" s="9" t="s">
        <v>252</v>
      </c>
      <c r="B93" s="9" t="s">
        <v>253</v>
      </c>
      <c r="C93" s="9" t="s">
        <v>57</v>
      </c>
      <c r="D93" s="20" t="s">
        <v>12</v>
      </c>
      <c r="E93" s="9" t="s">
        <v>901</v>
      </c>
      <c r="F93" s="9" t="s">
        <v>902</v>
      </c>
      <c r="G93" s="8">
        <v>45183</v>
      </c>
      <c r="H93" s="7">
        <f t="shared" si="11"/>
        <v>2023</v>
      </c>
      <c r="I93" s="7" t="str">
        <f t="shared" si="12"/>
        <v>September</v>
      </c>
      <c r="J93" s="8" t="str">
        <f t="shared" si="13"/>
        <v>Thursday</v>
      </c>
      <c r="K93" s="11">
        <v>0.73200231481481481</v>
      </c>
      <c r="L93" s="14">
        <f t="shared" si="14"/>
        <v>17</v>
      </c>
      <c r="M93" s="7">
        <f t="shared" si="15"/>
        <v>34</v>
      </c>
      <c r="N93" s="7">
        <f t="shared" si="16"/>
        <v>5</v>
      </c>
      <c r="O93" s="9" t="s">
        <v>40</v>
      </c>
      <c r="P93" s="9" t="s">
        <v>41</v>
      </c>
      <c r="Q93" s="9">
        <v>10</v>
      </c>
      <c r="R93" s="12">
        <v>192.96</v>
      </c>
      <c r="S93" s="12">
        <f>VLOOKUP(O93,'Product-cost'!A:B,2,)</f>
        <v>150</v>
      </c>
      <c r="T93" s="9" t="s">
        <v>49</v>
      </c>
      <c r="U93" s="9" t="s">
        <v>15</v>
      </c>
      <c r="V93" s="9" t="s">
        <v>880</v>
      </c>
      <c r="W93" s="9" t="s">
        <v>894</v>
      </c>
      <c r="X93" s="12">
        <f t="shared" si="17"/>
        <v>1929.6000000000001</v>
      </c>
      <c r="Y93" s="12">
        <f t="shared" si="18"/>
        <v>1500</v>
      </c>
      <c r="Z93" s="16">
        <f>VLOOKUP(T93,Taxrate!A:B,2,FALSE)</f>
        <v>0.12</v>
      </c>
      <c r="AA93" s="12">
        <f t="shared" si="19"/>
        <v>231.55200000000002</v>
      </c>
      <c r="AB93" s="16">
        <f>VLOOKUP('Sales Dataset'!O93,'Discount Rate'!A:B,2,)</f>
        <v>7.0000000000000007E-2</v>
      </c>
      <c r="AC93" s="12">
        <f t="shared" si="20"/>
        <v>105.00000000000001</v>
      </c>
      <c r="AD93" s="18">
        <f t="shared" si="21"/>
        <v>1499.8100000000002</v>
      </c>
    </row>
    <row r="94" spans="1:30" ht="51" customHeight="1" x14ac:dyDescent="0.35">
      <c r="A94" s="9" t="s">
        <v>254</v>
      </c>
      <c r="B94" s="9" t="s">
        <v>255</v>
      </c>
      <c r="C94" s="9" t="s">
        <v>150</v>
      </c>
      <c r="D94" s="20" t="s">
        <v>33</v>
      </c>
      <c r="E94" s="9" t="s">
        <v>905</v>
      </c>
      <c r="F94" s="9" t="s">
        <v>906</v>
      </c>
      <c r="G94" s="8">
        <v>46260</v>
      </c>
      <c r="H94" s="7">
        <f t="shared" si="11"/>
        <v>2026</v>
      </c>
      <c r="I94" s="7" t="str">
        <f t="shared" si="12"/>
        <v>August</v>
      </c>
      <c r="J94" s="8" t="str">
        <f t="shared" si="13"/>
        <v>Wednesday</v>
      </c>
      <c r="K94" s="11">
        <v>0.85863425925925929</v>
      </c>
      <c r="L94" s="14">
        <f t="shared" si="14"/>
        <v>20</v>
      </c>
      <c r="M94" s="7">
        <f t="shared" si="15"/>
        <v>36</v>
      </c>
      <c r="N94" s="7">
        <f t="shared" si="16"/>
        <v>26</v>
      </c>
      <c r="O94" s="9" t="s">
        <v>40</v>
      </c>
      <c r="P94" s="9" t="s">
        <v>41</v>
      </c>
      <c r="Q94" s="9">
        <v>8</v>
      </c>
      <c r="R94" s="12">
        <v>236.01</v>
      </c>
      <c r="S94" s="12">
        <f>VLOOKUP(O94,'Product-cost'!A:B,2,)</f>
        <v>150</v>
      </c>
      <c r="T94" s="9" t="s">
        <v>22</v>
      </c>
      <c r="U94" s="9" t="s">
        <v>35</v>
      </c>
      <c r="V94" s="9" t="s">
        <v>872</v>
      </c>
      <c r="W94" s="9" t="s">
        <v>896</v>
      </c>
      <c r="X94" s="12">
        <f t="shared" si="17"/>
        <v>1888.08</v>
      </c>
      <c r="Y94" s="12">
        <f t="shared" si="18"/>
        <v>1200</v>
      </c>
      <c r="Z94" s="16">
        <f>VLOOKUP(T94,Taxrate!A:B,2,FALSE)</f>
        <v>0.1</v>
      </c>
      <c r="AA94" s="12">
        <f t="shared" si="19"/>
        <v>188.80799999999999</v>
      </c>
      <c r="AB94" s="16">
        <f>VLOOKUP('Sales Dataset'!O94,'Discount Rate'!A:B,2,)</f>
        <v>7.0000000000000007E-2</v>
      </c>
      <c r="AC94" s="12">
        <f t="shared" si="20"/>
        <v>84.000000000000014</v>
      </c>
      <c r="AD94" s="18">
        <f t="shared" si="21"/>
        <v>1199.8300000000002</v>
      </c>
    </row>
    <row r="95" spans="1:30" ht="51" customHeight="1" x14ac:dyDescent="0.35">
      <c r="A95" s="9" t="s">
        <v>256</v>
      </c>
      <c r="B95" s="9" t="s">
        <v>257</v>
      </c>
      <c r="C95" s="9" t="s">
        <v>65</v>
      </c>
      <c r="D95" s="20" t="s">
        <v>53</v>
      </c>
      <c r="E95" s="9" t="s">
        <v>909</v>
      </c>
      <c r="F95" s="9" t="s">
        <v>910</v>
      </c>
      <c r="G95" s="8">
        <v>45344</v>
      </c>
      <c r="H95" s="7">
        <f t="shared" si="11"/>
        <v>2024</v>
      </c>
      <c r="I95" s="7" t="str">
        <f t="shared" si="12"/>
        <v>February</v>
      </c>
      <c r="J95" s="8" t="str">
        <f t="shared" si="13"/>
        <v>Thursday</v>
      </c>
      <c r="K95" s="11">
        <v>0.71481481481481479</v>
      </c>
      <c r="L95" s="14">
        <f t="shared" si="14"/>
        <v>17</v>
      </c>
      <c r="M95" s="7">
        <f t="shared" si="15"/>
        <v>9</v>
      </c>
      <c r="N95" s="7">
        <f t="shared" si="16"/>
        <v>20</v>
      </c>
      <c r="O95" s="9" t="s">
        <v>26</v>
      </c>
      <c r="P95" s="9" t="s">
        <v>27</v>
      </c>
      <c r="Q95" s="9">
        <v>14</v>
      </c>
      <c r="R95" s="12">
        <v>399.74</v>
      </c>
      <c r="S95" s="12">
        <f>VLOOKUP(O95,'Product-cost'!A:B,2,)</f>
        <v>200</v>
      </c>
      <c r="T95" s="9" t="s">
        <v>22</v>
      </c>
      <c r="U95" s="9" t="s">
        <v>206</v>
      </c>
      <c r="V95" s="9" t="s">
        <v>870</v>
      </c>
      <c r="W95" s="9" t="s">
        <v>894</v>
      </c>
      <c r="X95" s="12">
        <f t="shared" si="17"/>
        <v>5596.3600000000006</v>
      </c>
      <c r="Y95" s="12">
        <f t="shared" si="18"/>
        <v>2800</v>
      </c>
      <c r="Z95" s="16">
        <f>VLOOKUP(T95,Taxrate!A:B,2,FALSE)</f>
        <v>0.1</v>
      </c>
      <c r="AA95" s="12">
        <f t="shared" si="19"/>
        <v>559.63600000000008</v>
      </c>
      <c r="AB95" s="16">
        <f>VLOOKUP('Sales Dataset'!O95,'Discount Rate'!A:B,2,)</f>
        <v>0.08</v>
      </c>
      <c r="AC95" s="12">
        <f t="shared" si="20"/>
        <v>224</v>
      </c>
      <c r="AD95" s="18">
        <f t="shared" si="21"/>
        <v>2799.82</v>
      </c>
    </row>
    <row r="96" spans="1:30" ht="51" customHeight="1" x14ac:dyDescent="0.35">
      <c r="A96" s="9" t="s">
        <v>258</v>
      </c>
      <c r="B96" s="9" t="s">
        <v>259</v>
      </c>
      <c r="C96" s="9" t="s">
        <v>141</v>
      </c>
      <c r="D96" s="20" t="s">
        <v>142</v>
      </c>
      <c r="E96" s="9" t="s">
        <v>917</v>
      </c>
      <c r="F96" s="9" t="s">
        <v>918</v>
      </c>
      <c r="G96" s="8">
        <v>45435</v>
      </c>
      <c r="H96" s="7">
        <f t="shared" si="11"/>
        <v>2024</v>
      </c>
      <c r="I96" s="7" t="str">
        <f t="shared" si="12"/>
        <v>May</v>
      </c>
      <c r="J96" s="8" t="str">
        <f t="shared" si="13"/>
        <v>Thursday</v>
      </c>
      <c r="K96" s="11">
        <v>0.88957175925925924</v>
      </c>
      <c r="L96" s="14">
        <f t="shared" si="14"/>
        <v>21</v>
      </c>
      <c r="M96" s="7">
        <f t="shared" si="15"/>
        <v>20</v>
      </c>
      <c r="N96" s="7">
        <f t="shared" si="16"/>
        <v>59</v>
      </c>
      <c r="O96" s="9" t="s">
        <v>40</v>
      </c>
      <c r="P96" s="9" t="s">
        <v>41</v>
      </c>
      <c r="Q96" s="9">
        <v>4</v>
      </c>
      <c r="R96" s="12">
        <v>230.81</v>
      </c>
      <c r="S96" s="12">
        <f>VLOOKUP(O96,'Product-cost'!A:B,2,)</f>
        <v>150</v>
      </c>
      <c r="T96" s="9" t="s">
        <v>49</v>
      </c>
      <c r="U96" s="9" t="s">
        <v>143</v>
      </c>
      <c r="V96" s="9" t="s">
        <v>883</v>
      </c>
      <c r="W96" s="9" t="s">
        <v>894</v>
      </c>
      <c r="X96" s="12">
        <f t="shared" si="17"/>
        <v>923.24</v>
      </c>
      <c r="Y96" s="12">
        <f t="shared" si="18"/>
        <v>600</v>
      </c>
      <c r="Z96" s="16">
        <f>VLOOKUP(T96,Taxrate!A:B,2,FALSE)</f>
        <v>0.12</v>
      </c>
      <c r="AA96" s="12">
        <f t="shared" si="19"/>
        <v>110.78879999999999</v>
      </c>
      <c r="AB96" s="16">
        <f>VLOOKUP('Sales Dataset'!O96,'Discount Rate'!A:B,2,)</f>
        <v>7.0000000000000007E-2</v>
      </c>
      <c r="AC96" s="12">
        <f t="shared" si="20"/>
        <v>42.000000000000007</v>
      </c>
      <c r="AD96" s="18">
        <f t="shared" si="21"/>
        <v>599.80999999999995</v>
      </c>
    </row>
    <row r="97" spans="1:30" ht="51" customHeight="1" x14ac:dyDescent="0.35">
      <c r="A97" s="9" t="s">
        <v>260</v>
      </c>
      <c r="B97" s="9" t="s">
        <v>231</v>
      </c>
      <c r="C97" s="9" t="s">
        <v>150</v>
      </c>
      <c r="D97" s="20" t="s">
        <v>33</v>
      </c>
      <c r="E97" s="9" t="s">
        <v>905</v>
      </c>
      <c r="F97" s="9" t="s">
        <v>906</v>
      </c>
      <c r="G97" s="8">
        <v>45203</v>
      </c>
      <c r="H97" s="7">
        <f t="shared" si="11"/>
        <v>2023</v>
      </c>
      <c r="I97" s="7" t="str">
        <f t="shared" si="12"/>
        <v>October</v>
      </c>
      <c r="J97" s="8" t="str">
        <f t="shared" si="13"/>
        <v>Wednesday</v>
      </c>
      <c r="K97" s="11">
        <v>0.52196759259259262</v>
      </c>
      <c r="L97" s="14">
        <f t="shared" si="14"/>
        <v>12</v>
      </c>
      <c r="M97" s="7">
        <f t="shared" si="15"/>
        <v>31</v>
      </c>
      <c r="N97" s="7">
        <f t="shared" si="16"/>
        <v>38</v>
      </c>
      <c r="O97" s="9" t="s">
        <v>66</v>
      </c>
      <c r="P97" s="9" t="s">
        <v>67</v>
      </c>
      <c r="Q97" s="9">
        <v>1</v>
      </c>
      <c r="R97" s="12">
        <v>152.32</v>
      </c>
      <c r="S97" s="12">
        <f>VLOOKUP(O97,'Product-cost'!A:B,2,)</f>
        <v>50</v>
      </c>
      <c r="T97" s="9" t="s">
        <v>22</v>
      </c>
      <c r="U97" s="9" t="s">
        <v>35</v>
      </c>
      <c r="V97" s="9" t="s">
        <v>872</v>
      </c>
      <c r="W97" s="9" t="s">
        <v>896</v>
      </c>
      <c r="X97" s="12">
        <f t="shared" si="17"/>
        <v>152.32</v>
      </c>
      <c r="Y97" s="12">
        <f t="shared" si="18"/>
        <v>50</v>
      </c>
      <c r="Z97" s="16">
        <f>VLOOKUP(T97,Taxrate!A:B,2,FALSE)</f>
        <v>0.1</v>
      </c>
      <c r="AA97" s="12">
        <f t="shared" si="19"/>
        <v>15.231999999999999</v>
      </c>
      <c r="AB97" s="16">
        <f>VLOOKUP('Sales Dataset'!O97,'Discount Rate'!A:B,2,)</f>
        <v>0.03</v>
      </c>
      <c r="AC97" s="12">
        <f t="shared" si="20"/>
        <v>1.5</v>
      </c>
      <c r="AD97" s="18">
        <f t="shared" si="21"/>
        <v>49.87</v>
      </c>
    </row>
    <row r="98" spans="1:30" ht="51" customHeight="1" x14ac:dyDescent="0.35">
      <c r="A98" s="9" t="s">
        <v>261</v>
      </c>
      <c r="B98" s="9" t="s">
        <v>262</v>
      </c>
      <c r="C98" s="9" t="s">
        <v>60</v>
      </c>
      <c r="D98" s="20" t="s">
        <v>61</v>
      </c>
      <c r="E98" s="9" t="s">
        <v>911</v>
      </c>
      <c r="F98" s="9" t="s">
        <v>912</v>
      </c>
      <c r="G98" s="8">
        <v>45959</v>
      </c>
      <c r="H98" s="7">
        <f t="shared" si="11"/>
        <v>2025</v>
      </c>
      <c r="I98" s="7" t="str">
        <f t="shared" si="12"/>
        <v>October</v>
      </c>
      <c r="J98" s="8" t="str">
        <f t="shared" si="13"/>
        <v>Wednesday</v>
      </c>
      <c r="K98" s="11">
        <v>0.85783564814814817</v>
      </c>
      <c r="L98" s="14">
        <f t="shared" si="14"/>
        <v>20</v>
      </c>
      <c r="M98" s="7">
        <f t="shared" si="15"/>
        <v>35</v>
      </c>
      <c r="N98" s="7">
        <f t="shared" si="16"/>
        <v>17</v>
      </c>
      <c r="O98" s="9" t="s">
        <v>40</v>
      </c>
      <c r="P98" s="9" t="s">
        <v>41</v>
      </c>
      <c r="Q98" s="9">
        <v>2</v>
      </c>
      <c r="R98" s="12">
        <v>186.63</v>
      </c>
      <c r="S98" s="12">
        <f>VLOOKUP(O98,'Product-cost'!A:B,2,)</f>
        <v>150</v>
      </c>
      <c r="T98" s="9" t="s">
        <v>22</v>
      </c>
      <c r="U98" s="9" t="s">
        <v>62</v>
      </c>
      <c r="V98" s="9" t="s">
        <v>876</v>
      </c>
      <c r="W98" s="9" t="s">
        <v>896</v>
      </c>
      <c r="X98" s="12">
        <f t="shared" si="17"/>
        <v>373.26</v>
      </c>
      <c r="Y98" s="12">
        <f t="shared" si="18"/>
        <v>300</v>
      </c>
      <c r="Z98" s="16">
        <f>VLOOKUP(T98,Taxrate!A:B,2,FALSE)</f>
        <v>0.1</v>
      </c>
      <c r="AA98" s="12">
        <f t="shared" si="19"/>
        <v>37.326000000000001</v>
      </c>
      <c r="AB98" s="16">
        <f>VLOOKUP('Sales Dataset'!O98,'Discount Rate'!A:B,2,)</f>
        <v>7.0000000000000007E-2</v>
      </c>
      <c r="AC98" s="12">
        <f t="shared" si="20"/>
        <v>21.000000000000004</v>
      </c>
      <c r="AD98" s="18">
        <f t="shared" si="21"/>
        <v>299.83</v>
      </c>
    </row>
    <row r="99" spans="1:30" ht="51" customHeight="1" x14ac:dyDescent="0.35">
      <c r="A99" s="9" t="s">
        <v>263</v>
      </c>
      <c r="B99" s="9" t="s">
        <v>264</v>
      </c>
      <c r="C99" s="9" t="s">
        <v>38</v>
      </c>
      <c r="D99" s="20" t="s">
        <v>39</v>
      </c>
      <c r="E99" s="9" t="s">
        <v>907</v>
      </c>
      <c r="F99" s="9" t="s">
        <v>908</v>
      </c>
      <c r="G99" s="8">
        <v>45609</v>
      </c>
      <c r="H99" s="7">
        <f t="shared" si="11"/>
        <v>2024</v>
      </c>
      <c r="I99" s="7" t="str">
        <f t="shared" si="12"/>
        <v>November</v>
      </c>
      <c r="J99" s="8" t="str">
        <f t="shared" si="13"/>
        <v>Wednesday</v>
      </c>
      <c r="K99" s="11">
        <v>0.68690972222222224</v>
      </c>
      <c r="L99" s="14">
        <f t="shared" si="14"/>
        <v>16</v>
      </c>
      <c r="M99" s="7">
        <f t="shared" si="15"/>
        <v>29</v>
      </c>
      <c r="N99" s="7">
        <f t="shared" si="16"/>
        <v>9</v>
      </c>
      <c r="O99" s="9" t="s">
        <v>40</v>
      </c>
      <c r="P99" s="9" t="s">
        <v>41</v>
      </c>
      <c r="Q99" s="9">
        <v>3</v>
      </c>
      <c r="R99" s="12">
        <v>243.44</v>
      </c>
      <c r="S99" s="12">
        <f>VLOOKUP(O99,'Product-cost'!A:B,2,)</f>
        <v>150</v>
      </c>
      <c r="T99" s="9" t="s">
        <v>28</v>
      </c>
      <c r="U99" s="9" t="s">
        <v>73</v>
      </c>
      <c r="V99" s="9" t="s">
        <v>878</v>
      </c>
      <c r="W99" s="9" t="s">
        <v>894</v>
      </c>
      <c r="X99" s="12">
        <f t="shared" si="17"/>
        <v>730.31999999999994</v>
      </c>
      <c r="Y99" s="12">
        <f t="shared" si="18"/>
        <v>450</v>
      </c>
      <c r="Z99" s="16">
        <f>VLOOKUP(T99,Taxrate!A:B,2,FALSE)</f>
        <v>0.2</v>
      </c>
      <c r="AA99" s="12">
        <f t="shared" si="19"/>
        <v>146.06399999999999</v>
      </c>
      <c r="AB99" s="16">
        <f>VLOOKUP('Sales Dataset'!O99,'Discount Rate'!A:B,2,)</f>
        <v>7.0000000000000007E-2</v>
      </c>
      <c r="AC99" s="12">
        <f t="shared" si="20"/>
        <v>31.500000000000004</v>
      </c>
      <c r="AD99" s="18">
        <f t="shared" si="21"/>
        <v>449.73</v>
      </c>
    </row>
    <row r="100" spans="1:30" ht="51" customHeight="1" x14ac:dyDescent="0.35">
      <c r="A100" s="9" t="s">
        <v>265</v>
      </c>
      <c r="B100" s="9" t="s">
        <v>266</v>
      </c>
      <c r="C100" s="9" t="s">
        <v>107</v>
      </c>
      <c r="D100" s="20" t="s">
        <v>53</v>
      </c>
      <c r="E100" s="9" t="s">
        <v>909</v>
      </c>
      <c r="F100" s="9" t="s">
        <v>910</v>
      </c>
      <c r="G100" s="8">
        <v>45018</v>
      </c>
      <c r="H100" s="7">
        <f t="shared" si="11"/>
        <v>2023</v>
      </c>
      <c r="I100" s="7" t="str">
        <f t="shared" si="12"/>
        <v>April</v>
      </c>
      <c r="J100" s="8" t="str">
        <f t="shared" si="13"/>
        <v>Sunday</v>
      </c>
      <c r="K100" s="11">
        <v>0.57160879629629635</v>
      </c>
      <c r="L100" s="14">
        <f t="shared" si="14"/>
        <v>13</v>
      </c>
      <c r="M100" s="7">
        <f t="shared" si="15"/>
        <v>43</v>
      </c>
      <c r="N100" s="7">
        <f t="shared" si="16"/>
        <v>7</v>
      </c>
      <c r="O100" s="9" t="s">
        <v>66</v>
      </c>
      <c r="P100" s="9" t="s">
        <v>67</v>
      </c>
      <c r="Q100" s="9">
        <v>13</v>
      </c>
      <c r="R100" s="12">
        <v>185.41</v>
      </c>
      <c r="S100" s="12">
        <f>VLOOKUP(O100,'Product-cost'!A:B,2,)</f>
        <v>50</v>
      </c>
      <c r="T100" s="9" t="s">
        <v>45</v>
      </c>
      <c r="U100" s="9" t="s">
        <v>54</v>
      </c>
      <c r="V100" s="9" t="s">
        <v>871</v>
      </c>
      <c r="W100" s="9" t="s">
        <v>894</v>
      </c>
      <c r="X100" s="12">
        <f t="shared" si="17"/>
        <v>2410.33</v>
      </c>
      <c r="Y100" s="12">
        <f t="shared" si="18"/>
        <v>650</v>
      </c>
      <c r="Z100" s="16">
        <f>VLOOKUP(T100,Taxrate!A:B,2,FALSE)</f>
        <v>7.0000000000000007E-2</v>
      </c>
      <c r="AA100" s="12">
        <f t="shared" si="19"/>
        <v>168.72310000000002</v>
      </c>
      <c r="AB100" s="16">
        <f>VLOOKUP('Sales Dataset'!O100,'Discount Rate'!A:B,2,)</f>
        <v>0.03</v>
      </c>
      <c r="AC100" s="12">
        <f t="shared" si="20"/>
        <v>19.5</v>
      </c>
      <c r="AD100" s="18">
        <f t="shared" si="21"/>
        <v>649.9</v>
      </c>
    </row>
    <row r="101" spans="1:30" ht="51" customHeight="1" x14ac:dyDescent="0.35">
      <c r="A101" s="9" t="s">
        <v>267</v>
      </c>
      <c r="B101" s="9" t="s">
        <v>268</v>
      </c>
      <c r="C101" s="9" t="s">
        <v>83</v>
      </c>
      <c r="D101" s="20" t="s">
        <v>84</v>
      </c>
      <c r="E101" s="9" t="s">
        <v>913</v>
      </c>
      <c r="F101" s="9" t="s">
        <v>914</v>
      </c>
      <c r="G101" s="8">
        <v>45229</v>
      </c>
      <c r="H101" s="7">
        <f t="shared" si="11"/>
        <v>2023</v>
      </c>
      <c r="I101" s="7" t="str">
        <f t="shared" si="12"/>
        <v>October</v>
      </c>
      <c r="J101" s="8" t="str">
        <f t="shared" si="13"/>
        <v>Monday</v>
      </c>
      <c r="K101" s="11">
        <v>0.3588425925925926</v>
      </c>
      <c r="L101" s="14">
        <f t="shared" si="14"/>
        <v>8</v>
      </c>
      <c r="M101" s="7">
        <f t="shared" si="15"/>
        <v>36</v>
      </c>
      <c r="N101" s="7">
        <f t="shared" si="16"/>
        <v>44</v>
      </c>
      <c r="O101" s="9" t="s">
        <v>13</v>
      </c>
      <c r="P101" s="9" t="s">
        <v>14</v>
      </c>
      <c r="Q101" s="9">
        <v>8</v>
      </c>
      <c r="R101" s="12">
        <v>875.72</v>
      </c>
      <c r="S101" s="12">
        <f>VLOOKUP(O101,'Product-cost'!A:B,2,)</f>
        <v>600</v>
      </c>
      <c r="T101" s="9" t="s">
        <v>28</v>
      </c>
      <c r="U101" s="9" t="s">
        <v>102</v>
      </c>
      <c r="V101" s="9" t="s">
        <v>880</v>
      </c>
      <c r="W101" s="9" t="s">
        <v>894</v>
      </c>
      <c r="X101" s="12">
        <f t="shared" si="17"/>
        <v>7005.76</v>
      </c>
      <c r="Y101" s="12">
        <f t="shared" si="18"/>
        <v>4800</v>
      </c>
      <c r="Z101" s="16">
        <f>VLOOKUP(T101,Taxrate!A:B,2,FALSE)</f>
        <v>0.2</v>
      </c>
      <c r="AA101" s="12">
        <f t="shared" si="19"/>
        <v>1401.152</v>
      </c>
      <c r="AB101" s="16">
        <f>VLOOKUP('Sales Dataset'!O101,'Discount Rate'!A:B,2,)</f>
        <v>0.05</v>
      </c>
      <c r="AC101" s="12">
        <f t="shared" si="20"/>
        <v>240</v>
      </c>
      <c r="AD101" s="18">
        <f t="shared" si="21"/>
        <v>4799.75</v>
      </c>
    </row>
    <row r="102" spans="1:30" ht="51" customHeight="1" x14ac:dyDescent="0.35">
      <c r="A102" s="9" t="s">
        <v>269</v>
      </c>
      <c r="B102" s="9" t="s">
        <v>270</v>
      </c>
      <c r="C102" s="9" t="s">
        <v>65</v>
      </c>
      <c r="D102" s="20" t="s">
        <v>53</v>
      </c>
      <c r="E102" s="9" t="s">
        <v>909</v>
      </c>
      <c r="F102" s="9" t="s">
        <v>910</v>
      </c>
      <c r="G102" s="8">
        <v>45392</v>
      </c>
      <c r="H102" s="7">
        <f t="shared" si="11"/>
        <v>2024</v>
      </c>
      <c r="I102" s="7" t="str">
        <f t="shared" si="12"/>
        <v>April</v>
      </c>
      <c r="J102" s="8" t="str">
        <f t="shared" si="13"/>
        <v>Wednesday</v>
      </c>
      <c r="K102" s="11">
        <v>0.66567129629629629</v>
      </c>
      <c r="L102" s="14">
        <f t="shared" si="14"/>
        <v>15</v>
      </c>
      <c r="M102" s="7">
        <f t="shared" si="15"/>
        <v>58</v>
      </c>
      <c r="N102" s="7">
        <f t="shared" si="16"/>
        <v>34</v>
      </c>
      <c r="O102" s="9" t="s">
        <v>26</v>
      </c>
      <c r="P102" s="9" t="s">
        <v>27</v>
      </c>
      <c r="Q102" s="9">
        <v>11</v>
      </c>
      <c r="R102" s="12">
        <v>464.18</v>
      </c>
      <c r="S102" s="12">
        <f>VLOOKUP(O102,'Product-cost'!A:B,2,)</f>
        <v>200</v>
      </c>
      <c r="T102" s="9" t="s">
        <v>22</v>
      </c>
      <c r="U102" s="9" t="s">
        <v>206</v>
      </c>
      <c r="V102" s="9" t="s">
        <v>872</v>
      </c>
      <c r="W102" s="9" t="s">
        <v>896</v>
      </c>
      <c r="X102" s="12">
        <f t="shared" si="17"/>
        <v>5105.9800000000005</v>
      </c>
      <c r="Y102" s="12">
        <f t="shared" si="18"/>
        <v>2200</v>
      </c>
      <c r="Z102" s="16">
        <f>VLOOKUP(T102,Taxrate!A:B,2,FALSE)</f>
        <v>0.1</v>
      </c>
      <c r="AA102" s="12">
        <f t="shared" si="19"/>
        <v>510.59800000000007</v>
      </c>
      <c r="AB102" s="16">
        <f>VLOOKUP('Sales Dataset'!O102,'Discount Rate'!A:B,2,)</f>
        <v>0.08</v>
      </c>
      <c r="AC102" s="12">
        <f t="shared" si="20"/>
        <v>176</v>
      </c>
      <c r="AD102" s="18">
        <f t="shared" si="21"/>
        <v>2199.8200000000002</v>
      </c>
    </row>
    <row r="103" spans="1:30" ht="51" customHeight="1" x14ac:dyDescent="0.35">
      <c r="A103" s="9" t="s">
        <v>271</v>
      </c>
      <c r="B103" s="9" t="s">
        <v>262</v>
      </c>
      <c r="C103" s="9" t="s">
        <v>163</v>
      </c>
      <c r="D103" s="20" t="s">
        <v>53</v>
      </c>
      <c r="E103" s="9" t="s">
        <v>909</v>
      </c>
      <c r="F103" s="9" t="s">
        <v>910</v>
      </c>
      <c r="G103" s="8">
        <v>45606</v>
      </c>
      <c r="H103" s="7">
        <f t="shared" si="11"/>
        <v>2024</v>
      </c>
      <c r="I103" s="7" t="str">
        <f t="shared" si="12"/>
        <v>November</v>
      </c>
      <c r="J103" s="8" t="str">
        <f t="shared" si="13"/>
        <v>Sunday</v>
      </c>
      <c r="K103" s="11">
        <v>0.56665509259259261</v>
      </c>
      <c r="L103" s="14">
        <f t="shared" si="14"/>
        <v>13</v>
      </c>
      <c r="M103" s="7">
        <f t="shared" si="15"/>
        <v>35</v>
      </c>
      <c r="N103" s="7">
        <f t="shared" si="16"/>
        <v>59</v>
      </c>
      <c r="O103" s="9" t="s">
        <v>26</v>
      </c>
      <c r="P103" s="9" t="s">
        <v>27</v>
      </c>
      <c r="Q103" s="9">
        <v>10</v>
      </c>
      <c r="R103" s="12">
        <v>395.94</v>
      </c>
      <c r="S103" s="12">
        <f>VLOOKUP(O103,'Product-cost'!A:B,2,)</f>
        <v>200</v>
      </c>
      <c r="T103" s="9" t="s">
        <v>34</v>
      </c>
      <c r="U103" s="9" t="s">
        <v>206</v>
      </c>
      <c r="V103" s="9" t="s">
        <v>872</v>
      </c>
      <c r="W103" s="9" t="s">
        <v>896</v>
      </c>
      <c r="X103" s="12">
        <f t="shared" si="17"/>
        <v>3959.4</v>
      </c>
      <c r="Y103" s="12">
        <f t="shared" si="18"/>
        <v>2000</v>
      </c>
      <c r="Z103" s="16">
        <f>VLOOKUP(T103,Taxrate!A:B,2,FALSE)</f>
        <v>0.15</v>
      </c>
      <c r="AA103" s="12">
        <f t="shared" si="19"/>
        <v>593.91</v>
      </c>
      <c r="AB103" s="16">
        <f>VLOOKUP('Sales Dataset'!O103,'Discount Rate'!A:B,2,)</f>
        <v>0.08</v>
      </c>
      <c r="AC103" s="12">
        <f t="shared" si="20"/>
        <v>160</v>
      </c>
      <c r="AD103" s="18">
        <f t="shared" si="21"/>
        <v>1999.77</v>
      </c>
    </row>
    <row r="104" spans="1:30" ht="51" customHeight="1" x14ac:dyDescent="0.35">
      <c r="A104" s="9" t="s">
        <v>272</v>
      </c>
      <c r="B104" s="9" t="s">
        <v>273</v>
      </c>
      <c r="C104" s="9" t="s">
        <v>172</v>
      </c>
      <c r="D104" s="20" t="s">
        <v>142</v>
      </c>
      <c r="E104" s="9" t="s">
        <v>917</v>
      </c>
      <c r="F104" s="9" t="s">
        <v>918</v>
      </c>
      <c r="G104" s="8">
        <v>45365</v>
      </c>
      <c r="H104" s="7">
        <f t="shared" si="11"/>
        <v>2024</v>
      </c>
      <c r="I104" s="7" t="str">
        <f t="shared" si="12"/>
        <v>March</v>
      </c>
      <c r="J104" s="8" t="str">
        <f t="shared" si="13"/>
        <v>Thursday</v>
      </c>
      <c r="K104" s="11">
        <v>0.89880787037037035</v>
      </c>
      <c r="L104" s="14">
        <f t="shared" si="14"/>
        <v>21</v>
      </c>
      <c r="M104" s="7">
        <f t="shared" si="15"/>
        <v>34</v>
      </c>
      <c r="N104" s="7">
        <f t="shared" si="16"/>
        <v>17</v>
      </c>
      <c r="O104" s="9" t="s">
        <v>40</v>
      </c>
      <c r="P104" s="9" t="s">
        <v>41</v>
      </c>
      <c r="Q104" s="9">
        <v>3</v>
      </c>
      <c r="R104" s="12">
        <v>500</v>
      </c>
      <c r="S104" s="12">
        <f>VLOOKUP(O104,'Product-cost'!A:B,2,)</f>
        <v>150</v>
      </c>
      <c r="T104" s="9" t="s">
        <v>49</v>
      </c>
      <c r="U104" s="9" t="s">
        <v>143</v>
      </c>
      <c r="V104" s="9" t="s">
        <v>871</v>
      </c>
      <c r="W104" s="9" t="s">
        <v>894</v>
      </c>
      <c r="X104" s="12">
        <f t="shared" si="17"/>
        <v>1500</v>
      </c>
      <c r="Y104" s="12">
        <f t="shared" si="18"/>
        <v>450</v>
      </c>
      <c r="Z104" s="16">
        <f>VLOOKUP(T104,Taxrate!A:B,2,FALSE)</f>
        <v>0.12</v>
      </c>
      <c r="AA104" s="12">
        <f t="shared" si="19"/>
        <v>180</v>
      </c>
      <c r="AB104" s="16">
        <f>VLOOKUP('Sales Dataset'!O104,'Discount Rate'!A:B,2,)</f>
        <v>7.0000000000000007E-2</v>
      </c>
      <c r="AC104" s="12">
        <f t="shared" si="20"/>
        <v>31.500000000000004</v>
      </c>
      <c r="AD104" s="18">
        <f t="shared" si="21"/>
        <v>449.81</v>
      </c>
    </row>
    <row r="105" spans="1:30" ht="51" customHeight="1" x14ac:dyDescent="0.35">
      <c r="A105" s="9" t="s">
        <v>274</v>
      </c>
      <c r="B105" s="9" t="s">
        <v>275</v>
      </c>
      <c r="C105" s="9" t="s">
        <v>65</v>
      </c>
      <c r="D105" s="20" t="s">
        <v>53</v>
      </c>
      <c r="E105" s="9" t="s">
        <v>909</v>
      </c>
      <c r="F105" s="9" t="s">
        <v>910</v>
      </c>
      <c r="G105" s="8">
        <v>46322</v>
      </c>
      <c r="H105" s="7">
        <f t="shared" si="11"/>
        <v>2026</v>
      </c>
      <c r="I105" s="7" t="str">
        <f t="shared" si="12"/>
        <v>October</v>
      </c>
      <c r="J105" s="8" t="str">
        <f t="shared" si="13"/>
        <v>Tuesday</v>
      </c>
      <c r="K105" s="11">
        <v>0.35832175925925924</v>
      </c>
      <c r="L105" s="14">
        <f t="shared" si="14"/>
        <v>8</v>
      </c>
      <c r="M105" s="7">
        <f t="shared" si="15"/>
        <v>35</v>
      </c>
      <c r="N105" s="7">
        <f t="shared" si="16"/>
        <v>59</v>
      </c>
      <c r="O105" s="9" t="s">
        <v>20</v>
      </c>
      <c r="P105" s="9" t="s">
        <v>21</v>
      </c>
      <c r="Q105" s="9">
        <v>15</v>
      </c>
      <c r="R105" s="12">
        <v>622.71</v>
      </c>
      <c r="S105" s="12">
        <f>VLOOKUP(O105,'Product-cost'!A:B,2,)</f>
        <v>300</v>
      </c>
      <c r="T105" s="9" t="s">
        <v>28</v>
      </c>
      <c r="U105" s="9" t="s">
        <v>68</v>
      </c>
      <c r="V105" s="9" t="s">
        <v>880</v>
      </c>
      <c r="W105" s="9" t="s">
        <v>894</v>
      </c>
      <c r="X105" s="12">
        <f t="shared" si="17"/>
        <v>9340.6500000000015</v>
      </c>
      <c r="Y105" s="12">
        <f t="shared" si="18"/>
        <v>4500</v>
      </c>
      <c r="Z105" s="16">
        <f>VLOOKUP(T105,Taxrate!A:B,2,FALSE)</f>
        <v>0.2</v>
      </c>
      <c r="AA105" s="12">
        <f t="shared" si="19"/>
        <v>1868.1300000000003</v>
      </c>
      <c r="AB105" s="16">
        <f>VLOOKUP('Sales Dataset'!O105,'Discount Rate'!A:B,2,)</f>
        <v>0.1</v>
      </c>
      <c r="AC105" s="12">
        <f t="shared" si="20"/>
        <v>450</v>
      </c>
      <c r="AD105" s="18">
        <f t="shared" si="21"/>
        <v>4499.7</v>
      </c>
    </row>
    <row r="106" spans="1:30" ht="51" customHeight="1" x14ac:dyDescent="0.35">
      <c r="A106" s="9" t="s">
        <v>276</v>
      </c>
      <c r="B106" s="9" t="s">
        <v>277</v>
      </c>
      <c r="C106" s="9" t="s">
        <v>38</v>
      </c>
      <c r="D106" s="20" t="s">
        <v>39</v>
      </c>
      <c r="E106" s="9" t="s">
        <v>907</v>
      </c>
      <c r="F106" s="9" t="s">
        <v>908</v>
      </c>
      <c r="G106" s="8">
        <v>45782</v>
      </c>
      <c r="H106" s="7">
        <f t="shared" si="11"/>
        <v>2025</v>
      </c>
      <c r="I106" s="7" t="str">
        <f t="shared" si="12"/>
        <v>May</v>
      </c>
      <c r="J106" s="8" t="str">
        <f t="shared" si="13"/>
        <v>Monday</v>
      </c>
      <c r="K106" s="11">
        <v>0.37042824074074077</v>
      </c>
      <c r="L106" s="14">
        <f t="shared" si="14"/>
        <v>8</v>
      </c>
      <c r="M106" s="7">
        <f t="shared" si="15"/>
        <v>53</v>
      </c>
      <c r="N106" s="7">
        <f t="shared" si="16"/>
        <v>25</v>
      </c>
      <c r="O106" s="9" t="s">
        <v>66</v>
      </c>
      <c r="P106" s="9" t="s">
        <v>67</v>
      </c>
      <c r="Q106" s="9">
        <v>12</v>
      </c>
      <c r="R106" s="12">
        <v>189.45</v>
      </c>
      <c r="S106" s="12">
        <f>VLOOKUP(O106,'Product-cost'!A:B,2,)</f>
        <v>50</v>
      </c>
      <c r="T106" s="9" t="s">
        <v>45</v>
      </c>
      <c r="U106" s="9" t="s">
        <v>73</v>
      </c>
      <c r="V106" s="9" t="s">
        <v>878</v>
      </c>
      <c r="W106" s="9" t="s">
        <v>894</v>
      </c>
      <c r="X106" s="12">
        <f t="shared" si="17"/>
        <v>2273.3999999999996</v>
      </c>
      <c r="Y106" s="12">
        <f t="shared" si="18"/>
        <v>600</v>
      </c>
      <c r="Z106" s="16">
        <f>VLOOKUP(T106,Taxrate!A:B,2,FALSE)</f>
        <v>7.0000000000000007E-2</v>
      </c>
      <c r="AA106" s="12">
        <f t="shared" si="19"/>
        <v>159.13799999999998</v>
      </c>
      <c r="AB106" s="16">
        <f>VLOOKUP('Sales Dataset'!O106,'Discount Rate'!A:B,2,)</f>
        <v>0.03</v>
      </c>
      <c r="AC106" s="12">
        <f t="shared" si="20"/>
        <v>18</v>
      </c>
      <c r="AD106" s="18">
        <f t="shared" si="21"/>
        <v>599.9</v>
      </c>
    </row>
    <row r="107" spans="1:30" ht="51" customHeight="1" x14ac:dyDescent="0.35">
      <c r="A107" s="9" t="s">
        <v>278</v>
      </c>
      <c r="B107" s="9" t="s">
        <v>279</v>
      </c>
      <c r="C107" s="9" t="s">
        <v>117</v>
      </c>
      <c r="D107" s="20" t="s">
        <v>19</v>
      </c>
      <c r="E107" s="9" t="s">
        <v>903</v>
      </c>
      <c r="F107" s="9" t="s">
        <v>904</v>
      </c>
      <c r="G107" s="8">
        <v>45885</v>
      </c>
      <c r="H107" s="7">
        <f t="shared" si="11"/>
        <v>2025</v>
      </c>
      <c r="I107" s="7" t="str">
        <f t="shared" si="12"/>
        <v>August</v>
      </c>
      <c r="J107" s="8" t="str">
        <f t="shared" si="13"/>
        <v>Saturday</v>
      </c>
      <c r="K107" s="11">
        <v>0.49383101851851852</v>
      </c>
      <c r="L107" s="14">
        <f t="shared" si="14"/>
        <v>11</v>
      </c>
      <c r="M107" s="7">
        <f t="shared" si="15"/>
        <v>51</v>
      </c>
      <c r="N107" s="7">
        <f t="shared" si="16"/>
        <v>7</v>
      </c>
      <c r="O107" s="9" t="s">
        <v>26</v>
      </c>
      <c r="P107" s="9" t="s">
        <v>27</v>
      </c>
      <c r="Q107" s="9">
        <v>8</v>
      </c>
      <c r="R107" s="12">
        <v>463.72</v>
      </c>
      <c r="S107" s="12">
        <f>VLOOKUP(O107,'Product-cost'!A:B,2,)</f>
        <v>200</v>
      </c>
      <c r="T107" s="9" t="s">
        <v>45</v>
      </c>
      <c r="U107" s="9" t="s">
        <v>23</v>
      </c>
      <c r="V107" s="9" t="s">
        <v>873</v>
      </c>
      <c r="W107" s="9" t="s">
        <v>895</v>
      </c>
      <c r="X107" s="12">
        <f t="shared" si="17"/>
        <v>3709.76</v>
      </c>
      <c r="Y107" s="12">
        <f t="shared" si="18"/>
        <v>1600</v>
      </c>
      <c r="Z107" s="16">
        <f>VLOOKUP(T107,Taxrate!A:B,2,FALSE)</f>
        <v>7.0000000000000007E-2</v>
      </c>
      <c r="AA107" s="12">
        <f t="shared" si="19"/>
        <v>259.68320000000006</v>
      </c>
      <c r="AB107" s="16">
        <f>VLOOKUP('Sales Dataset'!O107,'Discount Rate'!A:B,2,)</f>
        <v>0.08</v>
      </c>
      <c r="AC107" s="12">
        <f t="shared" si="20"/>
        <v>128</v>
      </c>
      <c r="AD107" s="18">
        <f t="shared" si="21"/>
        <v>1599.8500000000001</v>
      </c>
    </row>
    <row r="108" spans="1:30" ht="51" customHeight="1" x14ac:dyDescent="0.35">
      <c r="A108" s="9" t="s">
        <v>280</v>
      </c>
      <c r="B108" s="9" t="s">
        <v>281</v>
      </c>
      <c r="C108" s="9" t="s">
        <v>90</v>
      </c>
      <c r="D108" s="20" t="s">
        <v>91</v>
      </c>
      <c r="E108" s="9" t="s">
        <v>915</v>
      </c>
      <c r="F108" s="9" t="s">
        <v>916</v>
      </c>
      <c r="G108" s="8">
        <v>45104</v>
      </c>
      <c r="H108" s="7">
        <f t="shared" si="11"/>
        <v>2023</v>
      </c>
      <c r="I108" s="7" t="str">
        <f t="shared" si="12"/>
        <v>June</v>
      </c>
      <c r="J108" s="8" t="str">
        <f t="shared" si="13"/>
        <v>Tuesday</v>
      </c>
      <c r="K108" s="11">
        <v>0.75429398148148152</v>
      </c>
      <c r="L108" s="14">
        <f t="shared" si="14"/>
        <v>18</v>
      </c>
      <c r="M108" s="7">
        <f t="shared" si="15"/>
        <v>6</v>
      </c>
      <c r="N108" s="7">
        <f t="shared" si="16"/>
        <v>11</v>
      </c>
      <c r="O108" s="9" t="s">
        <v>20</v>
      </c>
      <c r="P108" s="9" t="s">
        <v>21</v>
      </c>
      <c r="Q108" s="9">
        <v>15</v>
      </c>
      <c r="R108" s="12">
        <v>558.24</v>
      </c>
      <c r="S108" s="12">
        <f>VLOOKUP(O108,'Product-cost'!A:B,2,)</f>
        <v>300</v>
      </c>
      <c r="T108" s="9" t="s">
        <v>28</v>
      </c>
      <c r="U108" s="9" t="s">
        <v>92</v>
      </c>
      <c r="V108" s="9" t="s">
        <v>868</v>
      </c>
      <c r="W108" s="9" t="s">
        <v>894</v>
      </c>
      <c r="X108" s="12">
        <f t="shared" si="17"/>
        <v>8373.6</v>
      </c>
      <c r="Y108" s="12">
        <f t="shared" si="18"/>
        <v>4500</v>
      </c>
      <c r="Z108" s="16">
        <f>VLOOKUP(T108,Taxrate!A:B,2,FALSE)</f>
        <v>0.2</v>
      </c>
      <c r="AA108" s="12">
        <f t="shared" si="19"/>
        <v>1674.7200000000003</v>
      </c>
      <c r="AB108" s="16">
        <f>VLOOKUP('Sales Dataset'!O108,'Discount Rate'!A:B,2,)</f>
        <v>0.1</v>
      </c>
      <c r="AC108" s="12">
        <f t="shared" si="20"/>
        <v>450</v>
      </c>
      <c r="AD108" s="18">
        <f t="shared" si="21"/>
        <v>4499.7</v>
      </c>
    </row>
    <row r="109" spans="1:30" ht="51" customHeight="1" x14ac:dyDescent="0.35">
      <c r="A109" s="9" t="s">
        <v>282</v>
      </c>
      <c r="B109" s="9" t="s">
        <v>283</v>
      </c>
      <c r="C109" s="9" t="s">
        <v>11</v>
      </c>
      <c r="D109" s="20" t="s">
        <v>12</v>
      </c>
      <c r="E109" s="9" t="s">
        <v>901</v>
      </c>
      <c r="F109" s="9" t="s">
        <v>902</v>
      </c>
      <c r="G109" s="8">
        <v>45555</v>
      </c>
      <c r="H109" s="7">
        <f t="shared" si="11"/>
        <v>2024</v>
      </c>
      <c r="I109" s="7" t="str">
        <f t="shared" si="12"/>
        <v>September</v>
      </c>
      <c r="J109" s="8" t="str">
        <f t="shared" si="13"/>
        <v>Friday</v>
      </c>
      <c r="K109" s="11">
        <v>0.61356481481481484</v>
      </c>
      <c r="L109" s="14">
        <f t="shared" si="14"/>
        <v>14</v>
      </c>
      <c r="M109" s="7">
        <f t="shared" si="15"/>
        <v>43</v>
      </c>
      <c r="N109" s="7">
        <f t="shared" si="16"/>
        <v>32</v>
      </c>
      <c r="O109" s="9" t="s">
        <v>26</v>
      </c>
      <c r="P109" s="9" t="s">
        <v>27</v>
      </c>
      <c r="Q109" s="9">
        <v>11</v>
      </c>
      <c r="R109" s="12">
        <v>379.01</v>
      </c>
      <c r="S109" s="12">
        <f>VLOOKUP(O109,'Product-cost'!A:B,2,)</f>
        <v>200</v>
      </c>
      <c r="T109" s="9" t="s">
        <v>49</v>
      </c>
      <c r="U109" s="9" t="s">
        <v>29</v>
      </c>
      <c r="V109" s="9" t="s">
        <v>874</v>
      </c>
      <c r="W109" s="9" t="s">
        <v>894</v>
      </c>
      <c r="X109" s="12">
        <f t="shared" si="17"/>
        <v>4169.1099999999997</v>
      </c>
      <c r="Y109" s="12">
        <f t="shared" si="18"/>
        <v>2200</v>
      </c>
      <c r="Z109" s="16">
        <f>VLOOKUP(T109,Taxrate!A:B,2,FALSE)</f>
        <v>0.12</v>
      </c>
      <c r="AA109" s="12">
        <f t="shared" si="19"/>
        <v>500.29319999999996</v>
      </c>
      <c r="AB109" s="16">
        <f>VLOOKUP('Sales Dataset'!O109,'Discount Rate'!A:B,2,)</f>
        <v>0.08</v>
      </c>
      <c r="AC109" s="12">
        <f t="shared" si="20"/>
        <v>176</v>
      </c>
      <c r="AD109" s="18">
        <f t="shared" si="21"/>
        <v>2199.8000000000002</v>
      </c>
    </row>
    <row r="110" spans="1:30" ht="51" customHeight="1" x14ac:dyDescent="0.35">
      <c r="A110" s="9" t="s">
        <v>284</v>
      </c>
      <c r="B110" s="9" t="s">
        <v>285</v>
      </c>
      <c r="C110" s="9" t="s">
        <v>65</v>
      </c>
      <c r="D110" s="20" t="s">
        <v>53</v>
      </c>
      <c r="E110" s="9" t="s">
        <v>909</v>
      </c>
      <c r="F110" s="9" t="s">
        <v>910</v>
      </c>
      <c r="G110" s="8">
        <v>45433</v>
      </c>
      <c r="H110" s="7">
        <f t="shared" si="11"/>
        <v>2024</v>
      </c>
      <c r="I110" s="7" t="str">
        <f t="shared" si="12"/>
        <v>May</v>
      </c>
      <c r="J110" s="8" t="str">
        <f t="shared" si="13"/>
        <v>Tuesday</v>
      </c>
      <c r="K110" s="11">
        <v>0.68649305555555551</v>
      </c>
      <c r="L110" s="14">
        <f t="shared" si="14"/>
        <v>16</v>
      </c>
      <c r="M110" s="7">
        <f t="shared" si="15"/>
        <v>28</v>
      </c>
      <c r="N110" s="7">
        <f t="shared" si="16"/>
        <v>33</v>
      </c>
      <c r="O110" s="9" t="s">
        <v>26</v>
      </c>
      <c r="P110" s="9" t="s">
        <v>27</v>
      </c>
      <c r="Q110" s="9">
        <v>7</v>
      </c>
      <c r="R110" s="12">
        <v>332.35</v>
      </c>
      <c r="S110" s="12">
        <f>VLOOKUP(O110,'Product-cost'!A:B,2,)</f>
        <v>200</v>
      </c>
      <c r="T110" s="9" t="s">
        <v>49</v>
      </c>
      <c r="U110" s="9" t="s">
        <v>68</v>
      </c>
      <c r="V110" s="9" t="s">
        <v>877</v>
      </c>
      <c r="W110" s="9" t="s">
        <v>894</v>
      </c>
      <c r="X110" s="12">
        <f t="shared" si="17"/>
        <v>2326.4500000000003</v>
      </c>
      <c r="Y110" s="12">
        <f t="shared" si="18"/>
        <v>1400</v>
      </c>
      <c r="Z110" s="16">
        <f>VLOOKUP(T110,Taxrate!A:B,2,FALSE)</f>
        <v>0.12</v>
      </c>
      <c r="AA110" s="12">
        <f t="shared" si="19"/>
        <v>279.17400000000004</v>
      </c>
      <c r="AB110" s="16">
        <f>VLOOKUP('Sales Dataset'!O110,'Discount Rate'!A:B,2,)</f>
        <v>0.08</v>
      </c>
      <c r="AC110" s="12">
        <f t="shared" si="20"/>
        <v>112</v>
      </c>
      <c r="AD110" s="18">
        <f t="shared" si="21"/>
        <v>1399.8000000000002</v>
      </c>
    </row>
    <row r="111" spans="1:30" ht="51" customHeight="1" x14ac:dyDescent="0.35">
      <c r="A111" s="9" t="s">
        <v>286</v>
      </c>
      <c r="B111" s="9" t="s">
        <v>287</v>
      </c>
      <c r="C111" s="9" t="s">
        <v>150</v>
      </c>
      <c r="D111" s="20" t="s">
        <v>33</v>
      </c>
      <c r="E111" s="9" t="s">
        <v>905</v>
      </c>
      <c r="F111" s="9" t="s">
        <v>906</v>
      </c>
      <c r="G111" s="8">
        <v>45084</v>
      </c>
      <c r="H111" s="7">
        <f t="shared" si="11"/>
        <v>2023</v>
      </c>
      <c r="I111" s="7" t="str">
        <f t="shared" si="12"/>
        <v>June</v>
      </c>
      <c r="J111" s="8" t="str">
        <f t="shared" si="13"/>
        <v>Wednesday</v>
      </c>
      <c r="K111" s="11">
        <v>0.83575231481481482</v>
      </c>
      <c r="L111" s="14">
        <f t="shared" si="14"/>
        <v>20</v>
      </c>
      <c r="M111" s="7">
        <f t="shared" si="15"/>
        <v>3</v>
      </c>
      <c r="N111" s="7">
        <f t="shared" si="16"/>
        <v>29</v>
      </c>
      <c r="O111" s="9" t="s">
        <v>20</v>
      </c>
      <c r="P111" s="9" t="s">
        <v>21</v>
      </c>
      <c r="Q111" s="9">
        <v>8</v>
      </c>
      <c r="R111" s="12">
        <v>647.64</v>
      </c>
      <c r="S111" s="12">
        <f>VLOOKUP(O111,'Product-cost'!A:B,2,)</f>
        <v>300</v>
      </c>
      <c r="T111" s="9" t="s">
        <v>22</v>
      </c>
      <c r="U111" s="9" t="s">
        <v>35</v>
      </c>
      <c r="V111" s="9" t="s">
        <v>873</v>
      </c>
      <c r="W111" s="9" t="s">
        <v>895</v>
      </c>
      <c r="X111" s="12">
        <f t="shared" si="17"/>
        <v>5181.12</v>
      </c>
      <c r="Y111" s="12">
        <f t="shared" si="18"/>
        <v>2400</v>
      </c>
      <c r="Z111" s="16">
        <f>VLOOKUP(T111,Taxrate!A:B,2,FALSE)</f>
        <v>0.1</v>
      </c>
      <c r="AA111" s="12">
        <f t="shared" si="19"/>
        <v>518.11199999999997</v>
      </c>
      <c r="AB111" s="16">
        <f>VLOOKUP('Sales Dataset'!O111,'Discount Rate'!A:B,2,)</f>
        <v>0.1</v>
      </c>
      <c r="AC111" s="12">
        <f t="shared" si="20"/>
        <v>240</v>
      </c>
      <c r="AD111" s="18">
        <f t="shared" si="21"/>
        <v>2399.8000000000002</v>
      </c>
    </row>
    <row r="112" spans="1:30" ht="51" customHeight="1" x14ac:dyDescent="0.35">
      <c r="A112" s="9" t="s">
        <v>288</v>
      </c>
      <c r="B112" s="9" t="s">
        <v>289</v>
      </c>
      <c r="C112" s="9" t="s">
        <v>57</v>
      </c>
      <c r="D112" s="20" t="s">
        <v>12</v>
      </c>
      <c r="E112" s="9" t="s">
        <v>901</v>
      </c>
      <c r="F112" s="9" t="s">
        <v>902</v>
      </c>
      <c r="G112" s="8">
        <v>45068</v>
      </c>
      <c r="H112" s="7">
        <f t="shared" si="11"/>
        <v>2023</v>
      </c>
      <c r="I112" s="7" t="str">
        <f t="shared" si="12"/>
        <v>May</v>
      </c>
      <c r="J112" s="8" t="str">
        <f t="shared" si="13"/>
        <v>Monday</v>
      </c>
      <c r="K112" s="11">
        <v>0.34613425925925928</v>
      </c>
      <c r="L112" s="14">
        <f t="shared" si="14"/>
        <v>8</v>
      </c>
      <c r="M112" s="7">
        <f t="shared" si="15"/>
        <v>18</v>
      </c>
      <c r="N112" s="7">
        <f t="shared" si="16"/>
        <v>26</v>
      </c>
      <c r="O112" s="9" t="s">
        <v>20</v>
      </c>
      <c r="P112" s="9" t="s">
        <v>21</v>
      </c>
      <c r="Q112" s="9">
        <v>13</v>
      </c>
      <c r="R112" s="12">
        <v>698.79</v>
      </c>
      <c r="S112" s="12">
        <f>VLOOKUP(O112,'Product-cost'!A:B,2,)</f>
        <v>300</v>
      </c>
      <c r="T112" s="9" t="s">
        <v>34</v>
      </c>
      <c r="U112" s="9" t="s">
        <v>29</v>
      </c>
      <c r="V112" s="9" t="s">
        <v>879</v>
      </c>
      <c r="W112" s="9" t="s">
        <v>894</v>
      </c>
      <c r="X112" s="12">
        <f t="shared" si="17"/>
        <v>9084.27</v>
      </c>
      <c r="Y112" s="12">
        <f t="shared" si="18"/>
        <v>3900</v>
      </c>
      <c r="Z112" s="16">
        <f>VLOOKUP(T112,Taxrate!A:B,2,FALSE)</f>
        <v>0.15</v>
      </c>
      <c r="AA112" s="12">
        <f t="shared" si="19"/>
        <v>1362.6405</v>
      </c>
      <c r="AB112" s="16">
        <f>VLOOKUP('Sales Dataset'!O112,'Discount Rate'!A:B,2,)</f>
        <v>0.1</v>
      </c>
      <c r="AC112" s="12">
        <f t="shared" si="20"/>
        <v>390</v>
      </c>
      <c r="AD112" s="18">
        <f t="shared" si="21"/>
        <v>3899.75</v>
      </c>
    </row>
    <row r="113" spans="1:30" ht="51" customHeight="1" x14ac:dyDescent="0.35">
      <c r="A113" s="9" t="s">
        <v>290</v>
      </c>
      <c r="B113" s="9" t="s">
        <v>291</v>
      </c>
      <c r="C113" s="9" t="s">
        <v>117</v>
      </c>
      <c r="D113" s="20" t="s">
        <v>19</v>
      </c>
      <c r="E113" s="9" t="s">
        <v>903</v>
      </c>
      <c r="F113" s="9" t="s">
        <v>904</v>
      </c>
      <c r="G113" s="8">
        <v>45639</v>
      </c>
      <c r="H113" s="7">
        <f t="shared" si="11"/>
        <v>2024</v>
      </c>
      <c r="I113" s="7" t="str">
        <f t="shared" si="12"/>
        <v>December</v>
      </c>
      <c r="J113" s="8" t="str">
        <f t="shared" si="13"/>
        <v>Friday</v>
      </c>
      <c r="K113" s="11">
        <v>0.44056712962962963</v>
      </c>
      <c r="L113" s="14">
        <f t="shared" si="14"/>
        <v>10</v>
      </c>
      <c r="M113" s="7">
        <f t="shared" si="15"/>
        <v>34</v>
      </c>
      <c r="N113" s="7">
        <f t="shared" si="16"/>
        <v>25</v>
      </c>
      <c r="O113" s="9" t="s">
        <v>40</v>
      </c>
      <c r="P113" s="9" t="s">
        <v>41</v>
      </c>
      <c r="Q113" s="9">
        <v>4</v>
      </c>
      <c r="R113" s="12">
        <v>259.18</v>
      </c>
      <c r="S113" s="12">
        <f>VLOOKUP(O113,'Product-cost'!A:B,2,)</f>
        <v>150</v>
      </c>
      <c r="T113" s="9" t="s">
        <v>22</v>
      </c>
      <c r="U113" s="9" t="s">
        <v>23</v>
      </c>
      <c r="V113" s="9" t="s">
        <v>879</v>
      </c>
      <c r="W113" s="9" t="s">
        <v>894</v>
      </c>
      <c r="X113" s="12">
        <f t="shared" si="17"/>
        <v>1036.72</v>
      </c>
      <c r="Y113" s="12">
        <f t="shared" si="18"/>
        <v>600</v>
      </c>
      <c r="Z113" s="16">
        <f>VLOOKUP(T113,Taxrate!A:B,2,FALSE)</f>
        <v>0.1</v>
      </c>
      <c r="AA113" s="12">
        <f t="shared" si="19"/>
        <v>103.67200000000001</v>
      </c>
      <c r="AB113" s="16">
        <f>VLOOKUP('Sales Dataset'!O113,'Discount Rate'!A:B,2,)</f>
        <v>7.0000000000000007E-2</v>
      </c>
      <c r="AC113" s="12">
        <f t="shared" si="20"/>
        <v>42.000000000000007</v>
      </c>
      <c r="AD113" s="18">
        <f t="shared" si="21"/>
        <v>599.82999999999993</v>
      </c>
    </row>
    <row r="114" spans="1:30" ht="51" customHeight="1" x14ac:dyDescent="0.35">
      <c r="A114" s="9" t="s">
        <v>292</v>
      </c>
      <c r="B114" s="9" t="s">
        <v>293</v>
      </c>
      <c r="C114" s="9" t="s">
        <v>163</v>
      </c>
      <c r="D114" s="20" t="s">
        <v>53</v>
      </c>
      <c r="E114" s="9" t="s">
        <v>909</v>
      </c>
      <c r="F114" s="9" t="s">
        <v>910</v>
      </c>
      <c r="G114" s="8">
        <v>45110</v>
      </c>
      <c r="H114" s="7">
        <f t="shared" si="11"/>
        <v>2023</v>
      </c>
      <c r="I114" s="7" t="str">
        <f t="shared" si="12"/>
        <v>July</v>
      </c>
      <c r="J114" s="8" t="str">
        <f t="shared" si="13"/>
        <v>Monday</v>
      </c>
      <c r="K114" s="11">
        <v>0.74304398148148143</v>
      </c>
      <c r="L114" s="14">
        <f t="shared" si="14"/>
        <v>17</v>
      </c>
      <c r="M114" s="7">
        <f t="shared" si="15"/>
        <v>49</v>
      </c>
      <c r="N114" s="7">
        <f t="shared" si="16"/>
        <v>59</v>
      </c>
      <c r="O114" s="9" t="s">
        <v>13</v>
      </c>
      <c r="P114" s="9" t="s">
        <v>14</v>
      </c>
      <c r="Q114" s="9">
        <v>2</v>
      </c>
      <c r="R114" s="12">
        <v>500</v>
      </c>
      <c r="S114" s="12">
        <f>VLOOKUP(O114,'Product-cost'!A:B,2,)</f>
        <v>600</v>
      </c>
      <c r="T114" s="9" t="s">
        <v>45</v>
      </c>
      <c r="U114" s="9" t="s">
        <v>54</v>
      </c>
      <c r="V114" s="9" t="s">
        <v>871</v>
      </c>
      <c r="W114" s="9" t="s">
        <v>894</v>
      </c>
      <c r="X114" s="12">
        <f t="shared" si="17"/>
        <v>1000</v>
      </c>
      <c r="Y114" s="12">
        <f t="shared" si="18"/>
        <v>1200</v>
      </c>
      <c r="Z114" s="16">
        <f>VLOOKUP(T114,Taxrate!A:B,2,FALSE)</f>
        <v>7.0000000000000007E-2</v>
      </c>
      <c r="AA114" s="12">
        <f t="shared" si="19"/>
        <v>70</v>
      </c>
      <c r="AB114" s="16">
        <f>VLOOKUP('Sales Dataset'!O114,'Discount Rate'!A:B,2,)</f>
        <v>0.05</v>
      </c>
      <c r="AC114" s="12">
        <f t="shared" si="20"/>
        <v>60</v>
      </c>
      <c r="AD114" s="18">
        <f t="shared" si="21"/>
        <v>1199.8800000000001</v>
      </c>
    </row>
    <row r="115" spans="1:30" ht="51" customHeight="1" x14ac:dyDescent="0.35">
      <c r="A115" s="9" t="s">
        <v>294</v>
      </c>
      <c r="B115" s="9" t="s">
        <v>295</v>
      </c>
      <c r="C115" s="9" t="s">
        <v>38</v>
      </c>
      <c r="D115" s="20" t="s">
        <v>39</v>
      </c>
      <c r="E115" s="9" t="s">
        <v>907</v>
      </c>
      <c r="F115" s="9" t="s">
        <v>908</v>
      </c>
      <c r="G115" s="8">
        <v>45958</v>
      </c>
      <c r="H115" s="7">
        <f t="shared" si="11"/>
        <v>2025</v>
      </c>
      <c r="I115" s="7" t="str">
        <f t="shared" si="12"/>
        <v>October</v>
      </c>
      <c r="J115" s="8" t="str">
        <f t="shared" si="13"/>
        <v>Tuesday</v>
      </c>
      <c r="K115" s="11">
        <v>0.49511574074074072</v>
      </c>
      <c r="L115" s="14">
        <f t="shared" si="14"/>
        <v>11</v>
      </c>
      <c r="M115" s="7">
        <f t="shared" si="15"/>
        <v>52</v>
      </c>
      <c r="N115" s="7">
        <f t="shared" si="16"/>
        <v>58</v>
      </c>
      <c r="O115" s="9" t="s">
        <v>40</v>
      </c>
      <c r="P115" s="9" t="s">
        <v>41</v>
      </c>
      <c r="Q115" s="9">
        <v>10</v>
      </c>
      <c r="R115" s="12">
        <v>266.02</v>
      </c>
      <c r="S115" s="12">
        <f>VLOOKUP(O115,'Product-cost'!A:B,2,)</f>
        <v>150</v>
      </c>
      <c r="T115" s="9" t="s">
        <v>28</v>
      </c>
      <c r="U115" s="9" t="s">
        <v>73</v>
      </c>
      <c r="V115" s="9" t="s">
        <v>871</v>
      </c>
      <c r="W115" s="9" t="s">
        <v>894</v>
      </c>
      <c r="X115" s="12">
        <f t="shared" si="17"/>
        <v>2660.2</v>
      </c>
      <c r="Y115" s="12">
        <f t="shared" si="18"/>
        <v>1500</v>
      </c>
      <c r="Z115" s="16">
        <f>VLOOKUP(T115,Taxrate!A:B,2,FALSE)</f>
        <v>0.2</v>
      </c>
      <c r="AA115" s="12">
        <f t="shared" si="19"/>
        <v>532.04</v>
      </c>
      <c r="AB115" s="16">
        <f>VLOOKUP('Sales Dataset'!O115,'Discount Rate'!A:B,2,)</f>
        <v>7.0000000000000007E-2</v>
      </c>
      <c r="AC115" s="12">
        <f t="shared" si="20"/>
        <v>105.00000000000001</v>
      </c>
      <c r="AD115" s="18">
        <f t="shared" si="21"/>
        <v>1499.73</v>
      </c>
    </row>
    <row r="116" spans="1:30" ht="51" customHeight="1" x14ac:dyDescent="0.35">
      <c r="A116" s="9" t="s">
        <v>296</v>
      </c>
      <c r="B116" s="9" t="s">
        <v>297</v>
      </c>
      <c r="C116" s="9" t="s">
        <v>52</v>
      </c>
      <c r="D116" s="20" t="s">
        <v>53</v>
      </c>
      <c r="E116" s="9" t="s">
        <v>909</v>
      </c>
      <c r="F116" s="9" t="s">
        <v>910</v>
      </c>
      <c r="G116" s="8">
        <v>46317</v>
      </c>
      <c r="H116" s="7">
        <f t="shared" si="11"/>
        <v>2026</v>
      </c>
      <c r="I116" s="7" t="str">
        <f t="shared" si="12"/>
        <v>October</v>
      </c>
      <c r="J116" s="8" t="str">
        <f t="shared" si="13"/>
        <v>Thursday</v>
      </c>
      <c r="K116" s="11">
        <v>0.68822916666666667</v>
      </c>
      <c r="L116" s="14">
        <f t="shared" si="14"/>
        <v>16</v>
      </c>
      <c r="M116" s="7">
        <f t="shared" si="15"/>
        <v>31</v>
      </c>
      <c r="N116" s="7">
        <f t="shared" si="16"/>
        <v>3</v>
      </c>
      <c r="O116" s="9" t="s">
        <v>26</v>
      </c>
      <c r="P116" s="9" t="s">
        <v>27</v>
      </c>
      <c r="Q116" s="9">
        <v>11</v>
      </c>
      <c r="R116" s="12">
        <v>424.89</v>
      </c>
      <c r="S116" s="12">
        <f>VLOOKUP(O116,'Product-cost'!A:B,2,)</f>
        <v>200</v>
      </c>
      <c r="T116" s="9" t="s">
        <v>34</v>
      </c>
      <c r="U116" s="9" t="s">
        <v>54</v>
      </c>
      <c r="V116" s="9" t="s">
        <v>875</v>
      </c>
      <c r="W116" s="9" t="s">
        <v>894</v>
      </c>
      <c r="X116" s="12">
        <f t="shared" si="17"/>
        <v>4673.79</v>
      </c>
      <c r="Y116" s="12">
        <f t="shared" si="18"/>
        <v>2200</v>
      </c>
      <c r="Z116" s="16">
        <f>VLOOKUP(T116,Taxrate!A:B,2,FALSE)</f>
        <v>0.15</v>
      </c>
      <c r="AA116" s="12">
        <f t="shared" si="19"/>
        <v>701.06849999999997</v>
      </c>
      <c r="AB116" s="16">
        <f>VLOOKUP('Sales Dataset'!O116,'Discount Rate'!A:B,2,)</f>
        <v>0.08</v>
      </c>
      <c r="AC116" s="12">
        <f t="shared" si="20"/>
        <v>176</v>
      </c>
      <c r="AD116" s="18">
        <f t="shared" si="21"/>
        <v>2199.77</v>
      </c>
    </row>
    <row r="117" spans="1:30" ht="51" customHeight="1" x14ac:dyDescent="0.35">
      <c r="A117" s="9" t="s">
        <v>298</v>
      </c>
      <c r="B117" s="9" t="s">
        <v>299</v>
      </c>
      <c r="C117" s="9" t="s">
        <v>126</v>
      </c>
      <c r="D117" s="20" t="s">
        <v>19</v>
      </c>
      <c r="E117" s="9" t="s">
        <v>903</v>
      </c>
      <c r="F117" s="9" t="s">
        <v>904</v>
      </c>
      <c r="G117" s="8">
        <v>46078</v>
      </c>
      <c r="H117" s="7">
        <f t="shared" si="11"/>
        <v>2026</v>
      </c>
      <c r="I117" s="7" t="str">
        <f t="shared" si="12"/>
        <v>February</v>
      </c>
      <c r="J117" s="8" t="str">
        <f t="shared" si="13"/>
        <v>Wednesday</v>
      </c>
      <c r="K117" s="11">
        <v>0.60802083333333334</v>
      </c>
      <c r="L117" s="14">
        <f t="shared" si="14"/>
        <v>14</v>
      </c>
      <c r="M117" s="7">
        <f t="shared" si="15"/>
        <v>35</v>
      </c>
      <c r="N117" s="7">
        <f t="shared" si="16"/>
        <v>33</v>
      </c>
      <c r="O117" s="9" t="s">
        <v>20</v>
      </c>
      <c r="P117" s="9" t="s">
        <v>21</v>
      </c>
      <c r="Q117" s="9">
        <v>5</v>
      </c>
      <c r="R117" s="12">
        <v>674.01</v>
      </c>
      <c r="S117" s="12">
        <f>VLOOKUP(O117,'Product-cost'!A:B,2,)</f>
        <v>300</v>
      </c>
      <c r="T117" s="9" t="s">
        <v>34</v>
      </c>
      <c r="U117" s="9" t="s">
        <v>130</v>
      </c>
      <c r="V117" s="9" t="s">
        <v>872</v>
      </c>
      <c r="W117" s="9" t="s">
        <v>896</v>
      </c>
      <c r="X117" s="12">
        <f t="shared" si="17"/>
        <v>3370.05</v>
      </c>
      <c r="Y117" s="12">
        <f t="shared" si="18"/>
        <v>1500</v>
      </c>
      <c r="Z117" s="16">
        <f>VLOOKUP(T117,Taxrate!A:B,2,FALSE)</f>
        <v>0.15</v>
      </c>
      <c r="AA117" s="12">
        <f t="shared" si="19"/>
        <v>505.50749999999999</v>
      </c>
      <c r="AB117" s="16">
        <f>VLOOKUP('Sales Dataset'!O117,'Discount Rate'!A:B,2,)</f>
        <v>0.1</v>
      </c>
      <c r="AC117" s="12">
        <f t="shared" si="20"/>
        <v>150</v>
      </c>
      <c r="AD117" s="18">
        <f t="shared" si="21"/>
        <v>1499.75</v>
      </c>
    </row>
    <row r="118" spans="1:30" ht="51" customHeight="1" x14ac:dyDescent="0.35">
      <c r="A118" s="9" t="s">
        <v>300</v>
      </c>
      <c r="B118" s="9" t="s">
        <v>301</v>
      </c>
      <c r="C118" s="9" t="s">
        <v>60</v>
      </c>
      <c r="D118" s="20" t="s">
        <v>61</v>
      </c>
      <c r="E118" s="9" t="s">
        <v>911</v>
      </c>
      <c r="F118" s="9" t="s">
        <v>912</v>
      </c>
      <c r="G118" s="8">
        <v>46130</v>
      </c>
      <c r="H118" s="7">
        <f t="shared" si="11"/>
        <v>2026</v>
      </c>
      <c r="I118" s="7" t="str">
        <f t="shared" si="12"/>
        <v>April</v>
      </c>
      <c r="J118" s="8" t="str">
        <f t="shared" si="13"/>
        <v>Saturday</v>
      </c>
      <c r="K118" s="11">
        <v>0.63466435185185188</v>
      </c>
      <c r="L118" s="14">
        <f t="shared" si="14"/>
        <v>15</v>
      </c>
      <c r="M118" s="7">
        <f t="shared" si="15"/>
        <v>13</v>
      </c>
      <c r="N118" s="7">
        <f t="shared" si="16"/>
        <v>55</v>
      </c>
      <c r="O118" s="9" t="s">
        <v>26</v>
      </c>
      <c r="P118" s="9" t="s">
        <v>27</v>
      </c>
      <c r="Q118" s="9">
        <v>15</v>
      </c>
      <c r="R118" s="12">
        <v>500</v>
      </c>
      <c r="S118" s="12">
        <f>VLOOKUP(O118,'Product-cost'!A:B,2,)</f>
        <v>200</v>
      </c>
      <c r="T118" s="9" t="s">
        <v>28</v>
      </c>
      <c r="U118" s="9" t="s">
        <v>158</v>
      </c>
      <c r="V118" s="9" t="s">
        <v>875</v>
      </c>
      <c r="W118" s="9" t="s">
        <v>894</v>
      </c>
      <c r="X118" s="12">
        <f t="shared" si="17"/>
        <v>7500</v>
      </c>
      <c r="Y118" s="12">
        <f t="shared" si="18"/>
        <v>3000</v>
      </c>
      <c r="Z118" s="16">
        <f>VLOOKUP(T118,Taxrate!A:B,2,FALSE)</f>
        <v>0.2</v>
      </c>
      <c r="AA118" s="12">
        <f t="shared" si="19"/>
        <v>1500</v>
      </c>
      <c r="AB118" s="16">
        <f>VLOOKUP('Sales Dataset'!O118,'Discount Rate'!A:B,2,)</f>
        <v>0.08</v>
      </c>
      <c r="AC118" s="12">
        <f t="shared" si="20"/>
        <v>240</v>
      </c>
      <c r="AD118" s="18">
        <f t="shared" si="21"/>
        <v>2999.7200000000003</v>
      </c>
    </row>
    <row r="119" spans="1:30" ht="51" customHeight="1" x14ac:dyDescent="0.35">
      <c r="A119" s="9" t="s">
        <v>302</v>
      </c>
      <c r="B119" s="9" t="s">
        <v>303</v>
      </c>
      <c r="C119" s="9" t="s">
        <v>18</v>
      </c>
      <c r="D119" s="20" t="s">
        <v>19</v>
      </c>
      <c r="E119" s="9" t="s">
        <v>903</v>
      </c>
      <c r="F119" s="9" t="s">
        <v>904</v>
      </c>
      <c r="G119" s="8">
        <v>45330</v>
      </c>
      <c r="H119" s="7">
        <f t="shared" si="11"/>
        <v>2024</v>
      </c>
      <c r="I119" s="7" t="str">
        <f t="shared" si="12"/>
        <v>February</v>
      </c>
      <c r="J119" s="8" t="str">
        <f t="shared" si="13"/>
        <v>Thursday</v>
      </c>
      <c r="K119" s="11">
        <v>0.64908564814814818</v>
      </c>
      <c r="L119" s="14">
        <f t="shared" si="14"/>
        <v>15</v>
      </c>
      <c r="M119" s="7">
        <f t="shared" si="15"/>
        <v>34</v>
      </c>
      <c r="N119" s="7">
        <f t="shared" si="16"/>
        <v>41</v>
      </c>
      <c r="O119" s="9" t="s">
        <v>26</v>
      </c>
      <c r="P119" s="9" t="s">
        <v>27</v>
      </c>
      <c r="Q119" s="9">
        <v>6</v>
      </c>
      <c r="R119" s="12">
        <v>419.46</v>
      </c>
      <c r="S119" s="12">
        <f>VLOOKUP(O119,'Product-cost'!A:B,2,)</f>
        <v>200</v>
      </c>
      <c r="T119" s="9" t="s">
        <v>45</v>
      </c>
      <c r="U119" s="9" t="s">
        <v>23</v>
      </c>
      <c r="V119" s="9" t="s">
        <v>878</v>
      </c>
      <c r="W119" s="9" t="s">
        <v>894</v>
      </c>
      <c r="X119" s="12">
        <f t="shared" si="17"/>
        <v>2516.7599999999998</v>
      </c>
      <c r="Y119" s="12">
        <f t="shared" si="18"/>
        <v>1200</v>
      </c>
      <c r="Z119" s="16">
        <f>VLOOKUP(T119,Taxrate!A:B,2,FALSE)</f>
        <v>7.0000000000000007E-2</v>
      </c>
      <c r="AA119" s="12">
        <f t="shared" si="19"/>
        <v>176.17320000000001</v>
      </c>
      <c r="AB119" s="16">
        <f>VLOOKUP('Sales Dataset'!O119,'Discount Rate'!A:B,2,)</f>
        <v>0.08</v>
      </c>
      <c r="AC119" s="12">
        <f t="shared" si="20"/>
        <v>96</v>
      </c>
      <c r="AD119" s="18">
        <f t="shared" si="21"/>
        <v>1199.8500000000001</v>
      </c>
    </row>
    <row r="120" spans="1:30" ht="51" customHeight="1" x14ac:dyDescent="0.35">
      <c r="A120" s="9" t="s">
        <v>304</v>
      </c>
      <c r="B120" s="9" t="s">
        <v>266</v>
      </c>
      <c r="C120" s="9" t="s">
        <v>18</v>
      </c>
      <c r="D120" s="20" t="s">
        <v>19</v>
      </c>
      <c r="E120" s="9" t="s">
        <v>903</v>
      </c>
      <c r="F120" s="9" t="s">
        <v>904</v>
      </c>
      <c r="G120" s="8">
        <v>44987</v>
      </c>
      <c r="H120" s="7">
        <f t="shared" si="11"/>
        <v>2023</v>
      </c>
      <c r="I120" s="7" t="str">
        <f t="shared" si="12"/>
        <v>March</v>
      </c>
      <c r="J120" s="8" t="str">
        <f t="shared" si="13"/>
        <v>Thursday</v>
      </c>
      <c r="K120" s="11">
        <v>0.70806712962962959</v>
      </c>
      <c r="L120" s="14">
        <f t="shared" si="14"/>
        <v>16</v>
      </c>
      <c r="M120" s="7">
        <f t="shared" si="15"/>
        <v>59</v>
      </c>
      <c r="N120" s="7">
        <f t="shared" si="16"/>
        <v>37</v>
      </c>
      <c r="O120" s="9" t="s">
        <v>40</v>
      </c>
      <c r="P120" s="9" t="s">
        <v>41</v>
      </c>
      <c r="Q120" s="9">
        <v>5</v>
      </c>
      <c r="R120" s="12">
        <v>212.29</v>
      </c>
      <c r="S120" s="12">
        <f>VLOOKUP(O120,'Product-cost'!A:B,2,)</f>
        <v>150</v>
      </c>
      <c r="T120" s="9" t="s">
        <v>34</v>
      </c>
      <c r="U120" s="9" t="s">
        <v>46</v>
      </c>
      <c r="V120" s="9" t="s">
        <v>878</v>
      </c>
      <c r="W120" s="9" t="s">
        <v>894</v>
      </c>
      <c r="X120" s="12">
        <f t="shared" si="17"/>
        <v>1061.45</v>
      </c>
      <c r="Y120" s="12">
        <f t="shared" si="18"/>
        <v>750</v>
      </c>
      <c r="Z120" s="16">
        <f>VLOOKUP(T120,Taxrate!A:B,2,FALSE)</f>
        <v>0.15</v>
      </c>
      <c r="AA120" s="12">
        <f t="shared" si="19"/>
        <v>159.2175</v>
      </c>
      <c r="AB120" s="16">
        <f>VLOOKUP('Sales Dataset'!O120,'Discount Rate'!A:B,2,)</f>
        <v>7.0000000000000007E-2</v>
      </c>
      <c r="AC120" s="12">
        <f t="shared" si="20"/>
        <v>52.500000000000007</v>
      </c>
      <c r="AD120" s="18">
        <f t="shared" si="21"/>
        <v>749.78</v>
      </c>
    </row>
    <row r="121" spans="1:30" ht="51" customHeight="1" x14ac:dyDescent="0.35">
      <c r="A121" s="9" t="s">
        <v>305</v>
      </c>
      <c r="B121" s="9" t="s">
        <v>306</v>
      </c>
      <c r="C121" s="9" t="s">
        <v>65</v>
      </c>
      <c r="D121" s="20" t="s">
        <v>53</v>
      </c>
      <c r="E121" s="9" t="s">
        <v>909</v>
      </c>
      <c r="F121" s="9" t="s">
        <v>910</v>
      </c>
      <c r="G121" s="8">
        <v>45242</v>
      </c>
      <c r="H121" s="7">
        <f t="shared" si="11"/>
        <v>2023</v>
      </c>
      <c r="I121" s="7" t="str">
        <f t="shared" si="12"/>
        <v>November</v>
      </c>
      <c r="J121" s="8" t="str">
        <f t="shared" si="13"/>
        <v>Sunday</v>
      </c>
      <c r="K121" s="11">
        <v>0.42275462962962962</v>
      </c>
      <c r="L121" s="14">
        <f t="shared" si="14"/>
        <v>10</v>
      </c>
      <c r="M121" s="7">
        <f t="shared" si="15"/>
        <v>8</v>
      </c>
      <c r="N121" s="7">
        <f t="shared" si="16"/>
        <v>46</v>
      </c>
      <c r="O121" s="9" t="s">
        <v>40</v>
      </c>
      <c r="P121" s="9" t="s">
        <v>41</v>
      </c>
      <c r="Q121" s="9">
        <v>15</v>
      </c>
      <c r="R121" s="12">
        <v>284.94</v>
      </c>
      <c r="S121" s="12">
        <f>VLOOKUP(O121,'Product-cost'!A:B,2,)</f>
        <v>150</v>
      </c>
      <c r="T121" s="9" t="s">
        <v>45</v>
      </c>
      <c r="U121" s="9" t="s">
        <v>206</v>
      </c>
      <c r="V121" s="9" t="s">
        <v>880</v>
      </c>
      <c r="W121" s="9" t="s">
        <v>894</v>
      </c>
      <c r="X121" s="12">
        <f t="shared" si="17"/>
        <v>4274.1000000000004</v>
      </c>
      <c r="Y121" s="12">
        <f t="shared" si="18"/>
        <v>2250</v>
      </c>
      <c r="Z121" s="16">
        <f>VLOOKUP(T121,Taxrate!A:B,2,FALSE)</f>
        <v>7.0000000000000007E-2</v>
      </c>
      <c r="AA121" s="12">
        <f t="shared" si="19"/>
        <v>299.18700000000007</v>
      </c>
      <c r="AB121" s="16">
        <f>VLOOKUP('Sales Dataset'!O121,'Discount Rate'!A:B,2,)</f>
        <v>7.0000000000000007E-2</v>
      </c>
      <c r="AC121" s="12">
        <f t="shared" si="20"/>
        <v>157.50000000000003</v>
      </c>
      <c r="AD121" s="18">
        <f t="shared" si="21"/>
        <v>2249.8599999999997</v>
      </c>
    </row>
    <row r="122" spans="1:30" ht="51" customHeight="1" x14ac:dyDescent="0.35">
      <c r="A122" s="9" t="s">
        <v>307</v>
      </c>
      <c r="B122" s="9" t="s">
        <v>136</v>
      </c>
      <c r="C122" s="9" t="s">
        <v>60</v>
      </c>
      <c r="D122" s="20" t="s">
        <v>61</v>
      </c>
      <c r="E122" s="9" t="s">
        <v>911</v>
      </c>
      <c r="F122" s="9" t="s">
        <v>912</v>
      </c>
      <c r="G122" s="8">
        <v>44945</v>
      </c>
      <c r="H122" s="7">
        <f t="shared" si="11"/>
        <v>2023</v>
      </c>
      <c r="I122" s="7" t="str">
        <f t="shared" si="12"/>
        <v>January</v>
      </c>
      <c r="J122" s="8" t="str">
        <f t="shared" si="13"/>
        <v>Thursday</v>
      </c>
      <c r="K122" s="11">
        <v>0.68707175925925923</v>
      </c>
      <c r="L122" s="14">
        <f t="shared" si="14"/>
        <v>16</v>
      </c>
      <c r="M122" s="7">
        <f t="shared" si="15"/>
        <v>29</v>
      </c>
      <c r="N122" s="7">
        <f t="shared" si="16"/>
        <v>23</v>
      </c>
      <c r="O122" s="9" t="s">
        <v>13</v>
      </c>
      <c r="P122" s="9" t="s">
        <v>14</v>
      </c>
      <c r="Q122" s="9">
        <v>11</v>
      </c>
      <c r="R122" s="12">
        <v>1256.3800000000001</v>
      </c>
      <c r="S122" s="12">
        <f>VLOOKUP(O122,'Product-cost'!A:B,2,)</f>
        <v>600</v>
      </c>
      <c r="T122" s="9" t="s">
        <v>34</v>
      </c>
      <c r="U122" s="9" t="s">
        <v>158</v>
      </c>
      <c r="V122" s="9" t="s">
        <v>868</v>
      </c>
      <c r="W122" s="9" t="s">
        <v>894</v>
      </c>
      <c r="X122" s="12">
        <f t="shared" si="17"/>
        <v>13820.18</v>
      </c>
      <c r="Y122" s="12">
        <f t="shared" si="18"/>
        <v>6600</v>
      </c>
      <c r="Z122" s="16">
        <f>VLOOKUP(T122,Taxrate!A:B,2,FALSE)</f>
        <v>0.15</v>
      </c>
      <c r="AA122" s="12">
        <f t="shared" si="19"/>
        <v>2073.027</v>
      </c>
      <c r="AB122" s="16">
        <f>VLOOKUP('Sales Dataset'!O122,'Discount Rate'!A:B,2,)</f>
        <v>0.05</v>
      </c>
      <c r="AC122" s="12">
        <f t="shared" si="20"/>
        <v>330</v>
      </c>
      <c r="AD122" s="18">
        <f t="shared" si="21"/>
        <v>6599.8</v>
      </c>
    </row>
    <row r="123" spans="1:30" ht="51" customHeight="1" x14ac:dyDescent="0.35">
      <c r="A123" s="9" t="s">
        <v>308</v>
      </c>
      <c r="B123" s="9" t="s">
        <v>309</v>
      </c>
      <c r="C123" s="9" t="s">
        <v>114</v>
      </c>
      <c r="D123" s="20" t="s">
        <v>19</v>
      </c>
      <c r="E123" s="9" t="s">
        <v>903</v>
      </c>
      <c r="F123" s="9" t="s">
        <v>904</v>
      </c>
      <c r="G123" s="8">
        <v>45352</v>
      </c>
      <c r="H123" s="7">
        <f t="shared" si="11"/>
        <v>2024</v>
      </c>
      <c r="I123" s="7" t="str">
        <f t="shared" si="12"/>
        <v>March</v>
      </c>
      <c r="J123" s="8" t="str">
        <f t="shared" si="13"/>
        <v>Friday</v>
      </c>
      <c r="K123" s="11">
        <v>0.39802083333333332</v>
      </c>
      <c r="L123" s="14">
        <f t="shared" si="14"/>
        <v>9</v>
      </c>
      <c r="M123" s="7">
        <f t="shared" si="15"/>
        <v>33</v>
      </c>
      <c r="N123" s="7">
        <f t="shared" si="16"/>
        <v>9</v>
      </c>
      <c r="O123" s="9" t="s">
        <v>20</v>
      </c>
      <c r="P123" s="9" t="s">
        <v>21</v>
      </c>
      <c r="Q123" s="9">
        <v>9</v>
      </c>
      <c r="R123" s="12">
        <v>586.33000000000004</v>
      </c>
      <c r="S123" s="12">
        <f>VLOOKUP(O123,'Product-cost'!A:B,2,)</f>
        <v>300</v>
      </c>
      <c r="T123" s="9" t="s">
        <v>34</v>
      </c>
      <c r="U123" s="9" t="s">
        <v>46</v>
      </c>
      <c r="V123" s="9" t="s">
        <v>871</v>
      </c>
      <c r="W123" s="9" t="s">
        <v>894</v>
      </c>
      <c r="X123" s="12">
        <f t="shared" si="17"/>
        <v>5276.97</v>
      </c>
      <c r="Y123" s="12">
        <f t="shared" si="18"/>
        <v>2700</v>
      </c>
      <c r="Z123" s="16">
        <f>VLOOKUP(T123,Taxrate!A:B,2,FALSE)</f>
        <v>0.15</v>
      </c>
      <c r="AA123" s="12">
        <f t="shared" si="19"/>
        <v>791.54550000000006</v>
      </c>
      <c r="AB123" s="16">
        <f>VLOOKUP('Sales Dataset'!O123,'Discount Rate'!A:B,2,)</f>
        <v>0.1</v>
      </c>
      <c r="AC123" s="12">
        <f t="shared" si="20"/>
        <v>270</v>
      </c>
      <c r="AD123" s="18">
        <f t="shared" si="21"/>
        <v>2699.75</v>
      </c>
    </row>
    <row r="124" spans="1:30" ht="51" customHeight="1" x14ac:dyDescent="0.35">
      <c r="A124" s="9" t="s">
        <v>310</v>
      </c>
      <c r="B124" s="9" t="s">
        <v>311</v>
      </c>
      <c r="C124" s="9" t="s">
        <v>60</v>
      </c>
      <c r="D124" s="20" t="s">
        <v>61</v>
      </c>
      <c r="E124" s="9" t="s">
        <v>911</v>
      </c>
      <c r="F124" s="9" t="s">
        <v>912</v>
      </c>
      <c r="G124" s="8">
        <v>45237</v>
      </c>
      <c r="H124" s="7">
        <f t="shared" si="11"/>
        <v>2023</v>
      </c>
      <c r="I124" s="7" t="str">
        <f t="shared" si="12"/>
        <v>November</v>
      </c>
      <c r="J124" s="8" t="str">
        <f t="shared" si="13"/>
        <v>Tuesday</v>
      </c>
      <c r="K124" s="11">
        <v>0.60040509259259256</v>
      </c>
      <c r="L124" s="14">
        <f t="shared" si="14"/>
        <v>14</v>
      </c>
      <c r="M124" s="7">
        <f t="shared" si="15"/>
        <v>24</v>
      </c>
      <c r="N124" s="7">
        <f t="shared" si="16"/>
        <v>35</v>
      </c>
      <c r="O124" s="9" t="s">
        <v>66</v>
      </c>
      <c r="P124" s="9" t="s">
        <v>67</v>
      </c>
      <c r="Q124" s="9">
        <v>7</v>
      </c>
      <c r="R124" s="12">
        <v>500</v>
      </c>
      <c r="S124" s="12">
        <f>VLOOKUP(O124,'Product-cost'!A:B,2,)</f>
        <v>50</v>
      </c>
      <c r="T124" s="9" t="s">
        <v>28</v>
      </c>
      <c r="U124" s="9" t="s">
        <v>158</v>
      </c>
      <c r="V124" s="9" t="s">
        <v>878</v>
      </c>
      <c r="W124" s="9" t="s">
        <v>894</v>
      </c>
      <c r="X124" s="12">
        <f t="shared" si="17"/>
        <v>3500</v>
      </c>
      <c r="Y124" s="12">
        <f t="shared" si="18"/>
        <v>350</v>
      </c>
      <c r="Z124" s="16">
        <f>VLOOKUP(T124,Taxrate!A:B,2,FALSE)</f>
        <v>0.2</v>
      </c>
      <c r="AA124" s="12">
        <f t="shared" si="19"/>
        <v>700</v>
      </c>
      <c r="AB124" s="16">
        <f>VLOOKUP('Sales Dataset'!O124,'Discount Rate'!A:B,2,)</f>
        <v>0.03</v>
      </c>
      <c r="AC124" s="12">
        <f t="shared" si="20"/>
        <v>10.5</v>
      </c>
      <c r="AD124" s="18">
        <f t="shared" si="21"/>
        <v>349.77000000000004</v>
      </c>
    </row>
    <row r="125" spans="1:30" ht="51" customHeight="1" x14ac:dyDescent="0.35">
      <c r="A125" s="9" t="s">
        <v>312</v>
      </c>
      <c r="B125" s="9" t="s">
        <v>313</v>
      </c>
      <c r="C125" s="9" t="s">
        <v>38</v>
      </c>
      <c r="D125" s="20" t="s">
        <v>39</v>
      </c>
      <c r="E125" s="9" t="s">
        <v>907</v>
      </c>
      <c r="F125" s="9" t="s">
        <v>908</v>
      </c>
      <c r="G125" s="8">
        <v>45507</v>
      </c>
      <c r="H125" s="7">
        <f t="shared" si="11"/>
        <v>2024</v>
      </c>
      <c r="I125" s="7" t="str">
        <f t="shared" si="12"/>
        <v>August</v>
      </c>
      <c r="J125" s="8" t="str">
        <f t="shared" si="13"/>
        <v>Saturday</v>
      </c>
      <c r="K125" s="11">
        <v>0.50207175925925929</v>
      </c>
      <c r="L125" s="14">
        <f t="shared" si="14"/>
        <v>12</v>
      </c>
      <c r="M125" s="7">
        <f t="shared" si="15"/>
        <v>2</v>
      </c>
      <c r="N125" s="7">
        <f t="shared" si="16"/>
        <v>59</v>
      </c>
      <c r="O125" s="9" t="s">
        <v>13</v>
      </c>
      <c r="P125" s="9" t="s">
        <v>14</v>
      </c>
      <c r="Q125" s="9">
        <v>5</v>
      </c>
      <c r="R125" s="12">
        <v>1081.75</v>
      </c>
      <c r="S125" s="12">
        <f>VLOOKUP(O125,'Product-cost'!A:B,2,)</f>
        <v>600</v>
      </c>
      <c r="T125" s="9" t="s">
        <v>45</v>
      </c>
      <c r="U125" s="9" t="s">
        <v>73</v>
      </c>
      <c r="V125" s="9" t="s">
        <v>873</v>
      </c>
      <c r="W125" s="9" t="s">
        <v>895</v>
      </c>
      <c r="X125" s="12">
        <f t="shared" si="17"/>
        <v>5408.75</v>
      </c>
      <c r="Y125" s="12">
        <f t="shared" si="18"/>
        <v>3000</v>
      </c>
      <c r="Z125" s="16">
        <f>VLOOKUP(T125,Taxrate!A:B,2,FALSE)</f>
        <v>7.0000000000000007E-2</v>
      </c>
      <c r="AA125" s="12">
        <f t="shared" si="19"/>
        <v>378.61250000000001</v>
      </c>
      <c r="AB125" s="16">
        <f>VLOOKUP('Sales Dataset'!O125,'Discount Rate'!A:B,2,)</f>
        <v>0.05</v>
      </c>
      <c r="AC125" s="12">
        <f t="shared" si="20"/>
        <v>150</v>
      </c>
      <c r="AD125" s="18">
        <f t="shared" si="21"/>
        <v>2999.8799999999997</v>
      </c>
    </row>
    <row r="126" spans="1:30" ht="51" customHeight="1" x14ac:dyDescent="0.35">
      <c r="A126" s="9" t="s">
        <v>314</v>
      </c>
      <c r="B126" s="9" t="s">
        <v>315</v>
      </c>
      <c r="C126" s="9" t="s">
        <v>60</v>
      </c>
      <c r="D126" s="20" t="s">
        <v>61</v>
      </c>
      <c r="E126" s="9" t="s">
        <v>911</v>
      </c>
      <c r="F126" s="9" t="s">
        <v>912</v>
      </c>
      <c r="G126" s="8">
        <v>45259</v>
      </c>
      <c r="H126" s="7">
        <f t="shared" si="11"/>
        <v>2023</v>
      </c>
      <c r="I126" s="7" t="str">
        <f t="shared" si="12"/>
        <v>November</v>
      </c>
      <c r="J126" s="8" t="str">
        <f t="shared" si="13"/>
        <v>Wednesday</v>
      </c>
      <c r="K126" s="11">
        <v>0.74576388888888889</v>
      </c>
      <c r="L126" s="14">
        <f t="shared" si="14"/>
        <v>17</v>
      </c>
      <c r="M126" s="7">
        <f t="shared" si="15"/>
        <v>53</v>
      </c>
      <c r="N126" s="7">
        <f t="shared" si="16"/>
        <v>54</v>
      </c>
      <c r="O126" s="9" t="s">
        <v>66</v>
      </c>
      <c r="P126" s="9" t="s">
        <v>67</v>
      </c>
      <c r="Q126" s="9">
        <v>9</v>
      </c>
      <c r="R126" s="12">
        <v>176.67</v>
      </c>
      <c r="S126" s="12">
        <f>VLOOKUP(O126,'Product-cost'!A:B,2,)</f>
        <v>50</v>
      </c>
      <c r="T126" s="9" t="s">
        <v>28</v>
      </c>
      <c r="U126" s="9" t="s">
        <v>62</v>
      </c>
      <c r="V126" s="9" t="s">
        <v>872</v>
      </c>
      <c r="W126" s="9" t="s">
        <v>896</v>
      </c>
      <c r="X126" s="12">
        <f t="shared" si="17"/>
        <v>1590.03</v>
      </c>
      <c r="Y126" s="12">
        <f t="shared" si="18"/>
        <v>450</v>
      </c>
      <c r="Z126" s="16">
        <f>VLOOKUP(T126,Taxrate!A:B,2,FALSE)</f>
        <v>0.2</v>
      </c>
      <c r="AA126" s="12">
        <f t="shared" si="19"/>
        <v>318.00600000000003</v>
      </c>
      <c r="AB126" s="16">
        <f>VLOOKUP('Sales Dataset'!O126,'Discount Rate'!A:B,2,)</f>
        <v>0.03</v>
      </c>
      <c r="AC126" s="12">
        <f t="shared" si="20"/>
        <v>13.5</v>
      </c>
      <c r="AD126" s="18">
        <f t="shared" si="21"/>
        <v>449.77000000000004</v>
      </c>
    </row>
    <row r="127" spans="1:30" ht="51" customHeight="1" x14ac:dyDescent="0.35">
      <c r="A127" s="9" t="s">
        <v>316</v>
      </c>
      <c r="B127" s="9" t="s">
        <v>317</v>
      </c>
      <c r="C127" s="9" t="s">
        <v>83</v>
      </c>
      <c r="D127" s="20" t="s">
        <v>84</v>
      </c>
      <c r="E127" s="9" t="s">
        <v>913</v>
      </c>
      <c r="F127" s="9" t="s">
        <v>914</v>
      </c>
      <c r="G127" s="8">
        <v>46117</v>
      </c>
      <c r="H127" s="7">
        <f t="shared" si="11"/>
        <v>2026</v>
      </c>
      <c r="I127" s="7" t="str">
        <f t="shared" si="12"/>
        <v>April</v>
      </c>
      <c r="J127" s="8" t="str">
        <f t="shared" si="13"/>
        <v>Sunday</v>
      </c>
      <c r="K127" s="11">
        <v>0.84723379629629625</v>
      </c>
      <c r="L127" s="14">
        <f t="shared" si="14"/>
        <v>20</v>
      </c>
      <c r="M127" s="7">
        <f t="shared" si="15"/>
        <v>20</v>
      </c>
      <c r="N127" s="7">
        <f t="shared" si="16"/>
        <v>1</v>
      </c>
      <c r="O127" s="9" t="s">
        <v>26</v>
      </c>
      <c r="P127" s="9" t="s">
        <v>27</v>
      </c>
      <c r="Q127" s="9">
        <v>8</v>
      </c>
      <c r="R127" s="12">
        <v>391.16</v>
      </c>
      <c r="S127" s="12">
        <f>VLOOKUP(O127,'Product-cost'!A:B,2,)</f>
        <v>200</v>
      </c>
      <c r="T127" s="9" t="s">
        <v>34</v>
      </c>
      <c r="U127" s="9" t="s">
        <v>85</v>
      </c>
      <c r="V127" s="9" t="s">
        <v>883</v>
      </c>
      <c r="W127" s="9" t="s">
        <v>894</v>
      </c>
      <c r="X127" s="12">
        <f t="shared" si="17"/>
        <v>3129.28</v>
      </c>
      <c r="Y127" s="12">
        <f t="shared" si="18"/>
        <v>1600</v>
      </c>
      <c r="Z127" s="16">
        <f>VLOOKUP(T127,Taxrate!A:B,2,FALSE)</f>
        <v>0.15</v>
      </c>
      <c r="AA127" s="12">
        <f t="shared" si="19"/>
        <v>469.392</v>
      </c>
      <c r="AB127" s="16">
        <f>VLOOKUP('Sales Dataset'!O127,'Discount Rate'!A:B,2,)</f>
        <v>0.08</v>
      </c>
      <c r="AC127" s="12">
        <f t="shared" si="20"/>
        <v>128</v>
      </c>
      <c r="AD127" s="18">
        <f t="shared" si="21"/>
        <v>1599.77</v>
      </c>
    </row>
    <row r="128" spans="1:30" ht="51" customHeight="1" x14ac:dyDescent="0.35">
      <c r="A128" s="9" t="s">
        <v>318</v>
      </c>
      <c r="B128" s="9" t="s">
        <v>319</v>
      </c>
      <c r="C128" s="9" t="s">
        <v>60</v>
      </c>
      <c r="D128" s="20" t="s">
        <v>61</v>
      </c>
      <c r="E128" s="9" t="s">
        <v>911</v>
      </c>
      <c r="F128" s="9" t="s">
        <v>912</v>
      </c>
      <c r="G128" s="8">
        <v>45271</v>
      </c>
      <c r="H128" s="7">
        <f t="shared" si="11"/>
        <v>2023</v>
      </c>
      <c r="I128" s="7" t="str">
        <f t="shared" si="12"/>
        <v>December</v>
      </c>
      <c r="J128" s="8" t="str">
        <f t="shared" si="13"/>
        <v>Monday</v>
      </c>
      <c r="K128" s="11">
        <v>0.82685185185185184</v>
      </c>
      <c r="L128" s="14">
        <f t="shared" si="14"/>
        <v>19</v>
      </c>
      <c r="M128" s="7">
        <f t="shared" si="15"/>
        <v>50</v>
      </c>
      <c r="N128" s="7">
        <f t="shared" si="16"/>
        <v>40</v>
      </c>
      <c r="O128" s="9" t="s">
        <v>20</v>
      </c>
      <c r="P128" s="9" t="s">
        <v>21</v>
      </c>
      <c r="Q128" s="9">
        <v>6</v>
      </c>
      <c r="R128" s="12">
        <v>507.46</v>
      </c>
      <c r="S128" s="12">
        <f>VLOOKUP(O128,'Product-cost'!A:B,2,)</f>
        <v>300</v>
      </c>
      <c r="T128" s="9" t="s">
        <v>22</v>
      </c>
      <c r="U128" s="9" t="s">
        <v>62</v>
      </c>
      <c r="V128" s="9" t="s">
        <v>883</v>
      </c>
      <c r="W128" s="9" t="s">
        <v>894</v>
      </c>
      <c r="X128" s="12">
        <f t="shared" si="17"/>
        <v>3044.7599999999998</v>
      </c>
      <c r="Y128" s="12">
        <f t="shared" si="18"/>
        <v>1800</v>
      </c>
      <c r="Z128" s="16">
        <f>VLOOKUP(T128,Taxrate!A:B,2,FALSE)</f>
        <v>0.1</v>
      </c>
      <c r="AA128" s="12">
        <f t="shared" si="19"/>
        <v>304.476</v>
      </c>
      <c r="AB128" s="16">
        <f>VLOOKUP('Sales Dataset'!O128,'Discount Rate'!A:B,2,)</f>
        <v>0.1</v>
      </c>
      <c r="AC128" s="12">
        <f t="shared" si="20"/>
        <v>180</v>
      </c>
      <c r="AD128" s="18">
        <f t="shared" si="21"/>
        <v>1799.8000000000002</v>
      </c>
    </row>
    <row r="129" spans="1:30" ht="51" customHeight="1" x14ac:dyDescent="0.35">
      <c r="A129" s="9" t="s">
        <v>320</v>
      </c>
      <c r="B129" s="9" t="s">
        <v>157</v>
      </c>
      <c r="C129" s="9" t="s">
        <v>11</v>
      </c>
      <c r="D129" s="20" t="s">
        <v>12</v>
      </c>
      <c r="E129" s="9" t="s">
        <v>901</v>
      </c>
      <c r="F129" s="9" t="s">
        <v>902</v>
      </c>
      <c r="G129" s="8">
        <v>44992</v>
      </c>
      <c r="H129" s="7">
        <f t="shared" si="11"/>
        <v>2023</v>
      </c>
      <c r="I129" s="7" t="str">
        <f t="shared" si="12"/>
        <v>March</v>
      </c>
      <c r="J129" s="8" t="str">
        <f t="shared" si="13"/>
        <v>Tuesday</v>
      </c>
      <c r="K129" s="11">
        <v>0.67057870370370365</v>
      </c>
      <c r="L129" s="14">
        <f t="shared" si="14"/>
        <v>16</v>
      </c>
      <c r="M129" s="7">
        <f t="shared" si="15"/>
        <v>5</v>
      </c>
      <c r="N129" s="7">
        <f t="shared" si="16"/>
        <v>38</v>
      </c>
      <c r="O129" s="9" t="s">
        <v>40</v>
      </c>
      <c r="P129" s="9" t="s">
        <v>41</v>
      </c>
      <c r="Q129" s="9">
        <v>14</v>
      </c>
      <c r="R129" s="12">
        <v>208.1</v>
      </c>
      <c r="S129" s="12">
        <f>VLOOKUP(O129,'Product-cost'!A:B,2,)</f>
        <v>150</v>
      </c>
      <c r="T129" s="9" t="s">
        <v>34</v>
      </c>
      <c r="U129" s="9" t="s">
        <v>15</v>
      </c>
      <c r="V129" s="9" t="s">
        <v>871</v>
      </c>
      <c r="W129" s="9" t="s">
        <v>894</v>
      </c>
      <c r="X129" s="12">
        <f t="shared" si="17"/>
        <v>2913.4</v>
      </c>
      <c r="Y129" s="12">
        <f t="shared" si="18"/>
        <v>2100</v>
      </c>
      <c r="Z129" s="16">
        <f>VLOOKUP(T129,Taxrate!A:B,2,FALSE)</f>
        <v>0.15</v>
      </c>
      <c r="AA129" s="12">
        <f t="shared" si="19"/>
        <v>437.01</v>
      </c>
      <c r="AB129" s="16">
        <f>VLOOKUP('Sales Dataset'!O129,'Discount Rate'!A:B,2,)</f>
        <v>7.0000000000000007E-2</v>
      </c>
      <c r="AC129" s="12">
        <f t="shared" si="20"/>
        <v>147</v>
      </c>
      <c r="AD129" s="18">
        <f t="shared" si="21"/>
        <v>2099.7799999999997</v>
      </c>
    </row>
    <row r="130" spans="1:30" ht="51" customHeight="1" x14ac:dyDescent="0.35">
      <c r="A130" s="9" t="s">
        <v>321</v>
      </c>
      <c r="B130" s="9" t="s">
        <v>322</v>
      </c>
      <c r="C130" s="9" t="s">
        <v>172</v>
      </c>
      <c r="D130" s="20" t="s">
        <v>142</v>
      </c>
      <c r="E130" s="9" t="s">
        <v>917</v>
      </c>
      <c r="F130" s="9" t="s">
        <v>918</v>
      </c>
      <c r="G130" s="8">
        <v>45358</v>
      </c>
      <c r="H130" s="7">
        <f t="shared" si="11"/>
        <v>2024</v>
      </c>
      <c r="I130" s="7" t="str">
        <f t="shared" si="12"/>
        <v>March</v>
      </c>
      <c r="J130" s="8" t="str">
        <f t="shared" si="13"/>
        <v>Thursday</v>
      </c>
      <c r="K130" s="11">
        <v>0.41956018518518517</v>
      </c>
      <c r="L130" s="14">
        <f t="shared" si="14"/>
        <v>10</v>
      </c>
      <c r="M130" s="7">
        <f t="shared" si="15"/>
        <v>4</v>
      </c>
      <c r="N130" s="7">
        <f t="shared" si="16"/>
        <v>10</v>
      </c>
      <c r="O130" s="9" t="s">
        <v>66</v>
      </c>
      <c r="P130" s="9" t="s">
        <v>67</v>
      </c>
      <c r="Q130" s="9">
        <v>5</v>
      </c>
      <c r="R130" s="12">
        <v>125.77</v>
      </c>
      <c r="S130" s="12">
        <f>VLOOKUP(O130,'Product-cost'!A:B,2,)</f>
        <v>50</v>
      </c>
      <c r="T130" s="9" t="s">
        <v>22</v>
      </c>
      <c r="U130" s="9" t="s">
        <v>143</v>
      </c>
      <c r="V130" s="9" t="s">
        <v>873</v>
      </c>
      <c r="W130" s="9" t="s">
        <v>895</v>
      </c>
      <c r="X130" s="12">
        <f t="shared" si="17"/>
        <v>628.85</v>
      </c>
      <c r="Y130" s="12">
        <f t="shared" si="18"/>
        <v>250</v>
      </c>
      <c r="Z130" s="16">
        <f>VLOOKUP(T130,Taxrate!A:B,2,FALSE)</f>
        <v>0.1</v>
      </c>
      <c r="AA130" s="12">
        <f t="shared" si="19"/>
        <v>62.885000000000005</v>
      </c>
      <c r="AB130" s="16">
        <f>VLOOKUP('Sales Dataset'!O130,'Discount Rate'!A:B,2,)</f>
        <v>0.03</v>
      </c>
      <c r="AC130" s="12">
        <f t="shared" si="20"/>
        <v>7.5</v>
      </c>
      <c r="AD130" s="18">
        <f t="shared" si="21"/>
        <v>249.87</v>
      </c>
    </row>
    <row r="131" spans="1:30" ht="51" customHeight="1" x14ac:dyDescent="0.35">
      <c r="A131" s="9" t="s">
        <v>323</v>
      </c>
      <c r="B131" s="9" t="s">
        <v>324</v>
      </c>
      <c r="C131" s="9" t="s">
        <v>76</v>
      </c>
      <c r="D131" s="20" t="s">
        <v>33</v>
      </c>
      <c r="E131" s="9" t="s">
        <v>905</v>
      </c>
      <c r="F131" s="9" t="s">
        <v>906</v>
      </c>
      <c r="G131" s="8">
        <v>45705</v>
      </c>
      <c r="H131" s="7">
        <f t="shared" ref="H131:H194" si="22">YEAR(G131)</f>
        <v>2025</v>
      </c>
      <c r="I131" s="7" t="str">
        <f t="shared" ref="I131:I194" si="23">TEXT(G131,"mmmm")</f>
        <v>February</v>
      </c>
      <c r="J131" s="8" t="str">
        <f t="shared" ref="J131:J194" si="24">TEXT(G131,"dddd")</f>
        <v>Monday</v>
      </c>
      <c r="K131" s="11">
        <v>0.63989583333333333</v>
      </c>
      <c r="L131" s="14">
        <f t="shared" ref="L131:L194" si="25">HOUR(K131)</f>
        <v>15</v>
      </c>
      <c r="M131" s="7">
        <f t="shared" ref="M131:M194" si="26">MINUTE(K131)</f>
        <v>21</v>
      </c>
      <c r="N131" s="7">
        <f t="shared" ref="N131:N194" si="27">SECOND(K131)</f>
        <v>27</v>
      </c>
      <c r="O131" s="9" t="s">
        <v>40</v>
      </c>
      <c r="P131" s="9" t="s">
        <v>41</v>
      </c>
      <c r="Q131" s="9">
        <v>6</v>
      </c>
      <c r="R131" s="12">
        <v>252.48</v>
      </c>
      <c r="S131" s="12">
        <f>VLOOKUP(O131,'Product-cost'!A:B,2,)</f>
        <v>150</v>
      </c>
      <c r="T131" s="9" t="s">
        <v>34</v>
      </c>
      <c r="U131" s="9" t="s">
        <v>35</v>
      </c>
      <c r="V131" s="9" t="s">
        <v>872</v>
      </c>
      <c r="W131" s="9" t="s">
        <v>896</v>
      </c>
      <c r="X131" s="12">
        <f t="shared" ref="X131:X194" si="28">R131*Q131</f>
        <v>1514.8799999999999</v>
      </c>
      <c r="Y131" s="12">
        <f t="shared" ref="Y131:Y194" si="29">S131*Q131</f>
        <v>900</v>
      </c>
      <c r="Z131" s="16">
        <f>VLOOKUP(T131,Taxrate!A:B,2,FALSE)</f>
        <v>0.15</v>
      </c>
      <c r="AA131" s="12">
        <f t="shared" ref="AA131:AA194" si="30">X131*Z131</f>
        <v>227.23199999999997</v>
      </c>
      <c r="AB131" s="16">
        <f>VLOOKUP('Sales Dataset'!O131,'Discount Rate'!A:B,2,)</f>
        <v>7.0000000000000007E-2</v>
      </c>
      <c r="AC131" s="12">
        <f t="shared" ref="AC131:AC194" si="31">Y131*AB131</f>
        <v>63.000000000000007</v>
      </c>
      <c r="AD131" s="18">
        <f t="shared" ref="AD131:AD194" si="32">Y131-AB131-Z131</f>
        <v>899.78</v>
      </c>
    </row>
    <row r="132" spans="1:30" ht="51" customHeight="1" x14ac:dyDescent="0.35">
      <c r="A132" s="9" t="s">
        <v>325</v>
      </c>
      <c r="B132" s="9" t="s">
        <v>326</v>
      </c>
      <c r="C132" s="9" t="s">
        <v>18</v>
      </c>
      <c r="D132" s="20" t="s">
        <v>19</v>
      </c>
      <c r="E132" s="9" t="s">
        <v>903</v>
      </c>
      <c r="F132" s="9" t="s">
        <v>904</v>
      </c>
      <c r="G132" s="8">
        <v>45902</v>
      </c>
      <c r="H132" s="7">
        <f t="shared" si="22"/>
        <v>2025</v>
      </c>
      <c r="I132" s="7" t="str">
        <f t="shared" si="23"/>
        <v>September</v>
      </c>
      <c r="J132" s="8" t="str">
        <f t="shared" si="24"/>
        <v>Tuesday</v>
      </c>
      <c r="K132" s="11">
        <v>0.91001157407407407</v>
      </c>
      <c r="L132" s="14">
        <f t="shared" si="25"/>
        <v>21</v>
      </c>
      <c r="M132" s="7">
        <f t="shared" si="26"/>
        <v>50</v>
      </c>
      <c r="N132" s="7">
        <f t="shared" si="27"/>
        <v>25</v>
      </c>
      <c r="O132" s="9" t="s">
        <v>26</v>
      </c>
      <c r="P132" s="9" t="s">
        <v>27</v>
      </c>
      <c r="Q132" s="9">
        <v>10</v>
      </c>
      <c r="R132" s="12">
        <v>519.45000000000005</v>
      </c>
      <c r="S132" s="12">
        <f>VLOOKUP(O132,'Product-cost'!A:B,2,)</f>
        <v>200</v>
      </c>
      <c r="T132" s="9" t="s">
        <v>28</v>
      </c>
      <c r="U132" s="9" t="s">
        <v>23</v>
      </c>
      <c r="V132" s="9" t="s">
        <v>874</v>
      </c>
      <c r="W132" s="9" t="s">
        <v>894</v>
      </c>
      <c r="X132" s="12">
        <f t="shared" si="28"/>
        <v>5194.5</v>
      </c>
      <c r="Y132" s="12">
        <f t="shared" si="29"/>
        <v>2000</v>
      </c>
      <c r="Z132" s="16">
        <f>VLOOKUP(T132,Taxrate!A:B,2,FALSE)</f>
        <v>0.2</v>
      </c>
      <c r="AA132" s="12">
        <f t="shared" si="30"/>
        <v>1038.9000000000001</v>
      </c>
      <c r="AB132" s="16">
        <f>VLOOKUP('Sales Dataset'!O132,'Discount Rate'!A:B,2,)</f>
        <v>0.08</v>
      </c>
      <c r="AC132" s="12">
        <f t="shared" si="31"/>
        <v>160</v>
      </c>
      <c r="AD132" s="18">
        <f t="shared" si="32"/>
        <v>1999.72</v>
      </c>
    </row>
    <row r="133" spans="1:30" ht="51" customHeight="1" x14ac:dyDescent="0.35">
      <c r="A133" s="9" t="s">
        <v>327</v>
      </c>
      <c r="B133" s="9" t="s">
        <v>328</v>
      </c>
      <c r="C133" s="9" t="s">
        <v>60</v>
      </c>
      <c r="D133" s="20" t="s">
        <v>61</v>
      </c>
      <c r="E133" s="9" t="s">
        <v>911</v>
      </c>
      <c r="F133" s="9" t="s">
        <v>912</v>
      </c>
      <c r="G133" s="8">
        <v>46305</v>
      </c>
      <c r="H133" s="7">
        <f t="shared" si="22"/>
        <v>2026</v>
      </c>
      <c r="I133" s="7" t="str">
        <f t="shared" si="23"/>
        <v>October</v>
      </c>
      <c r="J133" s="8" t="str">
        <f t="shared" si="24"/>
        <v>Saturday</v>
      </c>
      <c r="K133" s="11">
        <v>0.44466435185185182</v>
      </c>
      <c r="L133" s="14">
        <f t="shared" si="25"/>
        <v>10</v>
      </c>
      <c r="M133" s="7">
        <f t="shared" si="26"/>
        <v>40</v>
      </c>
      <c r="N133" s="7">
        <f t="shared" si="27"/>
        <v>19</v>
      </c>
      <c r="O133" s="9" t="s">
        <v>20</v>
      </c>
      <c r="P133" s="9" t="s">
        <v>21</v>
      </c>
      <c r="Q133" s="9">
        <v>3</v>
      </c>
      <c r="R133" s="12">
        <v>716.72</v>
      </c>
      <c r="S133" s="12">
        <f>VLOOKUP(O133,'Product-cost'!A:B,2,)</f>
        <v>300</v>
      </c>
      <c r="T133" s="9" t="s">
        <v>45</v>
      </c>
      <c r="U133" s="9" t="s">
        <v>62</v>
      </c>
      <c r="V133" s="9" t="s">
        <v>881</v>
      </c>
      <c r="W133" s="9" t="s">
        <v>894</v>
      </c>
      <c r="X133" s="12">
        <f t="shared" si="28"/>
        <v>2150.16</v>
      </c>
      <c r="Y133" s="12">
        <f t="shared" si="29"/>
        <v>900</v>
      </c>
      <c r="Z133" s="16">
        <f>VLOOKUP(T133,Taxrate!A:B,2,FALSE)</f>
        <v>7.0000000000000007E-2</v>
      </c>
      <c r="AA133" s="12">
        <f t="shared" si="30"/>
        <v>150.5112</v>
      </c>
      <c r="AB133" s="16">
        <f>VLOOKUP('Sales Dataset'!O133,'Discount Rate'!A:B,2,)</f>
        <v>0.1</v>
      </c>
      <c r="AC133" s="12">
        <f t="shared" si="31"/>
        <v>90</v>
      </c>
      <c r="AD133" s="18">
        <f t="shared" si="32"/>
        <v>899.82999999999993</v>
      </c>
    </row>
    <row r="134" spans="1:30" ht="51" customHeight="1" x14ac:dyDescent="0.35">
      <c r="A134" s="9" t="s">
        <v>329</v>
      </c>
      <c r="B134" s="9" t="s">
        <v>330</v>
      </c>
      <c r="C134" s="9" t="s">
        <v>32</v>
      </c>
      <c r="D134" s="20" t="s">
        <v>33</v>
      </c>
      <c r="E134" s="9" t="s">
        <v>905</v>
      </c>
      <c r="F134" s="9" t="s">
        <v>906</v>
      </c>
      <c r="G134" s="8">
        <v>45268</v>
      </c>
      <c r="H134" s="7">
        <f t="shared" si="22"/>
        <v>2023</v>
      </c>
      <c r="I134" s="7" t="str">
        <f t="shared" si="23"/>
        <v>December</v>
      </c>
      <c r="J134" s="8" t="str">
        <f t="shared" si="24"/>
        <v>Friday</v>
      </c>
      <c r="K134" s="11">
        <v>0.77942129629629631</v>
      </c>
      <c r="L134" s="14">
        <f t="shared" si="25"/>
        <v>18</v>
      </c>
      <c r="M134" s="7">
        <f t="shared" si="26"/>
        <v>42</v>
      </c>
      <c r="N134" s="7">
        <f t="shared" si="27"/>
        <v>22</v>
      </c>
      <c r="O134" s="9" t="s">
        <v>20</v>
      </c>
      <c r="P134" s="9" t="s">
        <v>21</v>
      </c>
      <c r="Q134" s="9">
        <v>1</v>
      </c>
      <c r="R134" s="12">
        <v>673.51</v>
      </c>
      <c r="S134" s="12">
        <f>VLOOKUP(O134,'Product-cost'!A:B,2,)</f>
        <v>300</v>
      </c>
      <c r="T134" s="9" t="s">
        <v>34</v>
      </c>
      <c r="U134" s="9" t="s">
        <v>77</v>
      </c>
      <c r="V134" s="9" t="s">
        <v>872</v>
      </c>
      <c r="W134" s="9" t="s">
        <v>896</v>
      </c>
      <c r="X134" s="12">
        <f t="shared" si="28"/>
        <v>673.51</v>
      </c>
      <c r="Y134" s="12">
        <f t="shared" si="29"/>
        <v>300</v>
      </c>
      <c r="Z134" s="16">
        <f>VLOOKUP(T134,Taxrate!A:B,2,FALSE)</f>
        <v>0.15</v>
      </c>
      <c r="AA134" s="12">
        <f t="shared" si="30"/>
        <v>101.0265</v>
      </c>
      <c r="AB134" s="16">
        <f>VLOOKUP('Sales Dataset'!O134,'Discount Rate'!A:B,2,)</f>
        <v>0.1</v>
      </c>
      <c r="AC134" s="12">
        <f t="shared" si="31"/>
        <v>30</v>
      </c>
      <c r="AD134" s="18">
        <f t="shared" si="32"/>
        <v>299.75</v>
      </c>
    </row>
    <row r="135" spans="1:30" ht="51" customHeight="1" x14ac:dyDescent="0.35">
      <c r="A135" s="9" t="s">
        <v>331</v>
      </c>
      <c r="B135" s="9" t="s">
        <v>332</v>
      </c>
      <c r="C135" s="9" t="s">
        <v>57</v>
      </c>
      <c r="D135" s="20" t="s">
        <v>12</v>
      </c>
      <c r="E135" s="9" t="s">
        <v>901</v>
      </c>
      <c r="F135" s="9" t="s">
        <v>902</v>
      </c>
      <c r="G135" s="8">
        <v>45664</v>
      </c>
      <c r="H135" s="7">
        <f t="shared" si="22"/>
        <v>2025</v>
      </c>
      <c r="I135" s="7" t="str">
        <f t="shared" si="23"/>
        <v>January</v>
      </c>
      <c r="J135" s="8" t="str">
        <f t="shared" si="24"/>
        <v>Tuesday</v>
      </c>
      <c r="K135" s="11">
        <v>0.60403935185185187</v>
      </c>
      <c r="L135" s="14">
        <f t="shared" si="25"/>
        <v>14</v>
      </c>
      <c r="M135" s="7">
        <f t="shared" si="26"/>
        <v>29</v>
      </c>
      <c r="N135" s="7">
        <f t="shared" si="27"/>
        <v>49</v>
      </c>
      <c r="O135" s="9" t="s">
        <v>40</v>
      </c>
      <c r="P135" s="9" t="s">
        <v>41</v>
      </c>
      <c r="Q135" s="9">
        <v>3</v>
      </c>
      <c r="R135" s="12">
        <v>178.7</v>
      </c>
      <c r="S135" s="12">
        <f>VLOOKUP(O135,'Product-cost'!A:B,2,)</f>
        <v>150</v>
      </c>
      <c r="T135" s="9" t="s">
        <v>45</v>
      </c>
      <c r="U135" s="9" t="s">
        <v>29</v>
      </c>
      <c r="V135" s="9" t="s">
        <v>876</v>
      </c>
      <c r="W135" s="9" t="s">
        <v>896</v>
      </c>
      <c r="X135" s="12">
        <f t="shared" si="28"/>
        <v>536.09999999999991</v>
      </c>
      <c r="Y135" s="12">
        <f t="shared" si="29"/>
        <v>450</v>
      </c>
      <c r="Z135" s="16">
        <f>VLOOKUP(T135,Taxrate!A:B,2,FALSE)</f>
        <v>7.0000000000000007E-2</v>
      </c>
      <c r="AA135" s="12">
        <f t="shared" si="30"/>
        <v>37.526999999999994</v>
      </c>
      <c r="AB135" s="16">
        <f>VLOOKUP('Sales Dataset'!O135,'Discount Rate'!A:B,2,)</f>
        <v>7.0000000000000007E-2</v>
      </c>
      <c r="AC135" s="12">
        <f t="shared" si="31"/>
        <v>31.500000000000004</v>
      </c>
      <c r="AD135" s="18">
        <f t="shared" si="32"/>
        <v>449.86</v>
      </c>
    </row>
    <row r="136" spans="1:30" ht="51" customHeight="1" x14ac:dyDescent="0.35">
      <c r="A136" s="9" t="s">
        <v>333</v>
      </c>
      <c r="B136" s="9" t="s">
        <v>334</v>
      </c>
      <c r="C136" s="9" t="s">
        <v>65</v>
      </c>
      <c r="D136" s="20" t="s">
        <v>53</v>
      </c>
      <c r="E136" s="9" t="s">
        <v>909</v>
      </c>
      <c r="F136" s="9" t="s">
        <v>910</v>
      </c>
      <c r="G136" s="8">
        <v>45697</v>
      </c>
      <c r="H136" s="7">
        <f t="shared" si="22"/>
        <v>2025</v>
      </c>
      <c r="I136" s="7" t="str">
        <f t="shared" si="23"/>
        <v>February</v>
      </c>
      <c r="J136" s="8" t="str">
        <f t="shared" si="24"/>
        <v>Sunday</v>
      </c>
      <c r="K136" s="11">
        <v>0.65745370370370371</v>
      </c>
      <c r="L136" s="14">
        <f t="shared" si="25"/>
        <v>15</v>
      </c>
      <c r="M136" s="7">
        <f t="shared" si="26"/>
        <v>46</v>
      </c>
      <c r="N136" s="7">
        <f t="shared" si="27"/>
        <v>44</v>
      </c>
      <c r="O136" s="9" t="s">
        <v>66</v>
      </c>
      <c r="P136" s="9" t="s">
        <v>67</v>
      </c>
      <c r="Q136" s="9">
        <v>5</v>
      </c>
      <c r="R136" s="12">
        <v>500</v>
      </c>
      <c r="S136" s="12">
        <f>VLOOKUP(O136,'Product-cost'!A:B,2,)</f>
        <v>50</v>
      </c>
      <c r="T136" s="9" t="s">
        <v>45</v>
      </c>
      <c r="U136" s="9" t="s">
        <v>206</v>
      </c>
      <c r="V136" s="9" t="s">
        <v>877</v>
      </c>
      <c r="W136" s="9" t="s">
        <v>894</v>
      </c>
      <c r="X136" s="12">
        <f t="shared" si="28"/>
        <v>2500</v>
      </c>
      <c r="Y136" s="12">
        <f t="shared" si="29"/>
        <v>250</v>
      </c>
      <c r="Z136" s="16">
        <f>VLOOKUP(T136,Taxrate!A:B,2,FALSE)</f>
        <v>7.0000000000000007E-2</v>
      </c>
      <c r="AA136" s="12">
        <f t="shared" si="30"/>
        <v>175.00000000000003</v>
      </c>
      <c r="AB136" s="16">
        <f>VLOOKUP('Sales Dataset'!O136,'Discount Rate'!A:B,2,)</f>
        <v>0.03</v>
      </c>
      <c r="AC136" s="12">
        <f t="shared" si="31"/>
        <v>7.5</v>
      </c>
      <c r="AD136" s="18">
        <f t="shared" si="32"/>
        <v>249.9</v>
      </c>
    </row>
    <row r="137" spans="1:30" ht="51" customHeight="1" x14ac:dyDescent="0.35">
      <c r="A137" s="9" t="s">
        <v>335</v>
      </c>
      <c r="B137" s="9" t="s">
        <v>336</v>
      </c>
      <c r="C137" s="9" t="s">
        <v>52</v>
      </c>
      <c r="D137" s="20" t="s">
        <v>53</v>
      </c>
      <c r="E137" s="9" t="s">
        <v>909</v>
      </c>
      <c r="F137" s="9" t="s">
        <v>910</v>
      </c>
      <c r="G137" s="8">
        <v>46073</v>
      </c>
      <c r="H137" s="7">
        <f t="shared" si="22"/>
        <v>2026</v>
      </c>
      <c r="I137" s="7" t="str">
        <f t="shared" si="23"/>
        <v>February</v>
      </c>
      <c r="J137" s="8" t="str">
        <f t="shared" si="24"/>
        <v>Friday</v>
      </c>
      <c r="K137" s="11">
        <v>0.63531249999999995</v>
      </c>
      <c r="L137" s="14">
        <f t="shared" si="25"/>
        <v>15</v>
      </c>
      <c r="M137" s="7">
        <f t="shared" si="26"/>
        <v>14</v>
      </c>
      <c r="N137" s="7">
        <f t="shared" si="27"/>
        <v>51</v>
      </c>
      <c r="O137" s="9" t="s">
        <v>66</v>
      </c>
      <c r="P137" s="9" t="s">
        <v>67</v>
      </c>
      <c r="Q137" s="9">
        <v>3</v>
      </c>
      <c r="R137" s="12">
        <v>152.41</v>
      </c>
      <c r="S137" s="12">
        <f>VLOOKUP(O137,'Product-cost'!A:B,2,)</f>
        <v>50</v>
      </c>
      <c r="T137" s="9" t="s">
        <v>45</v>
      </c>
      <c r="U137" s="9" t="s">
        <v>68</v>
      </c>
      <c r="V137" s="9" t="s">
        <v>882</v>
      </c>
      <c r="W137" s="9" t="s">
        <v>895</v>
      </c>
      <c r="X137" s="12">
        <f t="shared" si="28"/>
        <v>457.23</v>
      </c>
      <c r="Y137" s="12">
        <f t="shared" si="29"/>
        <v>150</v>
      </c>
      <c r="Z137" s="16">
        <f>VLOOKUP(T137,Taxrate!A:B,2,FALSE)</f>
        <v>7.0000000000000007E-2</v>
      </c>
      <c r="AA137" s="12">
        <f t="shared" si="30"/>
        <v>32.006100000000004</v>
      </c>
      <c r="AB137" s="16">
        <f>VLOOKUP('Sales Dataset'!O137,'Discount Rate'!A:B,2,)</f>
        <v>0.03</v>
      </c>
      <c r="AC137" s="12">
        <f t="shared" si="31"/>
        <v>4.5</v>
      </c>
      <c r="AD137" s="18">
        <f t="shared" si="32"/>
        <v>149.9</v>
      </c>
    </row>
    <row r="138" spans="1:30" ht="51" customHeight="1" x14ac:dyDescent="0.35">
      <c r="A138" s="9" t="s">
        <v>337</v>
      </c>
      <c r="B138" s="9" t="s">
        <v>338</v>
      </c>
      <c r="C138" s="9" t="s">
        <v>60</v>
      </c>
      <c r="D138" s="20" t="s">
        <v>61</v>
      </c>
      <c r="E138" s="9" t="s">
        <v>911</v>
      </c>
      <c r="F138" s="9" t="s">
        <v>912</v>
      </c>
      <c r="G138" s="8">
        <v>46113</v>
      </c>
      <c r="H138" s="7">
        <f t="shared" si="22"/>
        <v>2026</v>
      </c>
      <c r="I138" s="7" t="str">
        <f t="shared" si="23"/>
        <v>April</v>
      </c>
      <c r="J138" s="8" t="str">
        <f t="shared" si="24"/>
        <v>Wednesday</v>
      </c>
      <c r="K138" s="11">
        <v>0.55569444444444449</v>
      </c>
      <c r="L138" s="14">
        <f t="shared" si="25"/>
        <v>13</v>
      </c>
      <c r="M138" s="7">
        <f t="shared" si="26"/>
        <v>20</v>
      </c>
      <c r="N138" s="7">
        <f t="shared" si="27"/>
        <v>12</v>
      </c>
      <c r="O138" s="9" t="s">
        <v>66</v>
      </c>
      <c r="P138" s="9" t="s">
        <v>67</v>
      </c>
      <c r="Q138" s="9">
        <v>11</v>
      </c>
      <c r="R138" s="12">
        <v>159.58000000000001</v>
      </c>
      <c r="S138" s="12">
        <f>VLOOKUP(O138,'Product-cost'!A:B,2,)</f>
        <v>50</v>
      </c>
      <c r="T138" s="9" t="s">
        <v>22</v>
      </c>
      <c r="U138" s="9" t="s">
        <v>158</v>
      </c>
      <c r="V138" s="9" t="s">
        <v>869</v>
      </c>
      <c r="W138" s="9" t="s">
        <v>894</v>
      </c>
      <c r="X138" s="12">
        <f t="shared" si="28"/>
        <v>1755.38</v>
      </c>
      <c r="Y138" s="12">
        <f t="shared" si="29"/>
        <v>550</v>
      </c>
      <c r="Z138" s="16">
        <f>VLOOKUP(T138,Taxrate!A:B,2,FALSE)</f>
        <v>0.1</v>
      </c>
      <c r="AA138" s="12">
        <f t="shared" si="30"/>
        <v>175.53800000000001</v>
      </c>
      <c r="AB138" s="16">
        <f>VLOOKUP('Sales Dataset'!O138,'Discount Rate'!A:B,2,)</f>
        <v>0.03</v>
      </c>
      <c r="AC138" s="12">
        <f t="shared" si="31"/>
        <v>16.5</v>
      </c>
      <c r="AD138" s="18">
        <f t="shared" si="32"/>
        <v>549.87</v>
      </c>
    </row>
    <row r="139" spans="1:30" ht="51" customHeight="1" x14ac:dyDescent="0.35">
      <c r="A139" s="9" t="s">
        <v>339</v>
      </c>
      <c r="B139" s="9" t="s">
        <v>340</v>
      </c>
      <c r="C139" s="9" t="s">
        <v>107</v>
      </c>
      <c r="D139" s="20" t="s">
        <v>53</v>
      </c>
      <c r="E139" s="9" t="s">
        <v>909</v>
      </c>
      <c r="F139" s="9" t="s">
        <v>910</v>
      </c>
      <c r="G139" s="8">
        <v>46244</v>
      </c>
      <c r="H139" s="7">
        <f t="shared" si="22"/>
        <v>2026</v>
      </c>
      <c r="I139" s="7" t="str">
        <f t="shared" si="23"/>
        <v>August</v>
      </c>
      <c r="J139" s="8" t="str">
        <f t="shared" si="24"/>
        <v>Monday</v>
      </c>
      <c r="K139" s="11">
        <v>0.54670138888888886</v>
      </c>
      <c r="L139" s="14">
        <f t="shared" si="25"/>
        <v>13</v>
      </c>
      <c r="M139" s="7">
        <f t="shared" si="26"/>
        <v>7</v>
      </c>
      <c r="N139" s="7">
        <f t="shared" si="27"/>
        <v>15</v>
      </c>
      <c r="O139" s="9" t="s">
        <v>26</v>
      </c>
      <c r="P139" s="9" t="s">
        <v>27</v>
      </c>
      <c r="Q139" s="9">
        <v>6</v>
      </c>
      <c r="R139" s="12">
        <v>422.16</v>
      </c>
      <c r="S139" s="12">
        <f>VLOOKUP(O139,'Product-cost'!A:B,2,)</f>
        <v>200</v>
      </c>
      <c r="T139" s="9" t="s">
        <v>34</v>
      </c>
      <c r="U139" s="9" t="s">
        <v>206</v>
      </c>
      <c r="V139" s="9" t="s">
        <v>875</v>
      </c>
      <c r="W139" s="9" t="s">
        <v>894</v>
      </c>
      <c r="X139" s="12">
        <f t="shared" si="28"/>
        <v>2532.96</v>
      </c>
      <c r="Y139" s="12">
        <f t="shared" si="29"/>
        <v>1200</v>
      </c>
      <c r="Z139" s="16">
        <f>VLOOKUP(T139,Taxrate!A:B,2,FALSE)</f>
        <v>0.15</v>
      </c>
      <c r="AA139" s="12">
        <f t="shared" si="30"/>
        <v>379.94400000000002</v>
      </c>
      <c r="AB139" s="16">
        <f>VLOOKUP('Sales Dataset'!O139,'Discount Rate'!A:B,2,)</f>
        <v>0.08</v>
      </c>
      <c r="AC139" s="12">
        <f t="shared" si="31"/>
        <v>96</v>
      </c>
      <c r="AD139" s="18">
        <f t="shared" si="32"/>
        <v>1199.77</v>
      </c>
    </row>
    <row r="140" spans="1:30" ht="51" customHeight="1" x14ac:dyDescent="0.35">
      <c r="A140" s="9" t="s">
        <v>341</v>
      </c>
      <c r="B140" s="9" t="s">
        <v>342</v>
      </c>
      <c r="C140" s="9" t="s">
        <v>57</v>
      </c>
      <c r="D140" s="20" t="s">
        <v>12</v>
      </c>
      <c r="E140" s="9" t="s">
        <v>901</v>
      </c>
      <c r="F140" s="9" t="s">
        <v>902</v>
      </c>
      <c r="G140" s="8">
        <v>45929</v>
      </c>
      <c r="H140" s="7">
        <f t="shared" si="22"/>
        <v>2025</v>
      </c>
      <c r="I140" s="7" t="str">
        <f t="shared" si="23"/>
        <v>September</v>
      </c>
      <c r="J140" s="8" t="str">
        <f t="shared" si="24"/>
        <v>Monday</v>
      </c>
      <c r="K140" s="11">
        <v>0.42453703703703705</v>
      </c>
      <c r="L140" s="14">
        <f t="shared" si="25"/>
        <v>10</v>
      </c>
      <c r="M140" s="7">
        <f t="shared" si="26"/>
        <v>11</v>
      </c>
      <c r="N140" s="7">
        <f t="shared" si="27"/>
        <v>20</v>
      </c>
      <c r="O140" s="9" t="s">
        <v>66</v>
      </c>
      <c r="P140" s="9" t="s">
        <v>67</v>
      </c>
      <c r="Q140" s="9">
        <v>14</v>
      </c>
      <c r="R140" s="12">
        <v>120.72</v>
      </c>
      <c r="S140" s="12">
        <f>VLOOKUP(O140,'Product-cost'!A:B,2,)</f>
        <v>50</v>
      </c>
      <c r="T140" s="9" t="s">
        <v>28</v>
      </c>
      <c r="U140" s="9" t="s">
        <v>29</v>
      </c>
      <c r="V140" s="9" t="s">
        <v>875</v>
      </c>
      <c r="W140" s="9" t="s">
        <v>894</v>
      </c>
      <c r="X140" s="12">
        <f t="shared" si="28"/>
        <v>1690.08</v>
      </c>
      <c r="Y140" s="12">
        <f t="shared" si="29"/>
        <v>700</v>
      </c>
      <c r="Z140" s="16">
        <f>VLOOKUP(T140,Taxrate!A:B,2,FALSE)</f>
        <v>0.2</v>
      </c>
      <c r="AA140" s="12">
        <f t="shared" si="30"/>
        <v>338.01600000000002</v>
      </c>
      <c r="AB140" s="16">
        <f>VLOOKUP('Sales Dataset'!O140,'Discount Rate'!A:B,2,)</f>
        <v>0.03</v>
      </c>
      <c r="AC140" s="12">
        <f t="shared" si="31"/>
        <v>21</v>
      </c>
      <c r="AD140" s="18">
        <f t="shared" si="32"/>
        <v>699.77</v>
      </c>
    </row>
    <row r="141" spans="1:30" ht="51" customHeight="1" x14ac:dyDescent="0.35">
      <c r="A141" s="9" t="s">
        <v>343</v>
      </c>
      <c r="B141" s="9" t="s">
        <v>344</v>
      </c>
      <c r="C141" s="9" t="s">
        <v>65</v>
      </c>
      <c r="D141" s="20" t="s">
        <v>53</v>
      </c>
      <c r="E141" s="9" t="s">
        <v>909</v>
      </c>
      <c r="F141" s="9" t="s">
        <v>910</v>
      </c>
      <c r="G141" s="8">
        <v>45096</v>
      </c>
      <c r="H141" s="7">
        <f t="shared" si="22"/>
        <v>2023</v>
      </c>
      <c r="I141" s="7" t="str">
        <f t="shared" si="23"/>
        <v>June</v>
      </c>
      <c r="J141" s="8" t="str">
        <f t="shared" si="24"/>
        <v>Monday</v>
      </c>
      <c r="K141" s="11">
        <v>0.86682870370370368</v>
      </c>
      <c r="L141" s="14">
        <f t="shared" si="25"/>
        <v>20</v>
      </c>
      <c r="M141" s="7">
        <f t="shared" si="26"/>
        <v>48</v>
      </c>
      <c r="N141" s="7">
        <f t="shared" si="27"/>
        <v>14</v>
      </c>
      <c r="O141" s="9" t="s">
        <v>26</v>
      </c>
      <c r="P141" s="9" t="s">
        <v>27</v>
      </c>
      <c r="Q141" s="9">
        <v>7</v>
      </c>
      <c r="R141" s="12">
        <v>377.73</v>
      </c>
      <c r="S141" s="12">
        <f>VLOOKUP(O141,'Product-cost'!A:B,2,)</f>
        <v>200</v>
      </c>
      <c r="T141" s="9" t="s">
        <v>34</v>
      </c>
      <c r="U141" s="9" t="s">
        <v>68</v>
      </c>
      <c r="V141" s="9" t="s">
        <v>872</v>
      </c>
      <c r="W141" s="9" t="s">
        <v>896</v>
      </c>
      <c r="X141" s="12">
        <f t="shared" si="28"/>
        <v>2644.11</v>
      </c>
      <c r="Y141" s="12">
        <f t="shared" si="29"/>
        <v>1400</v>
      </c>
      <c r="Z141" s="16">
        <f>VLOOKUP(T141,Taxrate!A:B,2,FALSE)</f>
        <v>0.15</v>
      </c>
      <c r="AA141" s="12">
        <f t="shared" si="30"/>
        <v>396.61650000000003</v>
      </c>
      <c r="AB141" s="16">
        <f>VLOOKUP('Sales Dataset'!O141,'Discount Rate'!A:B,2,)</f>
        <v>0.08</v>
      </c>
      <c r="AC141" s="12">
        <f t="shared" si="31"/>
        <v>112</v>
      </c>
      <c r="AD141" s="18">
        <f t="shared" si="32"/>
        <v>1399.77</v>
      </c>
    </row>
    <row r="142" spans="1:30" ht="51" customHeight="1" x14ac:dyDescent="0.35">
      <c r="A142" s="9" t="s">
        <v>345</v>
      </c>
      <c r="B142" s="9" t="s">
        <v>346</v>
      </c>
      <c r="C142" s="9" t="s">
        <v>32</v>
      </c>
      <c r="D142" s="20" t="s">
        <v>33</v>
      </c>
      <c r="E142" s="9" t="s">
        <v>905</v>
      </c>
      <c r="F142" s="9" t="s">
        <v>906</v>
      </c>
      <c r="G142" s="8">
        <v>45830</v>
      </c>
      <c r="H142" s="7">
        <f t="shared" si="22"/>
        <v>2025</v>
      </c>
      <c r="I142" s="7" t="str">
        <f t="shared" si="23"/>
        <v>June</v>
      </c>
      <c r="J142" s="8" t="str">
        <f t="shared" si="24"/>
        <v>Sunday</v>
      </c>
      <c r="K142" s="11">
        <v>0.58804398148148151</v>
      </c>
      <c r="L142" s="14">
        <f t="shared" si="25"/>
        <v>14</v>
      </c>
      <c r="M142" s="7">
        <f t="shared" si="26"/>
        <v>6</v>
      </c>
      <c r="N142" s="7">
        <f t="shared" si="27"/>
        <v>47</v>
      </c>
      <c r="O142" s="9" t="s">
        <v>20</v>
      </c>
      <c r="P142" s="9" t="s">
        <v>21</v>
      </c>
      <c r="Q142" s="9">
        <v>1</v>
      </c>
      <c r="R142" s="12">
        <v>584.57000000000005</v>
      </c>
      <c r="S142" s="12">
        <f>VLOOKUP(O142,'Product-cost'!A:B,2,)</f>
        <v>300</v>
      </c>
      <c r="T142" s="9" t="s">
        <v>45</v>
      </c>
      <c r="U142" s="9" t="s">
        <v>77</v>
      </c>
      <c r="V142" s="9" t="s">
        <v>871</v>
      </c>
      <c r="W142" s="9" t="s">
        <v>894</v>
      </c>
      <c r="X142" s="12">
        <f t="shared" si="28"/>
        <v>584.57000000000005</v>
      </c>
      <c r="Y142" s="12">
        <f t="shared" si="29"/>
        <v>300</v>
      </c>
      <c r="Z142" s="16">
        <f>VLOOKUP(T142,Taxrate!A:B,2,FALSE)</f>
        <v>7.0000000000000007E-2</v>
      </c>
      <c r="AA142" s="12">
        <f t="shared" si="30"/>
        <v>40.919900000000005</v>
      </c>
      <c r="AB142" s="16">
        <f>VLOOKUP('Sales Dataset'!O142,'Discount Rate'!A:B,2,)</f>
        <v>0.1</v>
      </c>
      <c r="AC142" s="12">
        <f t="shared" si="31"/>
        <v>30</v>
      </c>
      <c r="AD142" s="18">
        <f t="shared" si="32"/>
        <v>299.83</v>
      </c>
    </row>
    <row r="143" spans="1:30" ht="51" customHeight="1" x14ac:dyDescent="0.35">
      <c r="A143" s="9" t="s">
        <v>347</v>
      </c>
      <c r="B143" s="9" t="s">
        <v>111</v>
      </c>
      <c r="C143" s="9" t="s">
        <v>83</v>
      </c>
      <c r="D143" s="20" t="s">
        <v>84</v>
      </c>
      <c r="E143" s="9" t="s">
        <v>913</v>
      </c>
      <c r="F143" s="9" t="s">
        <v>914</v>
      </c>
      <c r="G143" s="8">
        <v>45803</v>
      </c>
      <c r="H143" s="7">
        <f t="shared" si="22"/>
        <v>2025</v>
      </c>
      <c r="I143" s="7" t="str">
        <f t="shared" si="23"/>
        <v>May</v>
      </c>
      <c r="J143" s="8" t="str">
        <f t="shared" si="24"/>
        <v>Monday</v>
      </c>
      <c r="K143" s="11">
        <v>0.71446759259259263</v>
      </c>
      <c r="L143" s="14">
        <f t="shared" si="25"/>
        <v>17</v>
      </c>
      <c r="M143" s="7">
        <f t="shared" si="26"/>
        <v>8</v>
      </c>
      <c r="N143" s="7">
        <f t="shared" si="27"/>
        <v>50</v>
      </c>
      <c r="O143" s="9" t="s">
        <v>20</v>
      </c>
      <c r="P143" s="9" t="s">
        <v>21</v>
      </c>
      <c r="Q143" s="9">
        <v>13</v>
      </c>
      <c r="R143" s="12">
        <v>500</v>
      </c>
      <c r="S143" s="12">
        <f>VLOOKUP(O143,'Product-cost'!A:B,2,)</f>
        <v>300</v>
      </c>
      <c r="T143" s="9" t="s">
        <v>22</v>
      </c>
      <c r="U143" s="9" t="s">
        <v>85</v>
      </c>
      <c r="V143" s="9" t="s">
        <v>872</v>
      </c>
      <c r="W143" s="9" t="s">
        <v>896</v>
      </c>
      <c r="X143" s="12">
        <f t="shared" si="28"/>
        <v>6500</v>
      </c>
      <c r="Y143" s="12">
        <f t="shared" si="29"/>
        <v>3900</v>
      </c>
      <c r="Z143" s="16">
        <f>VLOOKUP(T143,Taxrate!A:B,2,FALSE)</f>
        <v>0.1</v>
      </c>
      <c r="AA143" s="12">
        <f t="shared" si="30"/>
        <v>650</v>
      </c>
      <c r="AB143" s="16">
        <f>VLOOKUP('Sales Dataset'!O143,'Discount Rate'!A:B,2,)</f>
        <v>0.1</v>
      </c>
      <c r="AC143" s="12">
        <f t="shared" si="31"/>
        <v>390</v>
      </c>
      <c r="AD143" s="18">
        <f t="shared" si="32"/>
        <v>3899.8</v>
      </c>
    </row>
    <row r="144" spans="1:30" ht="51" customHeight="1" x14ac:dyDescent="0.35">
      <c r="A144" s="9" t="s">
        <v>348</v>
      </c>
      <c r="B144" s="9" t="s">
        <v>349</v>
      </c>
      <c r="C144" s="9" t="s">
        <v>11</v>
      </c>
      <c r="D144" s="20" t="s">
        <v>12</v>
      </c>
      <c r="E144" s="9" t="s">
        <v>901</v>
      </c>
      <c r="F144" s="9" t="s">
        <v>902</v>
      </c>
      <c r="G144" s="8">
        <v>45769</v>
      </c>
      <c r="H144" s="7">
        <f t="shared" si="22"/>
        <v>2025</v>
      </c>
      <c r="I144" s="7" t="str">
        <f t="shared" si="23"/>
        <v>April</v>
      </c>
      <c r="J144" s="8" t="str">
        <f t="shared" si="24"/>
        <v>Tuesday</v>
      </c>
      <c r="K144" s="11">
        <v>0.53866898148148146</v>
      </c>
      <c r="L144" s="14">
        <f t="shared" si="25"/>
        <v>12</v>
      </c>
      <c r="M144" s="7">
        <f t="shared" si="26"/>
        <v>55</v>
      </c>
      <c r="N144" s="7">
        <f t="shared" si="27"/>
        <v>41</v>
      </c>
      <c r="O144" s="9" t="s">
        <v>20</v>
      </c>
      <c r="P144" s="9" t="s">
        <v>21</v>
      </c>
      <c r="Q144" s="9">
        <v>3</v>
      </c>
      <c r="R144" s="12">
        <v>693.42</v>
      </c>
      <c r="S144" s="12">
        <f>VLOOKUP(O144,'Product-cost'!A:B,2,)</f>
        <v>300</v>
      </c>
      <c r="T144" s="9" t="s">
        <v>28</v>
      </c>
      <c r="U144" s="9" t="s">
        <v>15</v>
      </c>
      <c r="V144" s="9" t="s">
        <v>872</v>
      </c>
      <c r="W144" s="9" t="s">
        <v>896</v>
      </c>
      <c r="X144" s="12">
        <f t="shared" si="28"/>
        <v>2080.2599999999998</v>
      </c>
      <c r="Y144" s="12">
        <f t="shared" si="29"/>
        <v>900</v>
      </c>
      <c r="Z144" s="16">
        <f>VLOOKUP(T144,Taxrate!A:B,2,FALSE)</f>
        <v>0.2</v>
      </c>
      <c r="AA144" s="12">
        <f t="shared" si="30"/>
        <v>416.05199999999996</v>
      </c>
      <c r="AB144" s="16">
        <f>VLOOKUP('Sales Dataset'!O144,'Discount Rate'!A:B,2,)</f>
        <v>0.1</v>
      </c>
      <c r="AC144" s="12">
        <f t="shared" si="31"/>
        <v>90</v>
      </c>
      <c r="AD144" s="18">
        <f t="shared" si="32"/>
        <v>899.69999999999993</v>
      </c>
    </row>
    <row r="145" spans="1:30" ht="51" customHeight="1" x14ac:dyDescent="0.35">
      <c r="A145" s="9" t="s">
        <v>350</v>
      </c>
      <c r="B145" s="9" t="s">
        <v>351</v>
      </c>
      <c r="C145" s="9" t="s">
        <v>60</v>
      </c>
      <c r="D145" s="20" t="s">
        <v>61</v>
      </c>
      <c r="E145" s="9" t="s">
        <v>911</v>
      </c>
      <c r="F145" s="9" t="s">
        <v>912</v>
      </c>
      <c r="G145" s="8">
        <v>45982</v>
      </c>
      <c r="H145" s="7">
        <f t="shared" si="22"/>
        <v>2025</v>
      </c>
      <c r="I145" s="7" t="str">
        <f t="shared" si="23"/>
        <v>November</v>
      </c>
      <c r="J145" s="8" t="str">
        <f t="shared" si="24"/>
        <v>Friday</v>
      </c>
      <c r="K145" s="11">
        <v>0.83328703703703699</v>
      </c>
      <c r="L145" s="14">
        <f t="shared" si="25"/>
        <v>19</v>
      </c>
      <c r="M145" s="7">
        <f t="shared" si="26"/>
        <v>59</v>
      </c>
      <c r="N145" s="7">
        <f t="shared" si="27"/>
        <v>56</v>
      </c>
      <c r="O145" s="9" t="s">
        <v>26</v>
      </c>
      <c r="P145" s="9" t="s">
        <v>27</v>
      </c>
      <c r="Q145" s="9">
        <v>8</v>
      </c>
      <c r="R145" s="12">
        <v>320.49</v>
      </c>
      <c r="S145" s="12">
        <f>VLOOKUP(O145,'Product-cost'!A:B,2,)</f>
        <v>200</v>
      </c>
      <c r="T145" s="9" t="s">
        <v>45</v>
      </c>
      <c r="U145" s="9" t="s">
        <v>62</v>
      </c>
      <c r="V145" s="9" t="s">
        <v>869</v>
      </c>
      <c r="W145" s="9" t="s">
        <v>894</v>
      </c>
      <c r="X145" s="12">
        <f t="shared" si="28"/>
        <v>2563.92</v>
      </c>
      <c r="Y145" s="12">
        <f t="shared" si="29"/>
        <v>1600</v>
      </c>
      <c r="Z145" s="16">
        <f>VLOOKUP(T145,Taxrate!A:B,2,FALSE)</f>
        <v>7.0000000000000007E-2</v>
      </c>
      <c r="AA145" s="12">
        <f t="shared" si="30"/>
        <v>179.47440000000003</v>
      </c>
      <c r="AB145" s="16">
        <f>VLOOKUP('Sales Dataset'!O145,'Discount Rate'!A:B,2,)</f>
        <v>0.08</v>
      </c>
      <c r="AC145" s="12">
        <f t="shared" si="31"/>
        <v>128</v>
      </c>
      <c r="AD145" s="18">
        <f t="shared" si="32"/>
        <v>1599.8500000000001</v>
      </c>
    </row>
    <row r="146" spans="1:30" ht="51" customHeight="1" x14ac:dyDescent="0.35">
      <c r="A146" s="9" t="s">
        <v>352</v>
      </c>
      <c r="B146" s="9" t="s">
        <v>353</v>
      </c>
      <c r="C146" s="9" t="s">
        <v>163</v>
      </c>
      <c r="D146" s="20" t="s">
        <v>53</v>
      </c>
      <c r="E146" s="9" t="s">
        <v>909</v>
      </c>
      <c r="F146" s="9" t="s">
        <v>910</v>
      </c>
      <c r="G146" s="8">
        <v>45358</v>
      </c>
      <c r="H146" s="7">
        <f t="shared" si="22"/>
        <v>2024</v>
      </c>
      <c r="I146" s="7" t="str">
        <f t="shared" si="23"/>
        <v>March</v>
      </c>
      <c r="J146" s="8" t="str">
        <f t="shared" si="24"/>
        <v>Thursday</v>
      </c>
      <c r="K146" s="11">
        <v>0.88774305555555555</v>
      </c>
      <c r="L146" s="14">
        <f t="shared" si="25"/>
        <v>21</v>
      </c>
      <c r="M146" s="7">
        <f t="shared" si="26"/>
        <v>18</v>
      </c>
      <c r="N146" s="7">
        <f t="shared" si="27"/>
        <v>21</v>
      </c>
      <c r="O146" s="9" t="s">
        <v>40</v>
      </c>
      <c r="P146" s="9" t="s">
        <v>41</v>
      </c>
      <c r="Q146" s="9">
        <v>10</v>
      </c>
      <c r="R146" s="12">
        <v>262.70999999999998</v>
      </c>
      <c r="S146" s="12">
        <f>VLOOKUP(O146,'Product-cost'!A:B,2,)</f>
        <v>150</v>
      </c>
      <c r="T146" s="9" t="s">
        <v>45</v>
      </c>
      <c r="U146" s="9" t="s">
        <v>206</v>
      </c>
      <c r="V146" s="9" t="s">
        <v>872</v>
      </c>
      <c r="W146" s="9" t="s">
        <v>896</v>
      </c>
      <c r="X146" s="12">
        <f t="shared" si="28"/>
        <v>2627.1</v>
      </c>
      <c r="Y146" s="12">
        <f t="shared" si="29"/>
        <v>1500</v>
      </c>
      <c r="Z146" s="16">
        <f>VLOOKUP(T146,Taxrate!A:B,2,FALSE)</f>
        <v>7.0000000000000007E-2</v>
      </c>
      <c r="AA146" s="12">
        <f t="shared" si="30"/>
        <v>183.89700000000002</v>
      </c>
      <c r="AB146" s="16">
        <f>VLOOKUP('Sales Dataset'!O146,'Discount Rate'!A:B,2,)</f>
        <v>7.0000000000000007E-2</v>
      </c>
      <c r="AC146" s="12">
        <f t="shared" si="31"/>
        <v>105.00000000000001</v>
      </c>
      <c r="AD146" s="18">
        <f t="shared" si="32"/>
        <v>1499.8600000000001</v>
      </c>
    </row>
    <row r="147" spans="1:30" ht="51" customHeight="1" x14ac:dyDescent="0.35">
      <c r="A147" s="9" t="s">
        <v>354</v>
      </c>
      <c r="B147" s="9" t="s">
        <v>106</v>
      </c>
      <c r="C147" s="9" t="s">
        <v>90</v>
      </c>
      <c r="D147" s="20" t="s">
        <v>91</v>
      </c>
      <c r="E147" s="9" t="s">
        <v>915</v>
      </c>
      <c r="F147" s="9" t="s">
        <v>916</v>
      </c>
      <c r="G147" s="8">
        <v>46337</v>
      </c>
      <c r="H147" s="7">
        <f t="shared" si="22"/>
        <v>2026</v>
      </c>
      <c r="I147" s="7" t="str">
        <f t="shared" si="23"/>
        <v>November</v>
      </c>
      <c r="J147" s="8" t="str">
        <f t="shared" si="24"/>
        <v>Wednesday</v>
      </c>
      <c r="K147" s="11">
        <v>0.76331018518518523</v>
      </c>
      <c r="L147" s="14">
        <f t="shared" si="25"/>
        <v>18</v>
      </c>
      <c r="M147" s="7">
        <f t="shared" si="26"/>
        <v>19</v>
      </c>
      <c r="N147" s="7">
        <f t="shared" si="27"/>
        <v>10</v>
      </c>
      <c r="O147" s="9" t="s">
        <v>26</v>
      </c>
      <c r="P147" s="9" t="s">
        <v>27</v>
      </c>
      <c r="Q147" s="9">
        <v>7</v>
      </c>
      <c r="R147" s="12">
        <v>336.48</v>
      </c>
      <c r="S147" s="12">
        <f>VLOOKUP(O147,'Product-cost'!A:B,2,)</f>
        <v>200</v>
      </c>
      <c r="T147" s="9" t="s">
        <v>28</v>
      </c>
      <c r="U147" s="9" t="s">
        <v>95</v>
      </c>
      <c r="V147" s="9" t="s">
        <v>871</v>
      </c>
      <c r="W147" s="9" t="s">
        <v>894</v>
      </c>
      <c r="X147" s="12">
        <f t="shared" si="28"/>
        <v>2355.36</v>
      </c>
      <c r="Y147" s="12">
        <f t="shared" si="29"/>
        <v>1400</v>
      </c>
      <c r="Z147" s="16">
        <f>VLOOKUP(T147,Taxrate!A:B,2,FALSE)</f>
        <v>0.2</v>
      </c>
      <c r="AA147" s="12">
        <f t="shared" si="30"/>
        <v>471.07200000000006</v>
      </c>
      <c r="AB147" s="16">
        <f>VLOOKUP('Sales Dataset'!O147,'Discount Rate'!A:B,2,)</f>
        <v>0.08</v>
      </c>
      <c r="AC147" s="12">
        <f t="shared" si="31"/>
        <v>112</v>
      </c>
      <c r="AD147" s="18">
        <f t="shared" si="32"/>
        <v>1399.72</v>
      </c>
    </row>
    <row r="148" spans="1:30" ht="51" customHeight="1" x14ac:dyDescent="0.35">
      <c r="A148" s="9" t="s">
        <v>355</v>
      </c>
      <c r="B148" s="9" t="s">
        <v>356</v>
      </c>
      <c r="C148" s="9" t="s">
        <v>65</v>
      </c>
      <c r="D148" s="20" t="s">
        <v>53</v>
      </c>
      <c r="E148" s="9" t="s">
        <v>909</v>
      </c>
      <c r="F148" s="9" t="s">
        <v>910</v>
      </c>
      <c r="G148" s="8">
        <v>45198</v>
      </c>
      <c r="H148" s="7">
        <f t="shared" si="22"/>
        <v>2023</v>
      </c>
      <c r="I148" s="7" t="str">
        <f t="shared" si="23"/>
        <v>September</v>
      </c>
      <c r="J148" s="8" t="str">
        <f t="shared" si="24"/>
        <v>Friday</v>
      </c>
      <c r="K148" s="11">
        <v>0.69685185185185183</v>
      </c>
      <c r="L148" s="14">
        <f t="shared" si="25"/>
        <v>16</v>
      </c>
      <c r="M148" s="7">
        <f t="shared" si="26"/>
        <v>43</v>
      </c>
      <c r="N148" s="7">
        <f t="shared" si="27"/>
        <v>28</v>
      </c>
      <c r="O148" s="9" t="s">
        <v>13</v>
      </c>
      <c r="P148" s="9" t="s">
        <v>14</v>
      </c>
      <c r="Q148" s="9">
        <v>7</v>
      </c>
      <c r="R148" s="12">
        <v>860.3</v>
      </c>
      <c r="S148" s="12">
        <f>VLOOKUP(O148,'Product-cost'!A:B,2,)</f>
        <v>600</v>
      </c>
      <c r="T148" s="9" t="s">
        <v>34</v>
      </c>
      <c r="U148" s="9" t="s">
        <v>68</v>
      </c>
      <c r="V148" s="9" t="s">
        <v>883</v>
      </c>
      <c r="W148" s="9" t="s">
        <v>894</v>
      </c>
      <c r="X148" s="12">
        <f t="shared" si="28"/>
        <v>6022.0999999999995</v>
      </c>
      <c r="Y148" s="12">
        <f t="shared" si="29"/>
        <v>4200</v>
      </c>
      <c r="Z148" s="16">
        <f>VLOOKUP(T148,Taxrate!A:B,2,FALSE)</f>
        <v>0.15</v>
      </c>
      <c r="AA148" s="12">
        <f t="shared" si="30"/>
        <v>903.31499999999994</v>
      </c>
      <c r="AB148" s="16">
        <f>VLOOKUP('Sales Dataset'!O148,'Discount Rate'!A:B,2,)</f>
        <v>0.05</v>
      </c>
      <c r="AC148" s="12">
        <f t="shared" si="31"/>
        <v>210</v>
      </c>
      <c r="AD148" s="18">
        <f t="shared" si="32"/>
        <v>4199.8</v>
      </c>
    </row>
    <row r="149" spans="1:30" ht="51" customHeight="1" x14ac:dyDescent="0.35">
      <c r="A149" s="9" t="s">
        <v>357</v>
      </c>
      <c r="B149" s="9" t="s">
        <v>358</v>
      </c>
      <c r="C149" s="9" t="s">
        <v>117</v>
      </c>
      <c r="D149" s="20" t="s">
        <v>19</v>
      </c>
      <c r="E149" s="9" t="s">
        <v>903</v>
      </c>
      <c r="F149" s="9" t="s">
        <v>904</v>
      </c>
      <c r="G149" s="8">
        <v>45199</v>
      </c>
      <c r="H149" s="7">
        <f t="shared" si="22"/>
        <v>2023</v>
      </c>
      <c r="I149" s="7" t="str">
        <f t="shared" si="23"/>
        <v>September</v>
      </c>
      <c r="J149" s="8" t="str">
        <f t="shared" si="24"/>
        <v>Saturday</v>
      </c>
      <c r="K149" s="11">
        <v>0.39833333333333332</v>
      </c>
      <c r="L149" s="14">
        <f t="shared" si="25"/>
        <v>9</v>
      </c>
      <c r="M149" s="7">
        <f t="shared" si="26"/>
        <v>33</v>
      </c>
      <c r="N149" s="7">
        <f t="shared" si="27"/>
        <v>36</v>
      </c>
      <c r="O149" s="9" t="s">
        <v>13</v>
      </c>
      <c r="P149" s="9" t="s">
        <v>14</v>
      </c>
      <c r="Q149" s="9">
        <v>3</v>
      </c>
      <c r="R149" s="12">
        <v>1161.22</v>
      </c>
      <c r="S149" s="12">
        <f>VLOOKUP(O149,'Product-cost'!A:B,2,)</f>
        <v>600</v>
      </c>
      <c r="T149" s="9" t="s">
        <v>28</v>
      </c>
      <c r="U149" s="9" t="s">
        <v>130</v>
      </c>
      <c r="V149" s="9" t="s">
        <v>872</v>
      </c>
      <c r="W149" s="9" t="s">
        <v>896</v>
      </c>
      <c r="X149" s="12">
        <f t="shared" si="28"/>
        <v>3483.66</v>
      </c>
      <c r="Y149" s="12">
        <f t="shared" si="29"/>
        <v>1800</v>
      </c>
      <c r="Z149" s="16">
        <f>VLOOKUP(T149,Taxrate!A:B,2,FALSE)</f>
        <v>0.2</v>
      </c>
      <c r="AA149" s="12">
        <f t="shared" si="30"/>
        <v>696.73199999999997</v>
      </c>
      <c r="AB149" s="16">
        <f>VLOOKUP('Sales Dataset'!O149,'Discount Rate'!A:B,2,)</f>
        <v>0.05</v>
      </c>
      <c r="AC149" s="12">
        <f t="shared" si="31"/>
        <v>90</v>
      </c>
      <c r="AD149" s="18">
        <f t="shared" si="32"/>
        <v>1799.75</v>
      </c>
    </row>
    <row r="150" spans="1:30" ht="51" customHeight="1" x14ac:dyDescent="0.35">
      <c r="A150" s="9" t="s">
        <v>359</v>
      </c>
      <c r="B150" s="9" t="s">
        <v>360</v>
      </c>
      <c r="C150" s="9" t="s">
        <v>141</v>
      </c>
      <c r="D150" s="20" t="s">
        <v>142</v>
      </c>
      <c r="E150" s="9" t="s">
        <v>917</v>
      </c>
      <c r="F150" s="9" t="s">
        <v>918</v>
      </c>
      <c r="G150" s="8">
        <v>45806</v>
      </c>
      <c r="H150" s="7">
        <f t="shared" si="22"/>
        <v>2025</v>
      </c>
      <c r="I150" s="7" t="str">
        <f t="shared" si="23"/>
        <v>May</v>
      </c>
      <c r="J150" s="8" t="str">
        <f t="shared" si="24"/>
        <v>Thursday</v>
      </c>
      <c r="K150" s="11">
        <v>0.83906250000000004</v>
      </c>
      <c r="L150" s="14">
        <f t="shared" si="25"/>
        <v>20</v>
      </c>
      <c r="M150" s="7">
        <f t="shared" si="26"/>
        <v>8</v>
      </c>
      <c r="N150" s="7">
        <f t="shared" si="27"/>
        <v>15</v>
      </c>
      <c r="O150" s="9" t="s">
        <v>26</v>
      </c>
      <c r="P150" s="9" t="s">
        <v>27</v>
      </c>
      <c r="Q150" s="9">
        <v>4</v>
      </c>
      <c r="R150" s="12">
        <v>440</v>
      </c>
      <c r="S150" s="12">
        <f>VLOOKUP(O150,'Product-cost'!A:B,2,)</f>
        <v>200</v>
      </c>
      <c r="T150" s="9" t="s">
        <v>49</v>
      </c>
      <c r="U150" s="9" t="s">
        <v>143</v>
      </c>
      <c r="V150" s="9" t="s">
        <v>872</v>
      </c>
      <c r="W150" s="9" t="s">
        <v>896</v>
      </c>
      <c r="X150" s="12">
        <f t="shared" si="28"/>
        <v>1760</v>
      </c>
      <c r="Y150" s="12">
        <f t="shared" si="29"/>
        <v>800</v>
      </c>
      <c r="Z150" s="16">
        <f>VLOOKUP(T150,Taxrate!A:B,2,FALSE)</f>
        <v>0.12</v>
      </c>
      <c r="AA150" s="12">
        <f t="shared" si="30"/>
        <v>211.2</v>
      </c>
      <c r="AB150" s="16">
        <f>VLOOKUP('Sales Dataset'!O150,'Discount Rate'!A:B,2,)</f>
        <v>0.08</v>
      </c>
      <c r="AC150" s="12">
        <f t="shared" si="31"/>
        <v>64</v>
      </c>
      <c r="AD150" s="18">
        <f t="shared" si="32"/>
        <v>799.8</v>
      </c>
    </row>
    <row r="151" spans="1:30" ht="51" customHeight="1" x14ac:dyDescent="0.35">
      <c r="A151" s="9" t="s">
        <v>361</v>
      </c>
      <c r="B151" s="9" t="s">
        <v>362</v>
      </c>
      <c r="C151" s="9" t="s">
        <v>107</v>
      </c>
      <c r="D151" s="20" t="s">
        <v>53</v>
      </c>
      <c r="E151" s="9" t="s">
        <v>909</v>
      </c>
      <c r="F151" s="9" t="s">
        <v>910</v>
      </c>
      <c r="G151" s="8">
        <v>45417</v>
      </c>
      <c r="H151" s="7">
        <f t="shared" si="22"/>
        <v>2024</v>
      </c>
      <c r="I151" s="7" t="str">
        <f t="shared" si="23"/>
        <v>May</v>
      </c>
      <c r="J151" s="8" t="str">
        <f t="shared" si="24"/>
        <v>Sunday</v>
      </c>
      <c r="K151" s="11">
        <v>0.5883680555555556</v>
      </c>
      <c r="L151" s="14">
        <f t="shared" si="25"/>
        <v>14</v>
      </c>
      <c r="M151" s="7">
        <f t="shared" si="26"/>
        <v>7</v>
      </c>
      <c r="N151" s="7">
        <f t="shared" si="27"/>
        <v>15</v>
      </c>
      <c r="O151" s="9" t="s">
        <v>66</v>
      </c>
      <c r="P151" s="9" t="s">
        <v>67</v>
      </c>
      <c r="Q151" s="9">
        <v>2</v>
      </c>
      <c r="R151" s="12">
        <v>193.33</v>
      </c>
      <c r="S151" s="12">
        <f>VLOOKUP(O151,'Product-cost'!A:B,2,)</f>
        <v>50</v>
      </c>
      <c r="T151" s="9" t="s">
        <v>22</v>
      </c>
      <c r="U151" s="9" t="s">
        <v>206</v>
      </c>
      <c r="V151" s="9" t="s">
        <v>882</v>
      </c>
      <c r="W151" s="9" t="s">
        <v>895</v>
      </c>
      <c r="X151" s="12">
        <f t="shared" si="28"/>
        <v>386.66</v>
      </c>
      <c r="Y151" s="12">
        <f t="shared" si="29"/>
        <v>100</v>
      </c>
      <c r="Z151" s="16">
        <f>VLOOKUP(T151,Taxrate!A:B,2,FALSE)</f>
        <v>0.1</v>
      </c>
      <c r="AA151" s="12">
        <f t="shared" si="30"/>
        <v>38.666000000000004</v>
      </c>
      <c r="AB151" s="16">
        <f>VLOOKUP('Sales Dataset'!O151,'Discount Rate'!A:B,2,)</f>
        <v>0.03</v>
      </c>
      <c r="AC151" s="12">
        <f t="shared" si="31"/>
        <v>3</v>
      </c>
      <c r="AD151" s="18">
        <f t="shared" si="32"/>
        <v>99.87</v>
      </c>
    </row>
    <row r="152" spans="1:30" ht="51" customHeight="1" x14ac:dyDescent="0.35">
      <c r="A152" s="9" t="s">
        <v>363</v>
      </c>
      <c r="B152" s="9" t="s">
        <v>364</v>
      </c>
      <c r="C152" s="9" t="s">
        <v>60</v>
      </c>
      <c r="D152" s="20" t="s">
        <v>61</v>
      </c>
      <c r="E152" s="9" t="s">
        <v>911</v>
      </c>
      <c r="F152" s="9" t="s">
        <v>912</v>
      </c>
      <c r="G152" s="8">
        <v>46129</v>
      </c>
      <c r="H152" s="7">
        <f t="shared" si="22"/>
        <v>2026</v>
      </c>
      <c r="I152" s="7" t="str">
        <f t="shared" si="23"/>
        <v>April</v>
      </c>
      <c r="J152" s="8" t="str">
        <f t="shared" si="24"/>
        <v>Friday</v>
      </c>
      <c r="K152" s="11">
        <v>0.34459490740740739</v>
      </c>
      <c r="L152" s="14">
        <f t="shared" si="25"/>
        <v>8</v>
      </c>
      <c r="M152" s="7">
        <f t="shared" si="26"/>
        <v>16</v>
      </c>
      <c r="N152" s="7">
        <f t="shared" si="27"/>
        <v>13</v>
      </c>
      <c r="O152" s="9" t="s">
        <v>13</v>
      </c>
      <c r="P152" s="9" t="s">
        <v>14</v>
      </c>
      <c r="Q152" s="9">
        <v>13</v>
      </c>
      <c r="R152" s="12">
        <v>943.24</v>
      </c>
      <c r="S152" s="12">
        <f>VLOOKUP(O152,'Product-cost'!A:B,2,)</f>
        <v>600</v>
      </c>
      <c r="T152" s="9" t="s">
        <v>49</v>
      </c>
      <c r="U152" s="9" t="s">
        <v>158</v>
      </c>
      <c r="V152" s="9" t="s">
        <v>876</v>
      </c>
      <c r="W152" s="9" t="s">
        <v>896</v>
      </c>
      <c r="X152" s="12">
        <f t="shared" si="28"/>
        <v>12262.12</v>
      </c>
      <c r="Y152" s="12">
        <f t="shared" si="29"/>
        <v>7800</v>
      </c>
      <c r="Z152" s="16">
        <f>VLOOKUP(T152,Taxrate!A:B,2,FALSE)</f>
        <v>0.12</v>
      </c>
      <c r="AA152" s="12">
        <f t="shared" si="30"/>
        <v>1471.4544000000001</v>
      </c>
      <c r="AB152" s="16">
        <f>VLOOKUP('Sales Dataset'!O152,'Discount Rate'!A:B,2,)</f>
        <v>0.05</v>
      </c>
      <c r="AC152" s="12">
        <f t="shared" si="31"/>
        <v>390</v>
      </c>
      <c r="AD152" s="18">
        <f t="shared" si="32"/>
        <v>7799.83</v>
      </c>
    </row>
    <row r="153" spans="1:30" ht="51" customHeight="1" x14ac:dyDescent="0.35">
      <c r="A153" s="9" t="s">
        <v>365</v>
      </c>
      <c r="B153" s="9" t="s">
        <v>366</v>
      </c>
      <c r="C153" s="9" t="s">
        <v>117</v>
      </c>
      <c r="D153" s="20" t="s">
        <v>19</v>
      </c>
      <c r="E153" s="9" t="s">
        <v>903</v>
      </c>
      <c r="F153" s="9" t="s">
        <v>904</v>
      </c>
      <c r="G153" s="8">
        <v>45596</v>
      </c>
      <c r="H153" s="7">
        <f t="shared" si="22"/>
        <v>2024</v>
      </c>
      <c r="I153" s="7" t="str">
        <f t="shared" si="23"/>
        <v>October</v>
      </c>
      <c r="J153" s="8" t="str">
        <f t="shared" si="24"/>
        <v>Thursday</v>
      </c>
      <c r="K153" s="11">
        <v>0.73666666666666669</v>
      </c>
      <c r="L153" s="14">
        <f t="shared" si="25"/>
        <v>17</v>
      </c>
      <c r="M153" s="7">
        <f t="shared" si="26"/>
        <v>40</v>
      </c>
      <c r="N153" s="7">
        <f t="shared" si="27"/>
        <v>48</v>
      </c>
      <c r="O153" s="9" t="s">
        <v>13</v>
      </c>
      <c r="P153" s="9" t="s">
        <v>14</v>
      </c>
      <c r="Q153" s="9">
        <v>7</v>
      </c>
      <c r="R153" s="12">
        <v>1223.23</v>
      </c>
      <c r="S153" s="12">
        <f>VLOOKUP(O153,'Product-cost'!A:B,2,)</f>
        <v>600</v>
      </c>
      <c r="T153" s="9" t="s">
        <v>45</v>
      </c>
      <c r="U153" s="9" t="s">
        <v>23</v>
      </c>
      <c r="V153" s="9" t="s">
        <v>880</v>
      </c>
      <c r="W153" s="9" t="s">
        <v>894</v>
      </c>
      <c r="X153" s="12">
        <f t="shared" si="28"/>
        <v>8562.61</v>
      </c>
      <c r="Y153" s="12">
        <f t="shared" si="29"/>
        <v>4200</v>
      </c>
      <c r="Z153" s="16">
        <f>VLOOKUP(T153,Taxrate!A:B,2,FALSE)</f>
        <v>7.0000000000000007E-2</v>
      </c>
      <c r="AA153" s="12">
        <f t="shared" si="30"/>
        <v>599.38270000000011</v>
      </c>
      <c r="AB153" s="16">
        <f>VLOOKUP('Sales Dataset'!O153,'Discount Rate'!A:B,2,)</f>
        <v>0.05</v>
      </c>
      <c r="AC153" s="12">
        <f t="shared" si="31"/>
        <v>210</v>
      </c>
      <c r="AD153" s="18">
        <f t="shared" si="32"/>
        <v>4199.88</v>
      </c>
    </row>
    <row r="154" spans="1:30" ht="51" customHeight="1" x14ac:dyDescent="0.35">
      <c r="A154" s="9" t="s">
        <v>367</v>
      </c>
      <c r="B154" s="9" t="s">
        <v>368</v>
      </c>
      <c r="C154" s="9" t="s">
        <v>369</v>
      </c>
      <c r="D154" s="20" t="s">
        <v>39</v>
      </c>
      <c r="E154" s="9" t="s">
        <v>907</v>
      </c>
      <c r="F154" s="9" t="s">
        <v>908</v>
      </c>
      <c r="G154" s="8">
        <v>45179</v>
      </c>
      <c r="H154" s="7">
        <f t="shared" si="22"/>
        <v>2023</v>
      </c>
      <c r="I154" s="7" t="str">
        <f t="shared" si="23"/>
        <v>September</v>
      </c>
      <c r="J154" s="8" t="str">
        <f t="shared" si="24"/>
        <v>Sunday</v>
      </c>
      <c r="K154" s="11">
        <v>0.43844907407407407</v>
      </c>
      <c r="L154" s="14">
        <f t="shared" si="25"/>
        <v>10</v>
      </c>
      <c r="M154" s="7">
        <f t="shared" si="26"/>
        <v>31</v>
      </c>
      <c r="N154" s="7">
        <f t="shared" si="27"/>
        <v>22</v>
      </c>
      <c r="O154" s="9" t="s">
        <v>40</v>
      </c>
      <c r="P154" s="9" t="s">
        <v>41</v>
      </c>
      <c r="Q154" s="9">
        <v>14</v>
      </c>
      <c r="R154" s="12">
        <v>194.37</v>
      </c>
      <c r="S154" s="12">
        <f>VLOOKUP(O154,'Product-cost'!A:B,2,)</f>
        <v>150</v>
      </c>
      <c r="T154" s="9" t="s">
        <v>28</v>
      </c>
      <c r="U154" s="9" t="s">
        <v>80</v>
      </c>
      <c r="V154" s="9" t="s">
        <v>870</v>
      </c>
      <c r="W154" s="9" t="s">
        <v>894</v>
      </c>
      <c r="X154" s="12">
        <f t="shared" si="28"/>
        <v>2721.1800000000003</v>
      </c>
      <c r="Y154" s="12">
        <f t="shared" si="29"/>
        <v>2100</v>
      </c>
      <c r="Z154" s="16">
        <f>VLOOKUP(T154,Taxrate!A:B,2,FALSE)</f>
        <v>0.2</v>
      </c>
      <c r="AA154" s="12">
        <f t="shared" si="30"/>
        <v>544.2360000000001</v>
      </c>
      <c r="AB154" s="16">
        <f>VLOOKUP('Sales Dataset'!O154,'Discount Rate'!A:B,2,)</f>
        <v>7.0000000000000007E-2</v>
      </c>
      <c r="AC154" s="12">
        <f t="shared" si="31"/>
        <v>147</v>
      </c>
      <c r="AD154" s="18">
        <f t="shared" si="32"/>
        <v>2099.73</v>
      </c>
    </row>
    <row r="155" spans="1:30" ht="51" customHeight="1" x14ac:dyDescent="0.35">
      <c r="A155" s="9" t="s">
        <v>370</v>
      </c>
      <c r="B155" s="9" t="s">
        <v>371</v>
      </c>
      <c r="C155" s="9" t="s">
        <v>114</v>
      </c>
      <c r="D155" s="20" t="s">
        <v>19</v>
      </c>
      <c r="E155" s="9" t="s">
        <v>903</v>
      </c>
      <c r="F155" s="9" t="s">
        <v>904</v>
      </c>
      <c r="G155" s="8">
        <v>45465</v>
      </c>
      <c r="H155" s="7">
        <f t="shared" si="22"/>
        <v>2024</v>
      </c>
      <c r="I155" s="7" t="str">
        <f t="shared" si="23"/>
        <v>June</v>
      </c>
      <c r="J155" s="8" t="str">
        <f t="shared" si="24"/>
        <v>Saturday</v>
      </c>
      <c r="K155" s="11">
        <v>0.64550925925925928</v>
      </c>
      <c r="L155" s="14">
        <f t="shared" si="25"/>
        <v>15</v>
      </c>
      <c r="M155" s="7">
        <f t="shared" si="26"/>
        <v>29</v>
      </c>
      <c r="N155" s="7">
        <f t="shared" si="27"/>
        <v>32</v>
      </c>
      <c r="O155" s="9" t="s">
        <v>26</v>
      </c>
      <c r="P155" s="9" t="s">
        <v>27</v>
      </c>
      <c r="Q155" s="9">
        <v>7</v>
      </c>
      <c r="R155" s="12">
        <v>353.38</v>
      </c>
      <c r="S155" s="12">
        <f>VLOOKUP(O155,'Product-cost'!A:B,2,)</f>
        <v>200</v>
      </c>
      <c r="T155" s="9" t="s">
        <v>28</v>
      </c>
      <c r="U155" s="9" t="s">
        <v>23</v>
      </c>
      <c r="V155" s="9" t="s">
        <v>870</v>
      </c>
      <c r="W155" s="9" t="s">
        <v>894</v>
      </c>
      <c r="X155" s="12">
        <f t="shared" si="28"/>
        <v>2473.66</v>
      </c>
      <c r="Y155" s="12">
        <f t="shared" si="29"/>
        <v>1400</v>
      </c>
      <c r="Z155" s="16">
        <f>VLOOKUP(T155,Taxrate!A:B,2,FALSE)</f>
        <v>0.2</v>
      </c>
      <c r="AA155" s="12">
        <f t="shared" si="30"/>
        <v>494.73199999999997</v>
      </c>
      <c r="AB155" s="16">
        <f>VLOOKUP('Sales Dataset'!O155,'Discount Rate'!A:B,2,)</f>
        <v>0.08</v>
      </c>
      <c r="AC155" s="12">
        <f t="shared" si="31"/>
        <v>112</v>
      </c>
      <c r="AD155" s="18">
        <f t="shared" si="32"/>
        <v>1399.72</v>
      </c>
    </row>
    <row r="156" spans="1:30" ht="51" customHeight="1" x14ac:dyDescent="0.35">
      <c r="A156" s="9" t="s">
        <v>372</v>
      </c>
      <c r="B156" s="9" t="s">
        <v>373</v>
      </c>
      <c r="C156" s="9" t="s">
        <v>369</v>
      </c>
      <c r="D156" s="20" t="s">
        <v>39</v>
      </c>
      <c r="E156" s="9" t="s">
        <v>907</v>
      </c>
      <c r="F156" s="9" t="s">
        <v>908</v>
      </c>
      <c r="G156" s="8">
        <v>45050</v>
      </c>
      <c r="H156" s="7">
        <f t="shared" si="22"/>
        <v>2023</v>
      </c>
      <c r="I156" s="7" t="str">
        <f t="shared" si="23"/>
        <v>May</v>
      </c>
      <c r="J156" s="8" t="str">
        <f t="shared" si="24"/>
        <v>Thursday</v>
      </c>
      <c r="K156" s="11">
        <v>0.5590046296296296</v>
      </c>
      <c r="L156" s="14">
        <f t="shared" si="25"/>
        <v>13</v>
      </c>
      <c r="M156" s="7">
        <f t="shared" si="26"/>
        <v>24</v>
      </c>
      <c r="N156" s="7">
        <f t="shared" si="27"/>
        <v>58</v>
      </c>
      <c r="O156" s="9" t="s">
        <v>20</v>
      </c>
      <c r="P156" s="9" t="s">
        <v>21</v>
      </c>
      <c r="Q156" s="9">
        <v>14</v>
      </c>
      <c r="R156" s="12">
        <v>500</v>
      </c>
      <c r="S156" s="12">
        <f>VLOOKUP(O156,'Product-cost'!A:B,2,)</f>
        <v>300</v>
      </c>
      <c r="T156" s="9" t="s">
        <v>34</v>
      </c>
      <c r="U156" s="9" t="s">
        <v>73</v>
      </c>
      <c r="V156" s="9" t="s">
        <v>878</v>
      </c>
      <c r="W156" s="9" t="s">
        <v>894</v>
      </c>
      <c r="X156" s="12">
        <f t="shared" si="28"/>
        <v>7000</v>
      </c>
      <c r="Y156" s="12">
        <f t="shared" si="29"/>
        <v>4200</v>
      </c>
      <c r="Z156" s="16">
        <f>VLOOKUP(T156,Taxrate!A:B,2,FALSE)</f>
        <v>0.15</v>
      </c>
      <c r="AA156" s="12">
        <f t="shared" si="30"/>
        <v>1050</v>
      </c>
      <c r="AB156" s="16">
        <f>VLOOKUP('Sales Dataset'!O156,'Discount Rate'!A:B,2,)</f>
        <v>0.1</v>
      </c>
      <c r="AC156" s="12">
        <f t="shared" si="31"/>
        <v>420</v>
      </c>
      <c r="AD156" s="18">
        <f t="shared" si="32"/>
        <v>4199.75</v>
      </c>
    </row>
    <row r="157" spans="1:30" ht="51" customHeight="1" x14ac:dyDescent="0.35">
      <c r="A157" s="9" t="s">
        <v>374</v>
      </c>
      <c r="B157" s="9" t="s">
        <v>375</v>
      </c>
      <c r="C157" s="9" t="s">
        <v>38</v>
      </c>
      <c r="D157" s="20" t="s">
        <v>39</v>
      </c>
      <c r="E157" s="9" t="s">
        <v>907</v>
      </c>
      <c r="F157" s="9" t="s">
        <v>908</v>
      </c>
      <c r="G157" s="8">
        <v>45326</v>
      </c>
      <c r="H157" s="7">
        <f t="shared" si="22"/>
        <v>2024</v>
      </c>
      <c r="I157" s="7" t="str">
        <f t="shared" si="23"/>
        <v>February</v>
      </c>
      <c r="J157" s="8" t="str">
        <f t="shared" si="24"/>
        <v>Sunday</v>
      </c>
      <c r="K157" s="11">
        <v>0.58675925925925931</v>
      </c>
      <c r="L157" s="14">
        <f t="shared" si="25"/>
        <v>14</v>
      </c>
      <c r="M157" s="7">
        <f t="shared" si="26"/>
        <v>4</v>
      </c>
      <c r="N157" s="7">
        <f t="shared" si="27"/>
        <v>56</v>
      </c>
      <c r="O157" s="9" t="s">
        <v>66</v>
      </c>
      <c r="P157" s="9" t="s">
        <v>67</v>
      </c>
      <c r="Q157" s="9">
        <v>13</v>
      </c>
      <c r="R157" s="12">
        <v>144.55000000000001</v>
      </c>
      <c r="S157" s="12">
        <f>VLOOKUP(O157,'Product-cost'!A:B,2,)</f>
        <v>50</v>
      </c>
      <c r="T157" s="9" t="s">
        <v>49</v>
      </c>
      <c r="U157" s="9" t="s">
        <v>73</v>
      </c>
      <c r="V157" s="9" t="s">
        <v>872</v>
      </c>
      <c r="W157" s="9" t="s">
        <v>896</v>
      </c>
      <c r="X157" s="12">
        <f t="shared" si="28"/>
        <v>1879.15</v>
      </c>
      <c r="Y157" s="12">
        <f t="shared" si="29"/>
        <v>650</v>
      </c>
      <c r="Z157" s="16">
        <f>VLOOKUP(T157,Taxrate!A:B,2,FALSE)</f>
        <v>0.12</v>
      </c>
      <c r="AA157" s="12">
        <f t="shared" si="30"/>
        <v>225.49799999999999</v>
      </c>
      <c r="AB157" s="16">
        <f>VLOOKUP('Sales Dataset'!O157,'Discount Rate'!A:B,2,)</f>
        <v>0.03</v>
      </c>
      <c r="AC157" s="12">
        <f t="shared" si="31"/>
        <v>19.5</v>
      </c>
      <c r="AD157" s="18">
        <f t="shared" si="32"/>
        <v>649.85</v>
      </c>
    </row>
    <row r="158" spans="1:30" ht="51" customHeight="1" x14ac:dyDescent="0.35">
      <c r="A158" s="9" t="s">
        <v>376</v>
      </c>
      <c r="B158" s="9" t="s">
        <v>279</v>
      </c>
      <c r="C158" s="9" t="s">
        <v>163</v>
      </c>
      <c r="D158" s="20" t="s">
        <v>53</v>
      </c>
      <c r="E158" s="9" t="s">
        <v>909</v>
      </c>
      <c r="F158" s="9" t="s">
        <v>910</v>
      </c>
      <c r="G158" s="8">
        <v>45057</v>
      </c>
      <c r="H158" s="7">
        <f t="shared" si="22"/>
        <v>2023</v>
      </c>
      <c r="I158" s="7" t="str">
        <f t="shared" si="23"/>
        <v>May</v>
      </c>
      <c r="J158" s="8" t="str">
        <f t="shared" si="24"/>
        <v>Thursday</v>
      </c>
      <c r="K158" s="11">
        <v>0.5841898148148148</v>
      </c>
      <c r="L158" s="14">
        <f t="shared" si="25"/>
        <v>14</v>
      </c>
      <c r="M158" s="7">
        <f t="shared" si="26"/>
        <v>1</v>
      </c>
      <c r="N158" s="7">
        <f t="shared" si="27"/>
        <v>14</v>
      </c>
      <c r="O158" s="9" t="s">
        <v>40</v>
      </c>
      <c r="P158" s="9" t="s">
        <v>41</v>
      </c>
      <c r="Q158" s="9">
        <v>14</v>
      </c>
      <c r="R158" s="12">
        <v>177.06</v>
      </c>
      <c r="S158" s="12">
        <f>VLOOKUP(O158,'Product-cost'!A:B,2,)</f>
        <v>150</v>
      </c>
      <c r="T158" s="9" t="s">
        <v>22</v>
      </c>
      <c r="U158" s="9" t="s">
        <v>54</v>
      </c>
      <c r="V158" s="9" t="s">
        <v>872</v>
      </c>
      <c r="W158" s="9" t="s">
        <v>896</v>
      </c>
      <c r="X158" s="12">
        <f t="shared" si="28"/>
        <v>2478.84</v>
      </c>
      <c r="Y158" s="12">
        <f t="shared" si="29"/>
        <v>2100</v>
      </c>
      <c r="Z158" s="16">
        <f>VLOOKUP(T158,Taxrate!A:B,2,FALSE)</f>
        <v>0.1</v>
      </c>
      <c r="AA158" s="12">
        <f t="shared" si="30"/>
        <v>247.88400000000001</v>
      </c>
      <c r="AB158" s="16">
        <f>VLOOKUP('Sales Dataset'!O158,'Discount Rate'!A:B,2,)</f>
        <v>7.0000000000000007E-2</v>
      </c>
      <c r="AC158" s="12">
        <f t="shared" si="31"/>
        <v>147</v>
      </c>
      <c r="AD158" s="18">
        <f t="shared" si="32"/>
        <v>2099.83</v>
      </c>
    </row>
    <row r="159" spans="1:30" ht="51" customHeight="1" x14ac:dyDescent="0.35">
      <c r="A159" s="9" t="s">
        <v>377</v>
      </c>
      <c r="B159" s="9" t="s">
        <v>378</v>
      </c>
      <c r="C159" s="9" t="s">
        <v>38</v>
      </c>
      <c r="D159" s="20" t="s">
        <v>39</v>
      </c>
      <c r="E159" s="9" t="s">
        <v>907</v>
      </c>
      <c r="F159" s="9" t="s">
        <v>908</v>
      </c>
      <c r="G159" s="8">
        <v>46384</v>
      </c>
      <c r="H159" s="7">
        <f t="shared" si="22"/>
        <v>2026</v>
      </c>
      <c r="I159" s="7" t="str">
        <f t="shared" si="23"/>
        <v>December</v>
      </c>
      <c r="J159" s="8" t="str">
        <f t="shared" si="24"/>
        <v>Monday</v>
      </c>
      <c r="K159" s="11">
        <v>0.37706018518518519</v>
      </c>
      <c r="L159" s="14">
        <f t="shared" si="25"/>
        <v>9</v>
      </c>
      <c r="M159" s="7">
        <f t="shared" si="26"/>
        <v>2</v>
      </c>
      <c r="N159" s="7">
        <f t="shared" si="27"/>
        <v>58</v>
      </c>
      <c r="O159" s="9" t="s">
        <v>20</v>
      </c>
      <c r="P159" s="9" t="s">
        <v>21</v>
      </c>
      <c r="Q159" s="9">
        <v>9</v>
      </c>
      <c r="R159" s="12">
        <v>748.67</v>
      </c>
      <c r="S159" s="12">
        <f>VLOOKUP(O159,'Product-cost'!A:B,2,)</f>
        <v>300</v>
      </c>
      <c r="T159" s="9" t="s">
        <v>34</v>
      </c>
      <c r="U159" s="9" t="s">
        <v>73</v>
      </c>
      <c r="V159" s="9" t="s">
        <v>876</v>
      </c>
      <c r="W159" s="9" t="s">
        <v>896</v>
      </c>
      <c r="X159" s="12">
        <f t="shared" si="28"/>
        <v>6738.03</v>
      </c>
      <c r="Y159" s="12">
        <f t="shared" si="29"/>
        <v>2700</v>
      </c>
      <c r="Z159" s="16">
        <f>VLOOKUP(T159,Taxrate!A:B,2,FALSE)</f>
        <v>0.15</v>
      </c>
      <c r="AA159" s="12">
        <f t="shared" si="30"/>
        <v>1010.7044999999999</v>
      </c>
      <c r="AB159" s="16">
        <f>VLOOKUP('Sales Dataset'!O159,'Discount Rate'!A:B,2,)</f>
        <v>0.1</v>
      </c>
      <c r="AC159" s="12">
        <f t="shared" si="31"/>
        <v>270</v>
      </c>
      <c r="AD159" s="18">
        <f t="shared" si="32"/>
        <v>2699.75</v>
      </c>
    </row>
    <row r="160" spans="1:30" ht="51" customHeight="1" x14ac:dyDescent="0.35">
      <c r="A160" s="9" t="s">
        <v>379</v>
      </c>
      <c r="B160" s="9" t="s">
        <v>380</v>
      </c>
      <c r="C160" s="9" t="s">
        <v>90</v>
      </c>
      <c r="D160" s="20" t="s">
        <v>91</v>
      </c>
      <c r="E160" s="9" t="s">
        <v>915</v>
      </c>
      <c r="F160" s="9" t="s">
        <v>916</v>
      </c>
      <c r="G160" s="8">
        <v>45411</v>
      </c>
      <c r="H160" s="7">
        <f t="shared" si="22"/>
        <v>2024</v>
      </c>
      <c r="I160" s="7" t="str">
        <f t="shared" si="23"/>
        <v>April</v>
      </c>
      <c r="J160" s="8" t="str">
        <f t="shared" si="24"/>
        <v>Monday</v>
      </c>
      <c r="K160" s="11">
        <v>0.53773148148148153</v>
      </c>
      <c r="L160" s="14">
        <f t="shared" si="25"/>
        <v>12</v>
      </c>
      <c r="M160" s="7">
        <f t="shared" si="26"/>
        <v>54</v>
      </c>
      <c r="N160" s="7">
        <f t="shared" si="27"/>
        <v>20</v>
      </c>
      <c r="O160" s="9" t="s">
        <v>66</v>
      </c>
      <c r="P160" s="9" t="s">
        <v>67</v>
      </c>
      <c r="Q160" s="9">
        <v>12</v>
      </c>
      <c r="R160" s="12">
        <v>153.96</v>
      </c>
      <c r="S160" s="12">
        <f>VLOOKUP(O160,'Product-cost'!A:B,2,)</f>
        <v>50</v>
      </c>
      <c r="T160" s="9" t="s">
        <v>28</v>
      </c>
      <c r="U160" s="9" t="s">
        <v>95</v>
      </c>
      <c r="V160" s="9" t="s">
        <v>870</v>
      </c>
      <c r="W160" s="9" t="s">
        <v>894</v>
      </c>
      <c r="X160" s="12">
        <f t="shared" si="28"/>
        <v>1847.52</v>
      </c>
      <c r="Y160" s="12">
        <f t="shared" si="29"/>
        <v>600</v>
      </c>
      <c r="Z160" s="16">
        <f>VLOOKUP(T160,Taxrate!A:B,2,FALSE)</f>
        <v>0.2</v>
      </c>
      <c r="AA160" s="12">
        <f t="shared" si="30"/>
        <v>369.50400000000002</v>
      </c>
      <c r="AB160" s="16">
        <f>VLOOKUP('Sales Dataset'!O160,'Discount Rate'!A:B,2,)</f>
        <v>0.03</v>
      </c>
      <c r="AC160" s="12">
        <f t="shared" si="31"/>
        <v>18</v>
      </c>
      <c r="AD160" s="18">
        <f t="shared" si="32"/>
        <v>599.77</v>
      </c>
    </row>
    <row r="161" spans="1:30" ht="51" customHeight="1" x14ac:dyDescent="0.35">
      <c r="A161" s="9" t="s">
        <v>381</v>
      </c>
      <c r="B161" s="9" t="s">
        <v>382</v>
      </c>
      <c r="C161" s="9" t="s">
        <v>11</v>
      </c>
      <c r="D161" s="20" t="s">
        <v>12</v>
      </c>
      <c r="E161" s="9" t="s">
        <v>901</v>
      </c>
      <c r="F161" s="9" t="s">
        <v>902</v>
      </c>
      <c r="G161" s="8">
        <v>45294</v>
      </c>
      <c r="H161" s="7">
        <f t="shared" si="22"/>
        <v>2024</v>
      </c>
      <c r="I161" s="7" t="str">
        <f t="shared" si="23"/>
        <v>January</v>
      </c>
      <c r="J161" s="8" t="str">
        <f t="shared" si="24"/>
        <v>Wednesday</v>
      </c>
      <c r="K161" s="11">
        <v>0.52032407407407411</v>
      </c>
      <c r="L161" s="14">
        <f t="shared" si="25"/>
        <v>12</v>
      </c>
      <c r="M161" s="7">
        <f t="shared" si="26"/>
        <v>29</v>
      </c>
      <c r="N161" s="7">
        <f t="shared" si="27"/>
        <v>16</v>
      </c>
      <c r="O161" s="9" t="s">
        <v>13</v>
      </c>
      <c r="P161" s="9" t="s">
        <v>14</v>
      </c>
      <c r="Q161" s="9">
        <v>7</v>
      </c>
      <c r="R161" s="12">
        <v>952.11</v>
      </c>
      <c r="S161" s="12">
        <f>VLOOKUP(O161,'Product-cost'!A:B,2,)</f>
        <v>600</v>
      </c>
      <c r="T161" s="9" t="s">
        <v>49</v>
      </c>
      <c r="U161" s="9" t="s">
        <v>29</v>
      </c>
      <c r="V161" s="9" t="s">
        <v>883</v>
      </c>
      <c r="W161" s="9" t="s">
        <v>894</v>
      </c>
      <c r="X161" s="12">
        <f t="shared" si="28"/>
        <v>6664.77</v>
      </c>
      <c r="Y161" s="12">
        <f t="shared" si="29"/>
        <v>4200</v>
      </c>
      <c r="Z161" s="16">
        <f>VLOOKUP(T161,Taxrate!A:B,2,FALSE)</f>
        <v>0.12</v>
      </c>
      <c r="AA161" s="12">
        <f t="shared" si="30"/>
        <v>799.77240000000006</v>
      </c>
      <c r="AB161" s="16">
        <f>VLOOKUP('Sales Dataset'!O161,'Discount Rate'!A:B,2,)</f>
        <v>0.05</v>
      </c>
      <c r="AC161" s="12">
        <f t="shared" si="31"/>
        <v>210</v>
      </c>
      <c r="AD161" s="18">
        <f t="shared" si="32"/>
        <v>4199.83</v>
      </c>
    </row>
    <row r="162" spans="1:30" ht="51" customHeight="1" x14ac:dyDescent="0.35">
      <c r="A162" s="9" t="s">
        <v>383</v>
      </c>
      <c r="B162" s="9" t="s">
        <v>384</v>
      </c>
      <c r="C162" s="9" t="s">
        <v>107</v>
      </c>
      <c r="D162" s="20" t="s">
        <v>53</v>
      </c>
      <c r="E162" s="9" t="s">
        <v>909</v>
      </c>
      <c r="F162" s="9" t="s">
        <v>910</v>
      </c>
      <c r="G162" s="8">
        <v>45283</v>
      </c>
      <c r="H162" s="7">
        <f t="shared" si="22"/>
        <v>2023</v>
      </c>
      <c r="I162" s="7" t="str">
        <f t="shared" si="23"/>
        <v>December</v>
      </c>
      <c r="J162" s="8" t="str">
        <f t="shared" si="24"/>
        <v>Saturday</v>
      </c>
      <c r="K162" s="11">
        <v>0.62115740740740744</v>
      </c>
      <c r="L162" s="14">
        <f t="shared" si="25"/>
        <v>14</v>
      </c>
      <c r="M162" s="7">
        <f t="shared" si="26"/>
        <v>54</v>
      </c>
      <c r="N162" s="7">
        <f t="shared" si="27"/>
        <v>28</v>
      </c>
      <c r="O162" s="9" t="s">
        <v>40</v>
      </c>
      <c r="P162" s="9" t="s">
        <v>41</v>
      </c>
      <c r="Q162" s="9">
        <v>4</v>
      </c>
      <c r="R162" s="12">
        <v>500</v>
      </c>
      <c r="S162" s="12">
        <f>VLOOKUP(O162,'Product-cost'!A:B,2,)</f>
        <v>150</v>
      </c>
      <c r="T162" s="9" t="s">
        <v>45</v>
      </c>
      <c r="U162" s="9" t="s">
        <v>54</v>
      </c>
      <c r="V162" s="9" t="s">
        <v>872</v>
      </c>
      <c r="W162" s="9" t="s">
        <v>896</v>
      </c>
      <c r="X162" s="12">
        <f t="shared" si="28"/>
        <v>2000</v>
      </c>
      <c r="Y162" s="12">
        <f t="shared" si="29"/>
        <v>600</v>
      </c>
      <c r="Z162" s="16">
        <f>VLOOKUP(T162,Taxrate!A:B,2,FALSE)</f>
        <v>7.0000000000000007E-2</v>
      </c>
      <c r="AA162" s="12">
        <f t="shared" si="30"/>
        <v>140</v>
      </c>
      <c r="AB162" s="16">
        <f>VLOOKUP('Sales Dataset'!O162,'Discount Rate'!A:B,2,)</f>
        <v>7.0000000000000007E-2</v>
      </c>
      <c r="AC162" s="12">
        <f t="shared" si="31"/>
        <v>42.000000000000007</v>
      </c>
      <c r="AD162" s="18">
        <f t="shared" si="32"/>
        <v>599.8599999999999</v>
      </c>
    </row>
    <row r="163" spans="1:30" ht="51" customHeight="1" x14ac:dyDescent="0.35">
      <c r="A163" s="9" t="s">
        <v>385</v>
      </c>
      <c r="B163" s="9" t="s">
        <v>386</v>
      </c>
      <c r="C163" s="9" t="s">
        <v>60</v>
      </c>
      <c r="D163" s="20" t="s">
        <v>61</v>
      </c>
      <c r="E163" s="9" t="s">
        <v>911</v>
      </c>
      <c r="F163" s="9" t="s">
        <v>912</v>
      </c>
      <c r="G163" s="8">
        <v>44991</v>
      </c>
      <c r="H163" s="7">
        <f t="shared" si="22"/>
        <v>2023</v>
      </c>
      <c r="I163" s="7" t="str">
        <f t="shared" si="23"/>
        <v>March</v>
      </c>
      <c r="J163" s="8" t="str">
        <f t="shared" si="24"/>
        <v>Monday</v>
      </c>
      <c r="K163" s="11">
        <v>0.38399305555555557</v>
      </c>
      <c r="L163" s="14">
        <f t="shared" si="25"/>
        <v>9</v>
      </c>
      <c r="M163" s="7">
        <f t="shared" si="26"/>
        <v>12</v>
      </c>
      <c r="N163" s="7">
        <f t="shared" si="27"/>
        <v>57</v>
      </c>
      <c r="O163" s="9" t="s">
        <v>66</v>
      </c>
      <c r="P163" s="9" t="s">
        <v>67</v>
      </c>
      <c r="Q163" s="9">
        <v>2</v>
      </c>
      <c r="R163" s="12">
        <v>182.2</v>
      </c>
      <c r="S163" s="12">
        <f>VLOOKUP(O163,'Product-cost'!A:B,2,)</f>
        <v>50</v>
      </c>
      <c r="T163" s="9" t="s">
        <v>22</v>
      </c>
      <c r="U163" s="9" t="s">
        <v>62</v>
      </c>
      <c r="V163" s="9" t="s">
        <v>882</v>
      </c>
      <c r="W163" s="9" t="s">
        <v>895</v>
      </c>
      <c r="X163" s="12">
        <f t="shared" si="28"/>
        <v>364.4</v>
      </c>
      <c r="Y163" s="12">
        <f t="shared" si="29"/>
        <v>100</v>
      </c>
      <c r="Z163" s="16">
        <f>VLOOKUP(T163,Taxrate!A:B,2,FALSE)</f>
        <v>0.1</v>
      </c>
      <c r="AA163" s="12">
        <f t="shared" si="30"/>
        <v>36.44</v>
      </c>
      <c r="AB163" s="16">
        <f>VLOOKUP('Sales Dataset'!O163,'Discount Rate'!A:B,2,)</f>
        <v>0.03</v>
      </c>
      <c r="AC163" s="12">
        <f t="shared" si="31"/>
        <v>3</v>
      </c>
      <c r="AD163" s="18">
        <f t="shared" si="32"/>
        <v>99.87</v>
      </c>
    </row>
    <row r="164" spans="1:30" ht="51" customHeight="1" x14ac:dyDescent="0.35">
      <c r="A164" s="9" t="s">
        <v>387</v>
      </c>
      <c r="B164" s="9" t="s">
        <v>388</v>
      </c>
      <c r="C164" s="9" t="s">
        <v>90</v>
      </c>
      <c r="D164" s="20" t="s">
        <v>91</v>
      </c>
      <c r="E164" s="9" t="s">
        <v>915</v>
      </c>
      <c r="F164" s="9" t="s">
        <v>916</v>
      </c>
      <c r="G164" s="8">
        <v>45651</v>
      </c>
      <c r="H164" s="7">
        <f t="shared" si="22"/>
        <v>2024</v>
      </c>
      <c r="I164" s="7" t="str">
        <f t="shared" si="23"/>
        <v>December</v>
      </c>
      <c r="J164" s="8" t="str">
        <f t="shared" si="24"/>
        <v>Wednesday</v>
      </c>
      <c r="K164" s="11">
        <v>0.42866898148148147</v>
      </c>
      <c r="L164" s="14">
        <f t="shared" si="25"/>
        <v>10</v>
      </c>
      <c r="M164" s="7">
        <f t="shared" si="26"/>
        <v>17</v>
      </c>
      <c r="N164" s="7">
        <f t="shared" si="27"/>
        <v>17</v>
      </c>
      <c r="O164" s="9" t="s">
        <v>66</v>
      </c>
      <c r="P164" s="9" t="s">
        <v>67</v>
      </c>
      <c r="Q164" s="9">
        <v>1</v>
      </c>
      <c r="R164" s="12">
        <v>166.27</v>
      </c>
      <c r="S164" s="12">
        <f>VLOOKUP(O164,'Product-cost'!A:B,2,)</f>
        <v>50</v>
      </c>
      <c r="T164" s="9" t="s">
        <v>22</v>
      </c>
      <c r="U164" s="9" t="s">
        <v>95</v>
      </c>
      <c r="V164" s="9" t="s">
        <v>883</v>
      </c>
      <c r="W164" s="9" t="s">
        <v>894</v>
      </c>
      <c r="X164" s="12">
        <f t="shared" si="28"/>
        <v>166.27</v>
      </c>
      <c r="Y164" s="12">
        <f t="shared" si="29"/>
        <v>50</v>
      </c>
      <c r="Z164" s="16">
        <f>VLOOKUP(T164,Taxrate!A:B,2,FALSE)</f>
        <v>0.1</v>
      </c>
      <c r="AA164" s="12">
        <f t="shared" si="30"/>
        <v>16.627000000000002</v>
      </c>
      <c r="AB164" s="16">
        <f>VLOOKUP('Sales Dataset'!O164,'Discount Rate'!A:B,2,)</f>
        <v>0.03</v>
      </c>
      <c r="AC164" s="12">
        <f t="shared" si="31"/>
        <v>1.5</v>
      </c>
      <c r="AD164" s="18">
        <f t="shared" si="32"/>
        <v>49.87</v>
      </c>
    </row>
    <row r="165" spans="1:30" ht="51" customHeight="1" x14ac:dyDescent="0.35">
      <c r="A165" s="9" t="s">
        <v>389</v>
      </c>
      <c r="B165" s="9" t="s">
        <v>390</v>
      </c>
      <c r="C165" s="9" t="s">
        <v>114</v>
      </c>
      <c r="D165" s="20" t="s">
        <v>19</v>
      </c>
      <c r="E165" s="9" t="s">
        <v>903</v>
      </c>
      <c r="F165" s="9" t="s">
        <v>904</v>
      </c>
      <c r="G165" s="8">
        <v>46218</v>
      </c>
      <c r="H165" s="7">
        <f t="shared" si="22"/>
        <v>2026</v>
      </c>
      <c r="I165" s="7" t="str">
        <f t="shared" si="23"/>
        <v>July</v>
      </c>
      <c r="J165" s="8" t="str">
        <f t="shared" si="24"/>
        <v>Wednesday</v>
      </c>
      <c r="K165" s="11">
        <v>0.61857638888888888</v>
      </c>
      <c r="L165" s="14">
        <f t="shared" si="25"/>
        <v>14</v>
      </c>
      <c r="M165" s="7">
        <f t="shared" si="26"/>
        <v>50</v>
      </c>
      <c r="N165" s="7">
        <f t="shared" si="27"/>
        <v>45</v>
      </c>
      <c r="O165" s="9" t="s">
        <v>26</v>
      </c>
      <c r="P165" s="9" t="s">
        <v>27</v>
      </c>
      <c r="Q165" s="9">
        <v>13</v>
      </c>
      <c r="R165" s="12">
        <v>502.54</v>
      </c>
      <c r="S165" s="12">
        <f>VLOOKUP(O165,'Product-cost'!A:B,2,)</f>
        <v>200</v>
      </c>
      <c r="T165" s="9" t="s">
        <v>49</v>
      </c>
      <c r="U165" s="9" t="s">
        <v>23</v>
      </c>
      <c r="V165" s="9" t="s">
        <v>872</v>
      </c>
      <c r="W165" s="9" t="s">
        <v>896</v>
      </c>
      <c r="X165" s="12">
        <f t="shared" si="28"/>
        <v>6533.02</v>
      </c>
      <c r="Y165" s="12">
        <f t="shared" si="29"/>
        <v>2600</v>
      </c>
      <c r="Z165" s="16">
        <f>VLOOKUP(T165,Taxrate!A:B,2,FALSE)</f>
        <v>0.12</v>
      </c>
      <c r="AA165" s="12">
        <f t="shared" si="30"/>
        <v>783.9624</v>
      </c>
      <c r="AB165" s="16">
        <f>VLOOKUP('Sales Dataset'!O165,'Discount Rate'!A:B,2,)</f>
        <v>0.08</v>
      </c>
      <c r="AC165" s="12">
        <f t="shared" si="31"/>
        <v>208</v>
      </c>
      <c r="AD165" s="18">
        <f t="shared" si="32"/>
        <v>2599.8000000000002</v>
      </c>
    </row>
    <row r="166" spans="1:30" ht="51" customHeight="1" x14ac:dyDescent="0.35">
      <c r="A166" s="9" t="s">
        <v>391</v>
      </c>
      <c r="B166" s="9" t="s">
        <v>392</v>
      </c>
      <c r="C166" s="9" t="s">
        <v>65</v>
      </c>
      <c r="D166" s="20" t="s">
        <v>53</v>
      </c>
      <c r="E166" s="9" t="s">
        <v>909</v>
      </c>
      <c r="F166" s="9" t="s">
        <v>910</v>
      </c>
      <c r="G166" s="8">
        <v>46330</v>
      </c>
      <c r="H166" s="7">
        <f t="shared" si="22"/>
        <v>2026</v>
      </c>
      <c r="I166" s="7" t="str">
        <f t="shared" si="23"/>
        <v>November</v>
      </c>
      <c r="J166" s="8" t="str">
        <f t="shared" si="24"/>
        <v>Wednesday</v>
      </c>
      <c r="K166" s="11">
        <v>0.42100694444444442</v>
      </c>
      <c r="L166" s="14">
        <f t="shared" si="25"/>
        <v>10</v>
      </c>
      <c r="M166" s="7">
        <f t="shared" si="26"/>
        <v>6</v>
      </c>
      <c r="N166" s="7">
        <f t="shared" si="27"/>
        <v>15</v>
      </c>
      <c r="O166" s="9" t="s">
        <v>20</v>
      </c>
      <c r="P166" s="9" t="s">
        <v>21</v>
      </c>
      <c r="Q166" s="9">
        <v>14</v>
      </c>
      <c r="R166" s="12">
        <v>701.12</v>
      </c>
      <c r="S166" s="12">
        <f>VLOOKUP(O166,'Product-cost'!A:B,2,)</f>
        <v>300</v>
      </c>
      <c r="T166" s="9" t="s">
        <v>28</v>
      </c>
      <c r="U166" s="9" t="s">
        <v>206</v>
      </c>
      <c r="V166" s="9" t="s">
        <v>877</v>
      </c>
      <c r="W166" s="9" t="s">
        <v>894</v>
      </c>
      <c r="X166" s="12">
        <f t="shared" si="28"/>
        <v>9815.68</v>
      </c>
      <c r="Y166" s="12">
        <f t="shared" si="29"/>
        <v>4200</v>
      </c>
      <c r="Z166" s="16">
        <f>VLOOKUP(T166,Taxrate!A:B,2,FALSE)</f>
        <v>0.2</v>
      </c>
      <c r="AA166" s="12">
        <f t="shared" si="30"/>
        <v>1963.1360000000002</v>
      </c>
      <c r="AB166" s="16">
        <f>VLOOKUP('Sales Dataset'!O166,'Discount Rate'!A:B,2,)</f>
        <v>0.1</v>
      </c>
      <c r="AC166" s="12">
        <f t="shared" si="31"/>
        <v>420</v>
      </c>
      <c r="AD166" s="18">
        <f t="shared" si="32"/>
        <v>4199.7</v>
      </c>
    </row>
    <row r="167" spans="1:30" ht="51" customHeight="1" x14ac:dyDescent="0.35">
      <c r="A167" s="9" t="s">
        <v>393</v>
      </c>
      <c r="B167" s="9" t="s">
        <v>394</v>
      </c>
      <c r="C167" s="9" t="s">
        <v>32</v>
      </c>
      <c r="D167" s="20" t="s">
        <v>33</v>
      </c>
      <c r="E167" s="9" t="s">
        <v>905</v>
      </c>
      <c r="F167" s="9" t="s">
        <v>906</v>
      </c>
      <c r="G167" s="8">
        <v>46338</v>
      </c>
      <c r="H167" s="7">
        <f t="shared" si="22"/>
        <v>2026</v>
      </c>
      <c r="I167" s="7" t="str">
        <f t="shared" si="23"/>
        <v>November</v>
      </c>
      <c r="J167" s="8" t="str">
        <f t="shared" si="24"/>
        <v>Thursday</v>
      </c>
      <c r="K167" s="11">
        <v>0.73343749999999996</v>
      </c>
      <c r="L167" s="14">
        <f t="shared" si="25"/>
        <v>17</v>
      </c>
      <c r="M167" s="7">
        <f t="shared" si="26"/>
        <v>36</v>
      </c>
      <c r="N167" s="7">
        <f t="shared" si="27"/>
        <v>9</v>
      </c>
      <c r="O167" s="9" t="s">
        <v>40</v>
      </c>
      <c r="P167" s="9" t="s">
        <v>41</v>
      </c>
      <c r="Q167" s="9">
        <v>14</v>
      </c>
      <c r="R167" s="12">
        <v>272.98</v>
      </c>
      <c r="S167" s="12">
        <f>VLOOKUP(O167,'Product-cost'!A:B,2,)</f>
        <v>150</v>
      </c>
      <c r="T167" s="9" t="s">
        <v>34</v>
      </c>
      <c r="U167" s="9" t="s">
        <v>77</v>
      </c>
      <c r="V167" s="9" t="s">
        <v>880</v>
      </c>
      <c r="W167" s="9" t="s">
        <v>894</v>
      </c>
      <c r="X167" s="12">
        <f t="shared" si="28"/>
        <v>3821.7200000000003</v>
      </c>
      <c r="Y167" s="12">
        <f t="shared" si="29"/>
        <v>2100</v>
      </c>
      <c r="Z167" s="16">
        <f>VLOOKUP(T167,Taxrate!A:B,2,FALSE)</f>
        <v>0.15</v>
      </c>
      <c r="AA167" s="12">
        <f t="shared" si="30"/>
        <v>573.25800000000004</v>
      </c>
      <c r="AB167" s="16">
        <f>VLOOKUP('Sales Dataset'!O167,'Discount Rate'!A:B,2,)</f>
        <v>7.0000000000000007E-2</v>
      </c>
      <c r="AC167" s="12">
        <f t="shared" si="31"/>
        <v>147</v>
      </c>
      <c r="AD167" s="18">
        <f t="shared" si="32"/>
        <v>2099.7799999999997</v>
      </c>
    </row>
    <row r="168" spans="1:30" ht="51" customHeight="1" x14ac:dyDescent="0.35">
      <c r="A168" s="9" t="s">
        <v>395</v>
      </c>
      <c r="B168" s="9" t="s">
        <v>106</v>
      </c>
      <c r="C168" s="9" t="s">
        <v>76</v>
      </c>
      <c r="D168" s="20" t="s">
        <v>33</v>
      </c>
      <c r="E168" s="9" t="s">
        <v>905</v>
      </c>
      <c r="F168" s="9" t="s">
        <v>906</v>
      </c>
      <c r="G168" s="8">
        <v>45339</v>
      </c>
      <c r="H168" s="7">
        <f t="shared" si="22"/>
        <v>2024</v>
      </c>
      <c r="I168" s="7" t="str">
        <f t="shared" si="23"/>
        <v>February</v>
      </c>
      <c r="J168" s="8" t="str">
        <f t="shared" si="24"/>
        <v>Saturday</v>
      </c>
      <c r="K168" s="11">
        <v>0.5730439814814815</v>
      </c>
      <c r="L168" s="14">
        <f t="shared" si="25"/>
        <v>13</v>
      </c>
      <c r="M168" s="7">
        <f t="shared" si="26"/>
        <v>45</v>
      </c>
      <c r="N168" s="7">
        <f t="shared" si="27"/>
        <v>11</v>
      </c>
      <c r="O168" s="9" t="s">
        <v>26</v>
      </c>
      <c r="P168" s="9" t="s">
        <v>27</v>
      </c>
      <c r="Q168" s="9">
        <v>7</v>
      </c>
      <c r="R168" s="12">
        <v>460.94</v>
      </c>
      <c r="S168" s="12">
        <f>VLOOKUP(O168,'Product-cost'!A:B,2,)</f>
        <v>200</v>
      </c>
      <c r="T168" s="9" t="s">
        <v>28</v>
      </c>
      <c r="U168" s="9" t="s">
        <v>35</v>
      </c>
      <c r="V168" s="9" t="s">
        <v>883</v>
      </c>
      <c r="W168" s="9" t="s">
        <v>894</v>
      </c>
      <c r="X168" s="12">
        <f t="shared" si="28"/>
        <v>3226.58</v>
      </c>
      <c r="Y168" s="12">
        <f t="shared" si="29"/>
        <v>1400</v>
      </c>
      <c r="Z168" s="16">
        <f>VLOOKUP(T168,Taxrate!A:B,2,FALSE)</f>
        <v>0.2</v>
      </c>
      <c r="AA168" s="12">
        <f t="shared" si="30"/>
        <v>645.31600000000003</v>
      </c>
      <c r="AB168" s="16">
        <f>VLOOKUP('Sales Dataset'!O168,'Discount Rate'!A:B,2,)</f>
        <v>0.08</v>
      </c>
      <c r="AC168" s="12">
        <f t="shared" si="31"/>
        <v>112</v>
      </c>
      <c r="AD168" s="18">
        <f t="shared" si="32"/>
        <v>1399.72</v>
      </c>
    </row>
    <row r="169" spans="1:30" ht="51" customHeight="1" x14ac:dyDescent="0.35">
      <c r="A169" s="9" t="s">
        <v>396</v>
      </c>
      <c r="B169" s="9" t="s">
        <v>397</v>
      </c>
      <c r="C169" s="9" t="s">
        <v>76</v>
      </c>
      <c r="D169" s="20" t="s">
        <v>33</v>
      </c>
      <c r="E169" s="9" t="s">
        <v>905</v>
      </c>
      <c r="F169" s="9" t="s">
        <v>906</v>
      </c>
      <c r="G169" s="8">
        <v>45587</v>
      </c>
      <c r="H169" s="7">
        <f t="shared" si="22"/>
        <v>2024</v>
      </c>
      <c r="I169" s="7" t="str">
        <f t="shared" si="23"/>
        <v>October</v>
      </c>
      <c r="J169" s="8" t="str">
        <f t="shared" si="24"/>
        <v>Tuesday</v>
      </c>
      <c r="K169" s="11">
        <v>0.44892361111111112</v>
      </c>
      <c r="L169" s="14">
        <f t="shared" si="25"/>
        <v>10</v>
      </c>
      <c r="M169" s="7">
        <f t="shared" si="26"/>
        <v>46</v>
      </c>
      <c r="N169" s="7">
        <f t="shared" si="27"/>
        <v>27</v>
      </c>
      <c r="O169" s="9" t="s">
        <v>66</v>
      </c>
      <c r="P169" s="9" t="s">
        <v>67</v>
      </c>
      <c r="Q169" s="9">
        <v>3</v>
      </c>
      <c r="R169" s="12">
        <v>162.15</v>
      </c>
      <c r="S169" s="12">
        <f>VLOOKUP(O169,'Product-cost'!A:B,2,)</f>
        <v>50</v>
      </c>
      <c r="T169" s="9" t="s">
        <v>49</v>
      </c>
      <c r="U169" s="9" t="s">
        <v>398</v>
      </c>
      <c r="V169" s="9" t="s">
        <v>877</v>
      </c>
      <c r="W169" s="9" t="s">
        <v>894</v>
      </c>
      <c r="X169" s="12">
        <f t="shared" si="28"/>
        <v>486.45000000000005</v>
      </c>
      <c r="Y169" s="12">
        <f t="shared" si="29"/>
        <v>150</v>
      </c>
      <c r="Z169" s="16">
        <f>VLOOKUP(T169,Taxrate!A:B,2,FALSE)</f>
        <v>0.12</v>
      </c>
      <c r="AA169" s="12">
        <f t="shared" si="30"/>
        <v>58.374000000000002</v>
      </c>
      <c r="AB169" s="16">
        <f>VLOOKUP('Sales Dataset'!O169,'Discount Rate'!A:B,2,)</f>
        <v>0.03</v>
      </c>
      <c r="AC169" s="12">
        <f t="shared" si="31"/>
        <v>4.5</v>
      </c>
      <c r="AD169" s="18">
        <f t="shared" si="32"/>
        <v>149.85</v>
      </c>
    </row>
    <row r="170" spans="1:30" ht="51" customHeight="1" x14ac:dyDescent="0.35">
      <c r="A170" s="9" t="s">
        <v>399</v>
      </c>
      <c r="B170" s="9" t="s">
        <v>400</v>
      </c>
      <c r="C170" s="9" t="s">
        <v>369</v>
      </c>
      <c r="D170" s="20" t="s">
        <v>39</v>
      </c>
      <c r="E170" s="9" t="s">
        <v>907</v>
      </c>
      <c r="F170" s="9" t="s">
        <v>908</v>
      </c>
      <c r="G170" s="8">
        <v>46100</v>
      </c>
      <c r="H170" s="7">
        <f t="shared" si="22"/>
        <v>2026</v>
      </c>
      <c r="I170" s="7" t="str">
        <f t="shared" si="23"/>
        <v>March</v>
      </c>
      <c r="J170" s="8" t="str">
        <f t="shared" si="24"/>
        <v>Thursday</v>
      </c>
      <c r="K170" s="11">
        <v>0.9094444444444445</v>
      </c>
      <c r="L170" s="14">
        <f t="shared" si="25"/>
        <v>21</v>
      </c>
      <c r="M170" s="7">
        <f t="shared" si="26"/>
        <v>49</v>
      </c>
      <c r="N170" s="7">
        <f t="shared" si="27"/>
        <v>36</v>
      </c>
      <c r="O170" s="9" t="s">
        <v>13</v>
      </c>
      <c r="P170" s="9" t="s">
        <v>14</v>
      </c>
      <c r="Q170" s="9">
        <v>6</v>
      </c>
      <c r="R170" s="12">
        <v>1283.77</v>
      </c>
      <c r="S170" s="12">
        <f>VLOOKUP(O170,'Product-cost'!A:B,2,)</f>
        <v>600</v>
      </c>
      <c r="T170" s="9" t="s">
        <v>28</v>
      </c>
      <c r="U170" s="9" t="s">
        <v>80</v>
      </c>
      <c r="V170" s="9" t="s">
        <v>878</v>
      </c>
      <c r="W170" s="9" t="s">
        <v>894</v>
      </c>
      <c r="X170" s="12">
        <f t="shared" si="28"/>
        <v>7702.62</v>
      </c>
      <c r="Y170" s="12">
        <f t="shared" si="29"/>
        <v>3600</v>
      </c>
      <c r="Z170" s="16">
        <f>VLOOKUP(T170,Taxrate!A:B,2,FALSE)</f>
        <v>0.2</v>
      </c>
      <c r="AA170" s="12">
        <f t="shared" si="30"/>
        <v>1540.5240000000001</v>
      </c>
      <c r="AB170" s="16">
        <f>VLOOKUP('Sales Dataset'!O170,'Discount Rate'!A:B,2,)</f>
        <v>0.05</v>
      </c>
      <c r="AC170" s="12">
        <f t="shared" si="31"/>
        <v>180</v>
      </c>
      <c r="AD170" s="18">
        <f t="shared" si="32"/>
        <v>3599.75</v>
      </c>
    </row>
    <row r="171" spans="1:30" ht="51" customHeight="1" x14ac:dyDescent="0.35">
      <c r="A171" s="9" t="s">
        <v>401</v>
      </c>
      <c r="B171" s="9" t="s">
        <v>402</v>
      </c>
      <c r="C171" s="9" t="s">
        <v>60</v>
      </c>
      <c r="D171" s="20" t="s">
        <v>61</v>
      </c>
      <c r="E171" s="9" t="s">
        <v>911</v>
      </c>
      <c r="F171" s="9" t="s">
        <v>912</v>
      </c>
      <c r="G171" s="8">
        <v>45723</v>
      </c>
      <c r="H171" s="7">
        <f t="shared" si="22"/>
        <v>2025</v>
      </c>
      <c r="I171" s="7" t="str">
        <f t="shared" si="23"/>
        <v>March</v>
      </c>
      <c r="J171" s="8" t="str">
        <f t="shared" si="24"/>
        <v>Friday</v>
      </c>
      <c r="K171" s="11">
        <v>0.50920138888888888</v>
      </c>
      <c r="L171" s="14">
        <f t="shared" si="25"/>
        <v>12</v>
      </c>
      <c r="M171" s="7">
        <f t="shared" si="26"/>
        <v>13</v>
      </c>
      <c r="N171" s="7">
        <f t="shared" si="27"/>
        <v>15</v>
      </c>
      <c r="O171" s="9" t="s">
        <v>13</v>
      </c>
      <c r="P171" s="9" t="s">
        <v>14</v>
      </c>
      <c r="Q171" s="9">
        <v>13</v>
      </c>
      <c r="R171" s="12">
        <v>500</v>
      </c>
      <c r="S171" s="12">
        <f>VLOOKUP(O171,'Product-cost'!A:B,2,)</f>
        <v>600</v>
      </c>
      <c r="T171" s="9" t="s">
        <v>45</v>
      </c>
      <c r="U171" s="9" t="s">
        <v>62</v>
      </c>
      <c r="V171" s="9" t="s">
        <v>877</v>
      </c>
      <c r="W171" s="9" t="s">
        <v>894</v>
      </c>
      <c r="X171" s="12">
        <f t="shared" si="28"/>
        <v>6500</v>
      </c>
      <c r="Y171" s="12">
        <f t="shared" si="29"/>
        <v>7800</v>
      </c>
      <c r="Z171" s="16">
        <f>VLOOKUP(T171,Taxrate!A:B,2,FALSE)</f>
        <v>7.0000000000000007E-2</v>
      </c>
      <c r="AA171" s="12">
        <f t="shared" si="30"/>
        <v>455.00000000000006</v>
      </c>
      <c r="AB171" s="16">
        <f>VLOOKUP('Sales Dataset'!O171,'Discount Rate'!A:B,2,)</f>
        <v>0.05</v>
      </c>
      <c r="AC171" s="12">
        <f t="shared" si="31"/>
        <v>390</v>
      </c>
      <c r="AD171" s="18">
        <f t="shared" si="32"/>
        <v>7799.88</v>
      </c>
    </row>
    <row r="172" spans="1:30" ht="51" customHeight="1" x14ac:dyDescent="0.35">
      <c r="A172" s="9" t="s">
        <v>403</v>
      </c>
      <c r="B172" s="9" t="s">
        <v>404</v>
      </c>
      <c r="C172" s="9" t="s">
        <v>141</v>
      </c>
      <c r="D172" s="20" t="s">
        <v>142</v>
      </c>
      <c r="E172" s="9" t="s">
        <v>917</v>
      </c>
      <c r="F172" s="9" t="s">
        <v>918</v>
      </c>
      <c r="G172" s="8">
        <v>45878</v>
      </c>
      <c r="H172" s="7">
        <f t="shared" si="22"/>
        <v>2025</v>
      </c>
      <c r="I172" s="7" t="str">
        <f t="shared" si="23"/>
        <v>August</v>
      </c>
      <c r="J172" s="8" t="str">
        <f t="shared" si="24"/>
        <v>Saturday</v>
      </c>
      <c r="K172" s="11">
        <v>0.43615740740740738</v>
      </c>
      <c r="L172" s="14">
        <f t="shared" si="25"/>
        <v>10</v>
      </c>
      <c r="M172" s="7">
        <f t="shared" si="26"/>
        <v>28</v>
      </c>
      <c r="N172" s="7">
        <f t="shared" si="27"/>
        <v>4</v>
      </c>
      <c r="O172" s="9" t="s">
        <v>13</v>
      </c>
      <c r="P172" s="9" t="s">
        <v>14</v>
      </c>
      <c r="Q172" s="9">
        <v>6</v>
      </c>
      <c r="R172" s="12">
        <v>852.36</v>
      </c>
      <c r="S172" s="12">
        <f>VLOOKUP(O172,'Product-cost'!A:B,2,)</f>
        <v>600</v>
      </c>
      <c r="T172" s="9" t="s">
        <v>22</v>
      </c>
      <c r="U172" s="9" t="s">
        <v>235</v>
      </c>
      <c r="V172" s="9" t="s">
        <v>883</v>
      </c>
      <c r="W172" s="9" t="s">
        <v>894</v>
      </c>
      <c r="X172" s="12">
        <f t="shared" si="28"/>
        <v>5114.16</v>
      </c>
      <c r="Y172" s="12">
        <f t="shared" si="29"/>
        <v>3600</v>
      </c>
      <c r="Z172" s="16">
        <f>VLOOKUP(T172,Taxrate!A:B,2,FALSE)</f>
        <v>0.1</v>
      </c>
      <c r="AA172" s="12">
        <f t="shared" si="30"/>
        <v>511.416</v>
      </c>
      <c r="AB172" s="16">
        <f>VLOOKUP('Sales Dataset'!O172,'Discount Rate'!A:B,2,)</f>
        <v>0.05</v>
      </c>
      <c r="AC172" s="12">
        <f t="shared" si="31"/>
        <v>180</v>
      </c>
      <c r="AD172" s="18">
        <f t="shared" si="32"/>
        <v>3599.85</v>
      </c>
    </row>
    <row r="173" spans="1:30" ht="51" customHeight="1" x14ac:dyDescent="0.35">
      <c r="A173" s="9" t="s">
        <v>405</v>
      </c>
      <c r="B173" s="9" t="s">
        <v>406</v>
      </c>
      <c r="C173" s="9" t="s">
        <v>369</v>
      </c>
      <c r="D173" s="20" t="s">
        <v>39</v>
      </c>
      <c r="E173" s="9" t="s">
        <v>907</v>
      </c>
      <c r="F173" s="9" t="s">
        <v>908</v>
      </c>
      <c r="G173" s="8">
        <v>46265</v>
      </c>
      <c r="H173" s="7">
        <f t="shared" si="22"/>
        <v>2026</v>
      </c>
      <c r="I173" s="7" t="str">
        <f t="shared" si="23"/>
        <v>August</v>
      </c>
      <c r="J173" s="8" t="str">
        <f t="shared" si="24"/>
        <v>Monday</v>
      </c>
      <c r="K173" s="11">
        <v>0.74753472222222217</v>
      </c>
      <c r="L173" s="14">
        <f t="shared" si="25"/>
        <v>17</v>
      </c>
      <c r="M173" s="7">
        <f t="shared" si="26"/>
        <v>56</v>
      </c>
      <c r="N173" s="7">
        <f t="shared" si="27"/>
        <v>27</v>
      </c>
      <c r="O173" s="9" t="s">
        <v>20</v>
      </c>
      <c r="P173" s="9" t="s">
        <v>21</v>
      </c>
      <c r="Q173" s="9">
        <v>7</v>
      </c>
      <c r="R173" s="12">
        <v>772.32</v>
      </c>
      <c r="S173" s="12">
        <f>VLOOKUP(O173,'Product-cost'!A:B,2,)</f>
        <v>300</v>
      </c>
      <c r="T173" s="9" t="s">
        <v>34</v>
      </c>
      <c r="U173" s="9" t="s">
        <v>42</v>
      </c>
      <c r="V173" s="9" t="s">
        <v>872</v>
      </c>
      <c r="W173" s="9" t="s">
        <v>896</v>
      </c>
      <c r="X173" s="12">
        <f t="shared" si="28"/>
        <v>5406.2400000000007</v>
      </c>
      <c r="Y173" s="12">
        <f t="shared" si="29"/>
        <v>2100</v>
      </c>
      <c r="Z173" s="16">
        <f>VLOOKUP(T173,Taxrate!A:B,2,FALSE)</f>
        <v>0.15</v>
      </c>
      <c r="AA173" s="12">
        <f t="shared" si="30"/>
        <v>810.93600000000004</v>
      </c>
      <c r="AB173" s="16">
        <f>VLOOKUP('Sales Dataset'!O173,'Discount Rate'!A:B,2,)</f>
        <v>0.1</v>
      </c>
      <c r="AC173" s="12">
        <f t="shared" si="31"/>
        <v>210</v>
      </c>
      <c r="AD173" s="18">
        <f t="shared" si="32"/>
        <v>2099.75</v>
      </c>
    </row>
    <row r="174" spans="1:30" ht="51" customHeight="1" x14ac:dyDescent="0.35">
      <c r="A174" s="9" t="s">
        <v>407</v>
      </c>
      <c r="B174" s="9" t="s">
        <v>408</v>
      </c>
      <c r="C174" s="9" t="s">
        <v>150</v>
      </c>
      <c r="D174" s="20" t="s">
        <v>33</v>
      </c>
      <c r="E174" s="9" t="s">
        <v>905</v>
      </c>
      <c r="F174" s="9" t="s">
        <v>906</v>
      </c>
      <c r="G174" s="8">
        <v>45241</v>
      </c>
      <c r="H174" s="7">
        <f t="shared" si="22"/>
        <v>2023</v>
      </c>
      <c r="I174" s="7" t="str">
        <f t="shared" si="23"/>
        <v>November</v>
      </c>
      <c r="J174" s="8" t="str">
        <f t="shared" si="24"/>
        <v>Saturday</v>
      </c>
      <c r="K174" s="11">
        <v>0.54197916666666668</v>
      </c>
      <c r="L174" s="14">
        <f t="shared" si="25"/>
        <v>13</v>
      </c>
      <c r="M174" s="7">
        <f t="shared" si="26"/>
        <v>0</v>
      </c>
      <c r="N174" s="7">
        <f t="shared" si="27"/>
        <v>27</v>
      </c>
      <c r="O174" s="9" t="s">
        <v>13</v>
      </c>
      <c r="P174" s="9" t="s">
        <v>14</v>
      </c>
      <c r="Q174" s="9">
        <v>11</v>
      </c>
      <c r="R174" s="12">
        <v>1040.1600000000001</v>
      </c>
      <c r="S174" s="12">
        <f>VLOOKUP(O174,'Product-cost'!A:B,2,)</f>
        <v>600</v>
      </c>
      <c r="T174" s="9" t="s">
        <v>45</v>
      </c>
      <c r="U174" s="9" t="s">
        <v>35</v>
      </c>
      <c r="V174" s="9" t="s">
        <v>883</v>
      </c>
      <c r="W174" s="9" t="s">
        <v>894</v>
      </c>
      <c r="X174" s="12">
        <f t="shared" si="28"/>
        <v>11441.76</v>
      </c>
      <c r="Y174" s="12">
        <f t="shared" si="29"/>
        <v>6600</v>
      </c>
      <c r="Z174" s="16">
        <f>VLOOKUP(T174,Taxrate!A:B,2,FALSE)</f>
        <v>7.0000000000000007E-2</v>
      </c>
      <c r="AA174" s="12">
        <f t="shared" si="30"/>
        <v>800.92320000000007</v>
      </c>
      <c r="AB174" s="16">
        <f>VLOOKUP('Sales Dataset'!O174,'Discount Rate'!A:B,2,)</f>
        <v>0.05</v>
      </c>
      <c r="AC174" s="12">
        <f t="shared" si="31"/>
        <v>330</v>
      </c>
      <c r="AD174" s="18">
        <f t="shared" si="32"/>
        <v>6599.88</v>
      </c>
    </row>
    <row r="175" spans="1:30" ht="51" customHeight="1" x14ac:dyDescent="0.35">
      <c r="A175" s="9" t="s">
        <v>409</v>
      </c>
      <c r="B175" s="9" t="s">
        <v>410</v>
      </c>
      <c r="C175" s="9" t="s">
        <v>65</v>
      </c>
      <c r="D175" s="20" t="s">
        <v>53</v>
      </c>
      <c r="E175" s="9" t="s">
        <v>909</v>
      </c>
      <c r="F175" s="9" t="s">
        <v>910</v>
      </c>
      <c r="G175" s="8">
        <v>45084</v>
      </c>
      <c r="H175" s="7">
        <f t="shared" si="22"/>
        <v>2023</v>
      </c>
      <c r="I175" s="7" t="str">
        <f t="shared" si="23"/>
        <v>June</v>
      </c>
      <c r="J175" s="8" t="str">
        <f t="shared" si="24"/>
        <v>Wednesday</v>
      </c>
      <c r="K175" s="11">
        <v>0.43328703703703703</v>
      </c>
      <c r="L175" s="14">
        <f t="shared" si="25"/>
        <v>10</v>
      </c>
      <c r="M175" s="7">
        <f t="shared" si="26"/>
        <v>23</v>
      </c>
      <c r="N175" s="7">
        <f t="shared" si="27"/>
        <v>56</v>
      </c>
      <c r="O175" s="9" t="s">
        <v>66</v>
      </c>
      <c r="P175" s="9" t="s">
        <v>67</v>
      </c>
      <c r="Q175" s="9">
        <v>8</v>
      </c>
      <c r="R175" s="12">
        <v>500</v>
      </c>
      <c r="S175" s="12">
        <f>VLOOKUP(O175,'Product-cost'!A:B,2,)</f>
        <v>50</v>
      </c>
      <c r="T175" s="9" t="s">
        <v>34</v>
      </c>
      <c r="U175" s="9" t="s">
        <v>206</v>
      </c>
      <c r="V175" s="9" t="s">
        <v>880</v>
      </c>
      <c r="W175" s="9" t="s">
        <v>894</v>
      </c>
      <c r="X175" s="12">
        <f t="shared" si="28"/>
        <v>4000</v>
      </c>
      <c r="Y175" s="12">
        <f t="shared" si="29"/>
        <v>400</v>
      </c>
      <c r="Z175" s="16">
        <f>VLOOKUP(T175,Taxrate!A:B,2,FALSE)</f>
        <v>0.15</v>
      </c>
      <c r="AA175" s="12">
        <f t="shared" si="30"/>
        <v>600</v>
      </c>
      <c r="AB175" s="16">
        <f>VLOOKUP('Sales Dataset'!O175,'Discount Rate'!A:B,2,)</f>
        <v>0.03</v>
      </c>
      <c r="AC175" s="12">
        <f t="shared" si="31"/>
        <v>12</v>
      </c>
      <c r="AD175" s="18">
        <f t="shared" si="32"/>
        <v>399.82000000000005</v>
      </c>
    </row>
    <row r="176" spans="1:30" ht="51" customHeight="1" x14ac:dyDescent="0.35">
      <c r="A176" s="9" t="s">
        <v>411</v>
      </c>
      <c r="B176" s="9" t="s">
        <v>412</v>
      </c>
      <c r="C176" s="9" t="s">
        <v>32</v>
      </c>
      <c r="D176" s="20" t="s">
        <v>33</v>
      </c>
      <c r="E176" s="9" t="s">
        <v>905</v>
      </c>
      <c r="F176" s="9" t="s">
        <v>906</v>
      </c>
      <c r="G176" s="8">
        <v>46134</v>
      </c>
      <c r="H176" s="7">
        <f t="shared" si="22"/>
        <v>2026</v>
      </c>
      <c r="I176" s="7" t="str">
        <f t="shared" si="23"/>
        <v>April</v>
      </c>
      <c r="J176" s="8" t="str">
        <f t="shared" si="24"/>
        <v>Wednesday</v>
      </c>
      <c r="K176" s="11">
        <v>0.6693634259259259</v>
      </c>
      <c r="L176" s="14">
        <f t="shared" si="25"/>
        <v>16</v>
      </c>
      <c r="M176" s="7">
        <f t="shared" si="26"/>
        <v>3</v>
      </c>
      <c r="N176" s="7">
        <f t="shared" si="27"/>
        <v>53</v>
      </c>
      <c r="O176" s="9" t="s">
        <v>66</v>
      </c>
      <c r="P176" s="9" t="s">
        <v>67</v>
      </c>
      <c r="Q176" s="9">
        <v>7</v>
      </c>
      <c r="R176" s="12">
        <v>171.53</v>
      </c>
      <c r="S176" s="12">
        <f>VLOOKUP(O176,'Product-cost'!A:B,2,)</f>
        <v>50</v>
      </c>
      <c r="T176" s="9" t="s">
        <v>34</v>
      </c>
      <c r="U176" s="9" t="s">
        <v>35</v>
      </c>
      <c r="V176" s="9" t="s">
        <v>879</v>
      </c>
      <c r="W176" s="9" t="s">
        <v>894</v>
      </c>
      <c r="X176" s="12">
        <f t="shared" si="28"/>
        <v>1200.71</v>
      </c>
      <c r="Y176" s="12">
        <f t="shared" si="29"/>
        <v>350</v>
      </c>
      <c r="Z176" s="16">
        <f>VLOOKUP(T176,Taxrate!A:B,2,FALSE)</f>
        <v>0.15</v>
      </c>
      <c r="AA176" s="12">
        <f t="shared" si="30"/>
        <v>180.10650000000001</v>
      </c>
      <c r="AB176" s="16">
        <f>VLOOKUP('Sales Dataset'!O176,'Discount Rate'!A:B,2,)</f>
        <v>0.03</v>
      </c>
      <c r="AC176" s="12">
        <f t="shared" si="31"/>
        <v>10.5</v>
      </c>
      <c r="AD176" s="18">
        <f t="shared" si="32"/>
        <v>349.82000000000005</v>
      </c>
    </row>
    <row r="177" spans="1:30" ht="51" customHeight="1" x14ac:dyDescent="0.35">
      <c r="A177" s="9" t="s">
        <v>413</v>
      </c>
      <c r="B177" s="9" t="s">
        <v>414</v>
      </c>
      <c r="C177" s="9" t="s">
        <v>150</v>
      </c>
      <c r="D177" s="20" t="s">
        <v>33</v>
      </c>
      <c r="E177" s="9" t="s">
        <v>905</v>
      </c>
      <c r="F177" s="9" t="s">
        <v>906</v>
      </c>
      <c r="G177" s="8">
        <v>45025</v>
      </c>
      <c r="H177" s="7">
        <f t="shared" si="22"/>
        <v>2023</v>
      </c>
      <c r="I177" s="7" t="str">
        <f t="shared" si="23"/>
        <v>April</v>
      </c>
      <c r="J177" s="8" t="str">
        <f t="shared" si="24"/>
        <v>Sunday</v>
      </c>
      <c r="K177" s="11">
        <v>0.42376157407407405</v>
      </c>
      <c r="L177" s="14">
        <f t="shared" si="25"/>
        <v>10</v>
      </c>
      <c r="M177" s="7">
        <f t="shared" si="26"/>
        <v>10</v>
      </c>
      <c r="N177" s="7">
        <f t="shared" si="27"/>
        <v>13</v>
      </c>
      <c r="O177" s="9" t="s">
        <v>20</v>
      </c>
      <c r="P177" s="9" t="s">
        <v>21</v>
      </c>
      <c r="Q177" s="9">
        <v>7</v>
      </c>
      <c r="R177" s="12">
        <v>500</v>
      </c>
      <c r="S177" s="12">
        <f>VLOOKUP(O177,'Product-cost'!A:B,2,)</f>
        <v>300</v>
      </c>
      <c r="T177" s="9" t="s">
        <v>34</v>
      </c>
      <c r="U177" s="9" t="s">
        <v>77</v>
      </c>
      <c r="V177" s="9" t="s">
        <v>872</v>
      </c>
      <c r="W177" s="9" t="s">
        <v>896</v>
      </c>
      <c r="X177" s="12">
        <f t="shared" si="28"/>
        <v>3500</v>
      </c>
      <c r="Y177" s="12">
        <f t="shared" si="29"/>
        <v>2100</v>
      </c>
      <c r="Z177" s="16">
        <f>VLOOKUP(T177,Taxrate!A:B,2,FALSE)</f>
        <v>0.15</v>
      </c>
      <c r="AA177" s="12">
        <f t="shared" si="30"/>
        <v>525</v>
      </c>
      <c r="AB177" s="16">
        <f>VLOOKUP('Sales Dataset'!O177,'Discount Rate'!A:B,2,)</f>
        <v>0.1</v>
      </c>
      <c r="AC177" s="12">
        <f t="shared" si="31"/>
        <v>210</v>
      </c>
      <c r="AD177" s="18">
        <f t="shared" si="32"/>
        <v>2099.75</v>
      </c>
    </row>
    <row r="178" spans="1:30" ht="51" customHeight="1" x14ac:dyDescent="0.35">
      <c r="A178" s="9" t="s">
        <v>415</v>
      </c>
      <c r="B178" s="9" t="s">
        <v>416</v>
      </c>
      <c r="C178" s="9" t="s">
        <v>141</v>
      </c>
      <c r="D178" s="20" t="s">
        <v>142</v>
      </c>
      <c r="E178" s="9" t="s">
        <v>917</v>
      </c>
      <c r="F178" s="9" t="s">
        <v>918</v>
      </c>
      <c r="G178" s="8">
        <v>46114</v>
      </c>
      <c r="H178" s="7">
        <f t="shared" si="22"/>
        <v>2026</v>
      </c>
      <c r="I178" s="7" t="str">
        <f t="shared" si="23"/>
        <v>April</v>
      </c>
      <c r="J178" s="8" t="str">
        <f t="shared" si="24"/>
        <v>Thursday</v>
      </c>
      <c r="K178" s="11">
        <v>0.88718750000000002</v>
      </c>
      <c r="L178" s="14">
        <f t="shared" si="25"/>
        <v>21</v>
      </c>
      <c r="M178" s="7">
        <f t="shared" si="26"/>
        <v>17</v>
      </c>
      <c r="N178" s="7">
        <f t="shared" si="27"/>
        <v>33</v>
      </c>
      <c r="O178" s="9" t="s">
        <v>66</v>
      </c>
      <c r="P178" s="9" t="s">
        <v>67</v>
      </c>
      <c r="Q178" s="9">
        <v>1</v>
      </c>
      <c r="R178" s="12">
        <v>166.73</v>
      </c>
      <c r="S178" s="12">
        <f>VLOOKUP(O178,'Product-cost'!A:B,2,)</f>
        <v>50</v>
      </c>
      <c r="T178" s="9" t="s">
        <v>49</v>
      </c>
      <c r="U178" s="9" t="s">
        <v>143</v>
      </c>
      <c r="V178" s="9" t="s">
        <v>870</v>
      </c>
      <c r="W178" s="9" t="s">
        <v>894</v>
      </c>
      <c r="X178" s="12">
        <f t="shared" si="28"/>
        <v>166.73</v>
      </c>
      <c r="Y178" s="12">
        <f t="shared" si="29"/>
        <v>50</v>
      </c>
      <c r="Z178" s="16">
        <f>VLOOKUP(T178,Taxrate!A:B,2,FALSE)</f>
        <v>0.12</v>
      </c>
      <c r="AA178" s="12">
        <f t="shared" si="30"/>
        <v>20.007599999999996</v>
      </c>
      <c r="AB178" s="16">
        <f>VLOOKUP('Sales Dataset'!O178,'Discount Rate'!A:B,2,)</f>
        <v>0.03</v>
      </c>
      <c r="AC178" s="12">
        <f t="shared" si="31"/>
        <v>1.5</v>
      </c>
      <c r="AD178" s="18">
        <f t="shared" si="32"/>
        <v>49.85</v>
      </c>
    </row>
    <row r="179" spans="1:30" ht="51" customHeight="1" x14ac:dyDescent="0.35">
      <c r="A179" s="9" t="s">
        <v>417</v>
      </c>
      <c r="B179" s="9" t="s">
        <v>418</v>
      </c>
      <c r="C179" s="9" t="s">
        <v>57</v>
      </c>
      <c r="D179" s="20" t="s">
        <v>12</v>
      </c>
      <c r="E179" s="9" t="s">
        <v>901</v>
      </c>
      <c r="F179" s="9" t="s">
        <v>902</v>
      </c>
      <c r="G179" s="8">
        <v>45768</v>
      </c>
      <c r="H179" s="7">
        <f t="shared" si="22"/>
        <v>2025</v>
      </c>
      <c r="I179" s="7" t="str">
        <f t="shared" si="23"/>
        <v>April</v>
      </c>
      <c r="J179" s="8" t="str">
        <f t="shared" si="24"/>
        <v>Monday</v>
      </c>
      <c r="K179" s="11">
        <v>0.61216435185185181</v>
      </c>
      <c r="L179" s="14">
        <f t="shared" si="25"/>
        <v>14</v>
      </c>
      <c r="M179" s="7">
        <f t="shared" si="26"/>
        <v>41</v>
      </c>
      <c r="N179" s="7">
        <f t="shared" si="27"/>
        <v>31</v>
      </c>
      <c r="O179" s="9" t="s">
        <v>40</v>
      </c>
      <c r="P179" s="9" t="s">
        <v>41</v>
      </c>
      <c r="Q179" s="9">
        <v>1</v>
      </c>
      <c r="R179" s="12">
        <v>220.33</v>
      </c>
      <c r="S179" s="12">
        <f>VLOOKUP(O179,'Product-cost'!A:B,2,)</f>
        <v>150</v>
      </c>
      <c r="T179" s="9" t="s">
        <v>49</v>
      </c>
      <c r="U179" s="9" t="s">
        <v>15</v>
      </c>
      <c r="V179" s="9" t="s">
        <v>878</v>
      </c>
      <c r="W179" s="9" t="s">
        <v>894</v>
      </c>
      <c r="X179" s="12">
        <f t="shared" si="28"/>
        <v>220.33</v>
      </c>
      <c r="Y179" s="12">
        <f t="shared" si="29"/>
        <v>150</v>
      </c>
      <c r="Z179" s="16">
        <f>VLOOKUP(T179,Taxrate!A:B,2,FALSE)</f>
        <v>0.12</v>
      </c>
      <c r="AA179" s="12">
        <f t="shared" si="30"/>
        <v>26.439600000000002</v>
      </c>
      <c r="AB179" s="16">
        <f>VLOOKUP('Sales Dataset'!O179,'Discount Rate'!A:B,2,)</f>
        <v>7.0000000000000007E-2</v>
      </c>
      <c r="AC179" s="12">
        <f t="shared" si="31"/>
        <v>10.500000000000002</v>
      </c>
      <c r="AD179" s="18">
        <f t="shared" si="32"/>
        <v>149.81</v>
      </c>
    </row>
    <row r="180" spans="1:30" ht="51" customHeight="1" x14ac:dyDescent="0.35">
      <c r="A180" s="9" t="s">
        <v>419</v>
      </c>
      <c r="B180" s="9" t="s">
        <v>420</v>
      </c>
      <c r="C180" s="9" t="s">
        <v>32</v>
      </c>
      <c r="D180" s="20" t="s">
        <v>33</v>
      </c>
      <c r="E180" s="9" t="s">
        <v>905</v>
      </c>
      <c r="F180" s="9" t="s">
        <v>906</v>
      </c>
      <c r="G180" s="8">
        <v>45618</v>
      </c>
      <c r="H180" s="7">
        <f t="shared" si="22"/>
        <v>2024</v>
      </c>
      <c r="I180" s="7" t="str">
        <f t="shared" si="23"/>
        <v>November</v>
      </c>
      <c r="J180" s="8" t="str">
        <f t="shared" si="24"/>
        <v>Friday</v>
      </c>
      <c r="K180" s="11">
        <v>0.51241898148148146</v>
      </c>
      <c r="L180" s="14">
        <f t="shared" si="25"/>
        <v>12</v>
      </c>
      <c r="M180" s="7">
        <f t="shared" si="26"/>
        <v>17</v>
      </c>
      <c r="N180" s="7">
        <f t="shared" si="27"/>
        <v>53</v>
      </c>
      <c r="O180" s="9" t="s">
        <v>66</v>
      </c>
      <c r="P180" s="9" t="s">
        <v>67</v>
      </c>
      <c r="Q180" s="9">
        <v>11</v>
      </c>
      <c r="R180" s="12">
        <v>500</v>
      </c>
      <c r="S180" s="12">
        <f>VLOOKUP(O180,'Product-cost'!A:B,2,)</f>
        <v>50</v>
      </c>
      <c r="T180" s="9" t="s">
        <v>28</v>
      </c>
      <c r="U180" s="9" t="s">
        <v>77</v>
      </c>
      <c r="V180" s="9" t="s">
        <v>878</v>
      </c>
      <c r="W180" s="9" t="s">
        <v>894</v>
      </c>
      <c r="X180" s="12">
        <f t="shared" si="28"/>
        <v>5500</v>
      </c>
      <c r="Y180" s="12">
        <f t="shared" si="29"/>
        <v>550</v>
      </c>
      <c r="Z180" s="16">
        <f>VLOOKUP(T180,Taxrate!A:B,2,FALSE)</f>
        <v>0.2</v>
      </c>
      <c r="AA180" s="12">
        <f t="shared" si="30"/>
        <v>1100</v>
      </c>
      <c r="AB180" s="16">
        <f>VLOOKUP('Sales Dataset'!O180,'Discount Rate'!A:B,2,)</f>
        <v>0.03</v>
      </c>
      <c r="AC180" s="12">
        <f t="shared" si="31"/>
        <v>16.5</v>
      </c>
      <c r="AD180" s="18">
        <f t="shared" si="32"/>
        <v>549.77</v>
      </c>
    </row>
    <row r="181" spans="1:30" ht="51" customHeight="1" x14ac:dyDescent="0.35">
      <c r="A181" s="9" t="s">
        <v>421</v>
      </c>
      <c r="B181" s="9" t="s">
        <v>422</v>
      </c>
      <c r="C181" s="9" t="s">
        <v>126</v>
      </c>
      <c r="D181" s="20" t="s">
        <v>19</v>
      </c>
      <c r="E181" s="9" t="s">
        <v>903</v>
      </c>
      <c r="F181" s="9" t="s">
        <v>904</v>
      </c>
      <c r="G181" s="8">
        <v>45760</v>
      </c>
      <c r="H181" s="7">
        <f t="shared" si="22"/>
        <v>2025</v>
      </c>
      <c r="I181" s="7" t="str">
        <f t="shared" si="23"/>
        <v>April</v>
      </c>
      <c r="J181" s="8" t="str">
        <f t="shared" si="24"/>
        <v>Sunday</v>
      </c>
      <c r="K181" s="11">
        <v>0.85688657407407409</v>
      </c>
      <c r="L181" s="14">
        <f t="shared" si="25"/>
        <v>20</v>
      </c>
      <c r="M181" s="7">
        <f t="shared" si="26"/>
        <v>33</v>
      </c>
      <c r="N181" s="7">
        <f t="shared" si="27"/>
        <v>55</v>
      </c>
      <c r="O181" s="9" t="s">
        <v>26</v>
      </c>
      <c r="P181" s="9" t="s">
        <v>27</v>
      </c>
      <c r="Q181" s="9">
        <v>9</v>
      </c>
      <c r="R181" s="12">
        <v>333.12</v>
      </c>
      <c r="S181" s="12">
        <f>VLOOKUP(O181,'Product-cost'!A:B,2,)</f>
        <v>200</v>
      </c>
      <c r="T181" s="9" t="s">
        <v>49</v>
      </c>
      <c r="U181" s="9" t="s">
        <v>130</v>
      </c>
      <c r="V181" s="9" t="s">
        <v>868</v>
      </c>
      <c r="W181" s="9" t="s">
        <v>894</v>
      </c>
      <c r="X181" s="12">
        <f t="shared" si="28"/>
        <v>2998.08</v>
      </c>
      <c r="Y181" s="12">
        <f t="shared" si="29"/>
        <v>1800</v>
      </c>
      <c r="Z181" s="16">
        <f>VLOOKUP(T181,Taxrate!A:B,2,FALSE)</f>
        <v>0.12</v>
      </c>
      <c r="AA181" s="12">
        <f t="shared" si="30"/>
        <v>359.76959999999997</v>
      </c>
      <c r="AB181" s="16">
        <f>VLOOKUP('Sales Dataset'!O181,'Discount Rate'!A:B,2,)</f>
        <v>0.08</v>
      </c>
      <c r="AC181" s="12">
        <f t="shared" si="31"/>
        <v>144</v>
      </c>
      <c r="AD181" s="18">
        <f t="shared" si="32"/>
        <v>1799.8000000000002</v>
      </c>
    </row>
    <row r="182" spans="1:30" ht="51" customHeight="1" x14ac:dyDescent="0.35">
      <c r="A182" s="9" t="s">
        <v>423</v>
      </c>
      <c r="B182" s="9" t="s">
        <v>424</v>
      </c>
      <c r="C182" s="9" t="s">
        <v>18</v>
      </c>
      <c r="D182" s="20" t="s">
        <v>19</v>
      </c>
      <c r="E182" s="9" t="s">
        <v>903</v>
      </c>
      <c r="F182" s="9" t="s">
        <v>904</v>
      </c>
      <c r="G182" s="8">
        <v>45861</v>
      </c>
      <c r="H182" s="7">
        <f t="shared" si="22"/>
        <v>2025</v>
      </c>
      <c r="I182" s="7" t="str">
        <f t="shared" si="23"/>
        <v>July</v>
      </c>
      <c r="J182" s="8" t="str">
        <f t="shared" si="24"/>
        <v>Wednesday</v>
      </c>
      <c r="K182" s="11">
        <v>0.57305555555555554</v>
      </c>
      <c r="L182" s="14">
        <f t="shared" si="25"/>
        <v>13</v>
      </c>
      <c r="M182" s="7">
        <f t="shared" si="26"/>
        <v>45</v>
      </c>
      <c r="N182" s="7">
        <f t="shared" si="27"/>
        <v>12</v>
      </c>
      <c r="O182" s="9" t="s">
        <v>26</v>
      </c>
      <c r="P182" s="9" t="s">
        <v>27</v>
      </c>
      <c r="Q182" s="9">
        <v>8</v>
      </c>
      <c r="R182" s="12">
        <v>447.08</v>
      </c>
      <c r="S182" s="12">
        <f>VLOOKUP(O182,'Product-cost'!A:B,2,)</f>
        <v>200</v>
      </c>
      <c r="T182" s="9" t="s">
        <v>45</v>
      </c>
      <c r="U182" s="9" t="s">
        <v>46</v>
      </c>
      <c r="V182" s="9" t="s">
        <v>874</v>
      </c>
      <c r="W182" s="9" t="s">
        <v>894</v>
      </c>
      <c r="X182" s="12">
        <f t="shared" si="28"/>
        <v>3576.64</v>
      </c>
      <c r="Y182" s="12">
        <f t="shared" si="29"/>
        <v>1600</v>
      </c>
      <c r="Z182" s="16">
        <f>VLOOKUP(T182,Taxrate!A:B,2,FALSE)</f>
        <v>7.0000000000000007E-2</v>
      </c>
      <c r="AA182" s="12">
        <f t="shared" si="30"/>
        <v>250.3648</v>
      </c>
      <c r="AB182" s="16">
        <f>VLOOKUP('Sales Dataset'!O182,'Discount Rate'!A:B,2,)</f>
        <v>0.08</v>
      </c>
      <c r="AC182" s="12">
        <f t="shared" si="31"/>
        <v>128</v>
      </c>
      <c r="AD182" s="18">
        <f t="shared" si="32"/>
        <v>1599.8500000000001</v>
      </c>
    </row>
    <row r="183" spans="1:30" ht="51" customHeight="1" x14ac:dyDescent="0.35">
      <c r="A183" s="9" t="s">
        <v>425</v>
      </c>
      <c r="B183" s="9" t="s">
        <v>426</v>
      </c>
      <c r="C183" s="9" t="s">
        <v>32</v>
      </c>
      <c r="D183" s="20" t="s">
        <v>33</v>
      </c>
      <c r="E183" s="9" t="s">
        <v>905</v>
      </c>
      <c r="F183" s="9" t="s">
        <v>906</v>
      </c>
      <c r="G183" s="8">
        <v>45456</v>
      </c>
      <c r="H183" s="7">
        <f t="shared" si="22"/>
        <v>2024</v>
      </c>
      <c r="I183" s="7" t="str">
        <f t="shared" si="23"/>
        <v>June</v>
      </c>
      <c r="J183" s="8" t="str">
        <f t="shared" si="24"/>
        <v>Thursday</v>
      </c>
      <c r="K183" s="11">
        <v>0.50097222222222226</v>
      </c>
      <c r="L183" s="14">
        <f t="shared" si="25"/>
        <v>12</v>
      </c>
      <c r="M183" s="7">
        <f t="shared" si="26"/>
        <v>1</v>
      </c>
      <c r="N183" s="7">
        <f t="shared" si="27"/>
        <v>24</v>
      </c>
      <c r="O183" s="9" t="s">
        <v>13</v>
      </c>
      <c r="P183" s="9" t="s">
        <v>14</v>
      </c>
      <c r="Q183" s="9">
        <v>10</v>
      </c>
      <c r="R183" s="12">
        <v>907.16</v>
      </c>
      <c r="S183" s="12">
        <f>VLOOKUP(O183,'Product-cost'!A:B,2,)</f>
        <v>600</v>
      </c>
      <c r="T183" s="9" t="s">
        <v>28</v>
      </c>
      <c r="U183" s="9" t="s">
        <v>77</v>
      </c>
      <c r="V183" s="9" t="s">
        <v>882</v>
      </c>
      <c r="W183" s="9" t="s">
        <v>895</v>
      </c>
      <c r="X183" s="12">
        <f t="shared" si="28"/>
        <v>9071.6</v>
      </c>
      <c r="Y183" s="12">
        <f t="shared" si="29"/>
        <v>6000</v>
      </c>
      <c r="Z183" s="16">
        <f>VLOOKUP(T183,Taxrate!A:B,2,FALSE)</f>
        <v>0.2</v>
      </c>
      <c r="AA183" s="12">
        <f t="shared" si="30"/>
        <v>1814.3200000000002</v>
      </c>
      <c r="AB183" s="16">
        <f>VLOOKUP('Sales Dataset'!O183,'Discount Rate'!A:B,2,)</f>
        <v>0.05</v>
      </c>
      <c r="AC183" s="12">
        <f t="shared" si="31"/>
        <v>300</v>
      </c>
      <c r="AD183" s="18">
        <f t="shared" si="32"/>
        <v>5999.75</v>
      </c>
    </row>
    <row r="184" spans="1:30" ht="51" customHeight="1" x14ac:dyDescent="0.35">
      <c r="A184" s="9" t="s">
        <v>427</v>
      </c>
      <c r="B184" s="9" t="s">
        <v>428</v>
      </c>
      <c r="C184" s="9" t="s">
        <v>369</v>
      </c>
      <c r="D184" s="20" t="s">
        <v>39</v>
      </c>
      <c r="E184" s="9" t="s">
        <v>907</v>
      </c>
      <c r="F184" s="9" t="s">
        <v>908</v>
      </c>
      <c r="G184" s="8">
        <v>45197</v>
      </c>
      <c r="H184" s="7">
        <f t="shared" si="22"/>
        <v>2023</v>
      </c>
      <c r="I184" s="7" t="str">
        <f t="shared" si="23"/>
        <v>September</v>
      </c>
      <c r="J184" s="8" t="str">
        <f t="shared" si="24"/>
        <v>Thursday</v>
      </c>
      <c r="K184" s="11">
        <v>0.74375000000000002</v>
      </c>
      <c r="L184" s="14">
        <f t="shared" si="25"/>
        <v>17</v>
      </c>
      <c r="M184" s="7">
        <f t="shared" si="26"/>
        <v>51</v>
      </c>
      <c r="N184" s="7">
        <f t="shared" si="27"/>
        <v>0</v>
      </c>
      <c r="O184" s="9" t="s">
        <v>20</v>
      </c>
      <c r="P184" s="9" t="s">
        <v>21</v>
      </c>
      <c r="Q184" s="9">
        <v>13</v>
      </c>
      <c r="R184" s="12">
        <v>693.82</v>
      </c>
      <c r="S184" s="12">
        <f>VLOOKUP(O184,'Product-cost'!A:B,2,)</f>
        <v>300</v>
      </c>
      <c r="T184" s="9" t="s">
        <v>22</v>
      </c>
      <c r="U184" s="9" t="s">
        <v>42</v>
      </c>
      <c r="V184" s="9" t="s">
        <v>872</v>
      </c>
      <c r="W184" s="9" t="s">
        <v>896</v>
      </c>
      <c r="X184" s="12">
        <f t="shared" si="28"/>
        <v>9019.66</v>
      </c>
      <c r="Y184" s="12">
        <f t="shared" si="29"/>
        <v>3900</v>
      </c>
      <c r="Z184" s="16">
        <f>VLOOKUP(T184,Taxrate!A:B,2,FALSE)</f>
        <v>0.1</v>
      </c>
      <c r="AA184" s="12">
        <f t="shared" si="30"/>
        <v>901.96600000000001</v>
      </c>
      <c r="AB184" s="16">
        <f>VLOOKUP('Sales Dataset'!O184,'Discount Rate'!A:B,2,)</f>
        <v>0.1</v>
      </c>
      <c r="AC184" s="12">
        <f t="shared" si="31"/>
        <v>390</v>
      </c>
      <c r="AD184" s="18">
        <f t="shared" si="32"/>
        <v>3899.8</v>
      </c>
    </row>
    <row r="185" spans="1:30" ht="51" customHeight="1" x14ac:dyDescent="0.35">
      <c r="A185" s="9" t="s">
        <v>429</v>
      </c>
      <c r="B185" s="9" t="s">
        <v>430</v>
      </c>
      <c r="C185" s="9" t="s">
        <v>141</v>
      </c>
      <c r="D185" s="20" t="s">
        <v>142</v>
      </c>
      <c r="E185" s="9" t="s">
        <v>917</v>
      </c>
      <c r="F185" s="9" t="s">
        <v>918</v>
      </c>
      <c r="G185" s="8">
        <v>44942</v>
      </c>
      <c r="H185" s="7">
        <f t="shared" si="22"/>
        <v>2023</v>
      </c>
      <c r="I185" s="7" t="str">
        <f t="shared" si="23"/>
        <v>January</v>
      </c>
      <c r="J185" s="8" t="str">
        <f t="shared" si="24"/>
        <v>Monday</v>
      </c>
      <c r="K185" s="11">
        <v>0.69557870370370367</v>
      </c>
      <c r="L185" s="14">
        <f t="shared" si="25"/>
        <v>16</v>
      </c>
      <c r="M185" s="7">
        <f t="shared" si="26"/>
        <v>41</v>
      </c>
      <c r="N185" s="7">
        <f t="shared" si="27"/>
        <v>38</v>
      </c>
      <c r="O185" s="9" t="s">
        <v>40</v>
      </c>
      <c r="P185" s="9" t="s">
        <v>41</v>
      </c>
      <c r="Q185" s="9">
        <v>11</v>
      </c>
      <c r="R185" s="12">
        <v>500</v>
      </c>
      <c r="S185" s="12">
        <f>VLOOKUP(O185,'Product-cost'!A:B,2,)</f>
        <v>150</v>
      </c>
      <c r="T185" s="9" t="s">
        <v>45</v>
      </c>
      <c r="U185" s="9" t="s">
        <v>235</v>
      </c>
      <c r="V185" s="9" t="s">
        <v>872</v>
      </c>
      <c r="W185" s="9" t="s">
        <v>896</v>
      </c>
      <c r="X185" s="12">
        <f t="shared" si="28"/>
        <v>5500</v>
      </c>
      <c r="Y185" s="12">
        <f t="shared" si="29"/>
        <v>1650</v>
      </c>
      <c r="Z185" s="16">
        <f>VLOOKUP(T185,Taxrate!A:B,2,FALSE)</f>
        <v>7.0000000000000007E-2</v>
      </c>
      <c r="AA185" s="12">
        <f t="shared" si="30"/>
        <v>385.00000000000006</v>
      </c>
      <c r="AB185" s="16">
        <f>VLOOKUP('Sales Dataset'!O185,'Discount Rate'!A:B,2,)</f>
        <v>7.0000000000000007E-2</v>
      </c>
      <c r="AC185" s="12">
        <f t="shared" si="31"/>
        <v>115.50000000000001</v>
      </c>
      <c r="AD185" s="18">
        <f t="shared" si="32"/>
        <v>1649.8600000000001</v>
      </c>
    </row>
    <row r="186" spans="1:30" ht="51" customHeight="1" x14ac:dyDescent="0.35">
      <c r="A186" s="9" t="s">
        <v>431</v>
      </c>
      <c r="B186" s="9" t="s">
        <v>432</v>
      </c>
      <c r="C186" s="9" t="s">
        <v>163</v>
      </c>
      <c r="D186" s="20" t="s">
        <v>53</v>
      </c>
      <c r="E186" s="9" t="s">
        <v>909</v>
      </c>
      <c r="F186" s="9" t="s">
        <v>910</v>
      </c>
      <c r="G186" s="8">
        <v>45986</v>
      </c>
      <c r="H186" s="7">
        <f t="shared" si="22"/>
        <v>2025</v>
      </c>
      <c r="I186" s="7" t="str">
        <f t="shared" si="23"/>
        <v>November</v>
      </c>
      <c r="J186" s="8" t="str">
        <f t="shared" si="24"/>
        <v>Tuesday</v>
      </c>
      <c r="K186" s="11">
        <v>0.36937500000000001</v>
      </c>
      <c r="L186" s="14">
        <f t="shared" si="25"/>
        <v>8</v>
      </c>
      <c r="M186" s="7">
        <f t="shared" si="26"/>
        <v>51</v>
      </c>
      <c r="N186" s="7">
        <f t="shared" si="27"/>
        <v>54</v>
      </c>
      <c r="O186" s="9" t="s">
        <v>40</v>
      </c>
      <c r="P186" s="9" t="s">
        <v>41</v>
      </c>
      <c r="Q186" s="9">
        <v>6</v>
      </c>
      <c r="R186" s="12">
        <v>255.34</v>
      </c>
      <c r="S186" s="12">
        <f>VLOOKUP(O186,'Product-cost'!A:B,2,)</f>
        <v>150</v>
      </c>
      <c r="T186" s="9" t="s">
        <v>34</v>
      </c>
      <c r="U186" s="9" t="s">
        <v>54</v>
      </c>
      <c r="V186" s="9" t="s">
        <v>879</v>
      </c>
      <c r="W186" s="9" t="s">
        <v>894</v>
      </c>
      <c r="X186" s="12">
        <f t="shared" si="28"/>
        <v>1532.04</v>
      </c>
      <c r="Y186" s="12">
        <f t="shared" si="29"/>
        <v>900</v>
      </c>
      <c r="Z186" s="16">
        <f>VLOOKUP(T186,Taxrate!A:B,2,FALSE)</f>
        <v>0.15</v>
      </c>
      <c r="AA186" s="12">
        <f t="shared" si="30"/>
        <v>229.80599999999998</v>
      </c>
      <c r="AB186" s="16">
        <f>VLOOKUP('Sales Dataset'!O186,'Discount Rate'!A:B,2,)</f>
        <v>7.0000000000000007E-2</v>
      </c>
      <c r="AC186" s="12">
        <f t="shared" si="31"/>
        <v>63.000000000000007</v>
      </c>
      <c r="AD186" s="18">
        <f t="shared" si="32"/>
        <v>899.78</v>
      </c>
    </row>
    <row r="187" spans="1:30" ht="51" customHeight="1" x14ac:dyDescent="0.35">
      <c r="A187" s="9" t="s">
        <v>433</v>
      </c>
      <c r="B187" s="9" t="s">
        <v>434</v>
      </c>
      <c r="C187" s="9" t="s">
        <v>163</v>
      </c>
      <c r="D187" s="20" t="s">
        <v>53</v>
      </c>
      <c r="E187" s="9" t="s">
        <v>909</v>
      </c>
      <c r="F187" s="9" t="s">
        <v>910</v>
      </c>
      <c r="G187" s="8">
        <v>46387</v>
      </c>
      <c r="H187" s="7">
        <f t="shared" si="22"/>
        <v>2026</v>
      </c>
      <c r="I187" s="7" t="str">
        <f t="shared" si="23"/>
        <v>December</v>
      </c>
      <c r="J187" s="8" t="str">
        <f t="shared" si="24"/>
        <v>Thursday</v>
      </c>
      <c r="K187" s="11">
        <v>0.77407407407407403</v>
      </c>
      <c r="L187" s="14">
        <f t="shared" si="25"/>
        <v>18</v>
      </c>
      <c r="M187" s="7">
        <f t="shared" si="26"/>
        <v>34</v>
      </c>
      <c r="N187" s="7">
        <f t="shared" si="27"/>
        <v>40</v>
      </c>
      <c r="O187" s="9" t="s">
        <v>66</v>
      </c>
      <c r="P187" s="9" t="s">
        <v>67</v>
      </c>
      <c r="Q187" s="9">
        <v>11</v>
      </c>
      <c r="R187" s="12">
        <v>142.51</v>
      </c>
      <c r="S187" s="12">
        <f>VLOOKUP(O187,'Product-cost'!A:B,2,)</f>
        <v>50</v>
      </c>
      <c r="T187" s="9" t="s">
        <v>28</v>
      </c>
      <c r="U187" s="9" t="s">
        <v>206</v>
      </c>
      <c r="V187" s="9" t="s">
        <v>870</v>
      </c>
      <c r="W187" s="9" t="s">
        <v>894</v>
      </c>
      <c r="X187" s="12">
        <f t="shared" si="28"/>
        <v>1567.61</v>
      </c>
      <c r="Y187" s="12">
        <f t="shared" si="29"/>
        <v>550</v>
      </c>
      <c r="Z187" s="16">
        <f>VLOOKUP(T187,Taxrate!A:B,2,FALSE)</f>
        <v>0.2</v>
      </c>
      <c r="AA187" s="12">
        <f t="shared" si="30"/>
        <v>313.52199999999999</v>
      </c>
      <c r="AB187" s="16">
        <f>VLOOKUP('Sales Dataset'!O187,'Discount Rate'!A:B,2,)</f>
        <v>0.03</v>
      </c>
      <c r="AC187" s="12">
        <f t="shared" si="31"/>
        <v>16.5</v>
      </c>
      <c r="AD187" s="18">
        <f t="shared" si="32"/>
        <v>549.77</v>
      </c>
    </row>
    <row r="188" spans="1:30" ht="51" customHeight="1" x14ac:dyDescent="0.35">
      <c r="A188" s="9" t="s">
        <v>435</v>
      </c>
      <c r="B188" s="9" t="s">
        <v>208</v>
      </c>
      <c r="C188" s="9" t="s">
        <v>52</v>
      </c>
      <c r="D188" s="20" t="s">
        <v>53</v>
      </c>
      <c r="E188" s="9" t="s">
        <v>909</v>
      </c>
      <c r="F188" s="9" t="s">
        <v>910</v>
      </c>
      <c r="G188" s="8">
        <v>45614</v>
      </c>
      <c r="H188" s="7">
        <f t="shared" si="22"/>
        <v>2024</v>
      </c>
      <c r="I188" s="7" t="str">
        <f t="shared" si="23"/>
        <v>November</v>
      </c>
      <c r="J188" s="8" t="str">
        <f t="shared" si="24"/>
        <v>Monday</v>
      </c>
      <c r="K188" s="11">
        <v>0.47377314814814814</v>
      </c>
      <c r="L188" s="14">
        <f t="shared" si="25"/>
        <v>11</v>
      </c>
      <c r="M188" s="7">
        <f t="shared" si="26"/>
        <v>22</v>
      </c>
      <c r="N188" s="7">
        <f t="shared" si="27"/>
        <v>14</v>
      </c>
      <c r="O188" s="9" t="s">
        <v>26</v>
      </c>
      <c r="P188" s="9" t="s">
        <v>27</v>
      </c>
      <c r="Q188" s="9">
        <v>15</v>
      </c>
      <c r="R188" s="12">
        <v>372.11</v>
      </c>
      <c r="S188" s="12">
        <f>VLOOKUP(O188,'Product-cost'!A:B,2,)</f>
        <v>200</v>
      </c>
      <c r="T188" s="9" t="s">
        <v>22</v>
      </c>
      <c r="U188" s="9" t="s">
        <v>54</v>
      </c>
      <c r="V188" s="9" t="s">
        <v>883</v>
      </c>
      <c r="W188" s="9" t="s">
        <v>894</v>
      </c>
      <c r="X188" s="12">
        <f t="shared" si="28"/>
        <v>5581.6500000000005</v>
      </c>
      <c r="Y188" s="12">
        <f t="shared" si="29"/>
        <v>3000</v>
      </c>
      <c r="Z188" s="16">
        <f>VLOOKUP(T188,Taxrate!A:B,2,FALSE)</f>
        <v>0.1</v>
      </c>
      <c r="AA188" s="12">
        <f t="shared" si="30"/>
        <v>558.16500000000008</v>
      </c>
      <c r="AB188" s="16">
        <f>VLOOKUP('Sales Dataset'!O188,'Discount Rate'!A:B,2,)</f>
        <v>0.08</v>
      </c>
      <c r="AC188" s="12">
        <f t="shared" si="31"/>
        <v>240</v>
      </c>
      <c r="AD188" s="18">
        <f t="shared" si="32"/>
        <v>2999.82</v>
      </c>
    </row>
    <row r="189" spans="1:30" ht="51" customHeight="1" x14ac:dyDescent="0.35">
      <c r="A189" s="9" t="s">
        <v>436</v>
      </c>
      <c r="B189" s="9" t="s">
        <v>437</v>
      </c>
      <c r="C189" s="9" t="s">
        <v>141</v>
      </c>
      <c r="D189" s="20" t="s">
        <v>142</v>
      </c>
      <c r="E189" s="9" t="s">
        <v>917</v>
      </c>
      <c r="F189" s="9" t="s">
        <v>918</v>
      </c>
      <c r="G189" s="8">
        <v>45773</v>
      </c>
      <c r="H189" s="7">
        <f t="shared" si="22"/>
        <v>2025</v>
      </c>
      <c r="I189" s="7" t="str">
        <f t="shared" si="23"/>
        <v>April</v>
      </c>
      <c r="J189" s="8" t="str">
        <f t="shared" si="24"/>
        <v>Saturday</v>
      </c>
      <c r="K189" s="11">
        <v>0.91260416666666666</v>
      </c>
      <c r="L189" s="14">
        <f t="shared" si="25"/>
        <v>21</v>
      </c>
      <c r="M189" s="7">
        <f t="shared" si="26"/>
        <v>54</v>
      </c>
      <c r="N189" s="7">
        <f t="shared" si="27"/>
        <v>9</v>
      </c>
      <c r="O189" s="9" t="s">
        <v>20</v>
      </c>
      <c r="P189" s="9" t="s">
        <v>21</v>
      </c>
      <c r="Q189" s="9">
        <v>6</v>
      </c>
      <c r="R189" s="12">
        <v>650.82000000000005</v>
      </c>
      <c r="S189" s="12">
        <f>VLOOKUP(O189,'Product-cost'!A:B,2,)</f>
        <v>300</v>
      </c>
      <c r="T189" s="9" t="s">
        <v>34</v>
      </c>
      <c r="U189" s="9" t="s">
        <v>143</v>
      </c>
      <c r="V189" s="9" t="s">
        <v>883</v>
      </c>
      <c r="W189" s="9" t="s">
        <v>894</v>
      </c>
      <c r="X189" s="12">
        <f t="shared" si="28"/>
        <v>3904.92</v>
      </c>
      <c r="Y189" s="12">
        <f t="shared" si="29"/>
        <v>1800</v>
      </c>
      <c r="Z189" s="16">
        <f>VLOOKUP(T189,Taxrate!A:B,2,FALSE)</f>
        <v>0.15</v>
      </c>
      <c r="AA189" s="12">
        <f t="shared" si="30"/>
        <v>585.73799999999994</v>
      </c>
      <c r="AB189" s="16">
        <f>VLOOKUP('Sales Dataset'!O189,'Discount Rate'!A:B,2,)</f>
        <v>0.1</v>
      </c>
      <c r="AC189" s="12">
        <f t="shared" si="31"/>
        <v>180</v>
      </c>
      <c r="AD189" s="18">
        <f t="shared" si="32"/>
        <v>1799.75</v>
      </c>
    </row>
    <row r="190" spans="1:30" ht="51" customHeight="1" x14ac:dyDescent="0.35">
      <c r="A190" s="9" t="s">
        <v>438</v>
      </c>
      <c r="B190" s="9" t="s">
        <v>89</v>
      </c>
      <c r="C190" s="9" t="s">
        <v>38</v>
      </c>
      <c r="D190" s="20" t="s">
        <v>39</v>
      </c>
      <c r="E190" s="9" t="s">
        <v>907</v>
      </c>
      <c r="F190" s="9" t="s">
        <v>908</v>
      </c>
      <c r="G190" s="8">
        <v>45852</v>
      </c>
      <c r="H190" s="7">
        <f t="shared" si="22"/>
        <v>2025</v>
      </c>
      <c r="I190" s="7" t="str">
        <f t="shared" si="23"/>
        <v>July</v>
      </c>
      <c r="J190" s="8" t="str">
        <f t="shared" si="24"/>
        <v>Monday</v>
      </c>
      <c r="K190" s="11">
        <v>0.49223379629629632</v>
      </c>
      <c r="L190" s="14">
        <f t="shared" si="25"/>
        <v>11</v>
      </c>
      <c r="M190" s="7">
        <f t="shared" si="26"/>
        <v>48</v>
      </c>
      <c r="N190" s="7">
        <f t="shared" si="27"/>
        <v>49</v>
      </c>
      <c r="O190" s="9" t="s">
        <v>20</v>
      </c>
      <c r="P190" s="9" t="s">
        <v>21</v>
      </c>
      <c r="Q190" s="9">
        <v>3</v>
      </c>
      <c r="R190" s="12">
        <v>709.07</v>
      </c>
      <c r="S190" s="12">
        <f>VLOOKUP(O190,'Product-cost'!A:B,2,)</f>
        <v>300</v>
      </c>
      <c r="T190" s="9" t="s">
        <v>45</v>
      </c>
      <c r="U190" s="9" t="s">
        <v>73</v>
      </c>
      <c r="V190" s="9" t="s">
        <v>882</v>
      </c>
      <c r="W190" s="9" t="s">
        <v>895</v>
      </c>
      <c r="X190" s="12">
        <f t="shared" si="28"/>
        <v>2127.21</v>
      </c>
      <c r="Y190" s="12">
        <f t="shared" si="29"/>
        <v>900</v>
      </c>
      <c r="Z190" s="16">
        <f>VLOOKUP(T190,Taxrate!A:B,2,FALSE)</f>
        <v>7.0000000000000007E-2</v>
      </c>
      <c r="AA190" s="12">
        <f t="shared" si="30"/>
        <v>148.90470000000002</v>
      </c>
      <c r="AB190" s="16">
        <f>VLOOKUP('Sales Dataset'!O190,'Discount Rate'!A:B,2,)</f>
        <v>0.1</v>
      </c>
      <c r="AC190" s="12">
        <f t="shared" si="31"/>
        <v>90</v>
      </c>
      <c r="AD190" s="18">
        <f t="shared" si="32"/>
        <v>899.82999999999993</v>
      </c>
    </row>
    <row r="191" spans="1:30" ht="51" customHeight="1" x14ac:dyDescent="0.35">
      <c r="A191" s="9" t="s">
        <v>439</v>
      </c>
      <c r="B191" s="9" t="s">
        <v>440</v>
      </c>
      <c r="C191" s="9" t="s">
        <v>32</v>
      </c>
      <c r="D191" s="20" t="s">
        <v>33</v>
      </c>
      <c r="E191" s="9" t="s">
        <v>905</v>
      </c>
      <c r="F191" s="9" t="s">
        <v>906</v>
      </c>
      <c r="G191" s="8">
        <v>45586</v>
      </c>
      <c r="H191" s="7">
        <f t="shared" si="22"/>
        <v>2024</v>
      </c>
      <c r="I191" s="7" t="str">
        <f t="shared" si="23"/>
        <v>October</v>
      </c>
      <c r="J191" s="8" t="str">
        <f t="shared" si="24"/>
        <v>Monday</v>
      </c>
      <c r="K191" s="11">
        <v>0.36319444444444443</v>
      </c>
      <c r="L191" s="14">
        <f t="shared" si="25"/>
        <v>8</v>
      </c>
      <c r="M191" s="7">
        <f t="shared" si="26"/>
        <v>43</v>
      </c>
      <c r="N191" s="7">
        <f t="shared" si="27"/>
        <v>0</v>
      </c>
      <c r="O191" s="9" t="s">
        <v>20</v>
      </c>
      <c r="P191" s="9" t="s">
        <v>21</v>
      </c>
      <c r="Q191" s="9">
        <v>15</v>
      </c>
      <c r="R191" s="12">
        <v>518.67999999999995</v>
      </c>
      <c r="S191" s="12">
        <f>VLOOKUP(O191,'Product-cost'!A:B,2,)</f>
        <v>300</v>
      </c>
      <c r="T191" s="9" t="s">
        <v>34</v>
      </c>
      <c r="U191" s="9" t="s">
        <v>77</v>
      </c>
      <c r="V191" s="9" t="s">
        <v>880</v>
      </c>
      <c r="W191" s="9" t="s">
        <v>894</v>
      </c>
      <c r="X191" s="12">
        <f t="shared" si="28"/>
        <v>7780.1999999999989</v>
      </c>
      <c r="Y191" s="12">
        <f t="shared" si="29"/>
        <v>4500</v>
      </c>
      <c r="Z191" s="16">
        <f>VLOOKUP(T191,Taxrate!A:B,2,FALSE)</f>
        <v>0.15</v>
      </c>
      <c r="AA191" s="12">
        <f t="shared" si="30"/>
        <v>1167.0299999999997</v>
      </c>
      <c r="AB191" s="16">
        <f>VLOOKUP('Sales Dataset'!O191,'Discount Rate'!A:B,2,)</f>
        <v>0.1</v>
      </c>
      <c r="AC191" s="12">
        <f t="shared" si="31"/>
        <v>450</v>
      </c>
      <c r="AD191" s="18">
        <f t="shared" si="32"/>
        <v>4499.75</v>
      </c>
    </row>
    <row r="192" spans="1:30" ht="51" customHeight="1" x14ac:dyDescent="0.35">
      <c r="A192" s="9" t="s">
        <v>441</v>
      </c>
      <c r="B192" s="9" t="s">
        <v>442</v>
      </c>
      <c r="C192" s="9" t="s">
        <v>114</v>
      </c>
      <c r="D192" s="20" t="s">
        <v>19</v>
      </c>
      <c r="E192" s="9" t="s">
        <v>903</v>
      </c>
      <c r="F192" s="9" t="s">
        <v>904</v>
      </c>
      <c r="G192" s="8">
        <v>45844</v>
      </c>
      <c r="H192" s="7">
        <f t="shared" si="22"/>
        <v>2025</v>
      </c>
      <c r="I192" s="7" t="str">
        <f t="shared" si="23"/>
        <v>July</v>
      </c>
      <c r="J192" s="8" t="str">
        <f t="shared" si="24"/>
        <v>Sunday</v>
      </c>
      <c r="K192" s="11">
        <v>0.58160879629629625</v>
      </c>
      <c r="L192" s="14">
        <f t="shared" si="25"/>
        <v>13</v>
      </c>
      <c r="M192" s="7">
        <f t="shared" si="26"/>
        <v>57</v>
      </c>
      <c r="N192" s="7">
        <f t="shared" si="27"/>
        <v>31</v>
      </c>
      <c r="O192" s="9" t="s">
        <v>26</v>
      </c>
      <c r="P192" s="9" t="s">
        <v>27</v>
      </c>
      <c r="Q192" s="9">
        <v>3</v>
      </c>
      <c r="R192" s="12">
        <v>503.64</v>
      </c>
      <c r="S192" s="12">
        <f>VLOOKUP(O192,'Product-cost'!A:B,2,)</f>
        <v>200</v>
      </c>
      <c r="T192" s="9" t="s">
        <v>34</v>
      </c>
      <c r="U192" s="9" t="s">
        <v>46</v>
      </c>
      <c r="V192" s="9" t="s">
        <v>873</v>
      </c>
      <c r="W192" s="9" t="s">
        <v>895</v>
      </c>
      <c r="X192" s="12">
        <f t="shared" si="28"/>
        <v>1510.92</v>
      </c>
      <c r="Y192" s="12">
        <f t="shared" si="29"/>
        <v>600</v>
      </c>
      <c r="Z192" s="16">
        <f>VLOOKUP(T192,Taxrate!A:B,2,FALSE)</f>
        <v>0.15</v>
      </c>
      <c r="AA192" s="12">
        <f t="shared" si="30"/>
        <v>226.63800000000001</v>
      </c>
      <c r="AB192" s="16">
        <f>VLOOKUP('Sales Dataset'!O192,'Discount Rate'!A:B,2,)</f>
        <v>0.08</v>
      </c>
      <c r="AC192" s="12">
        <f t="shared" si="31"/>
        <v>48</v>
      </c>
      <c r="AD192" s="18">
        <f t="shared" si="32"/>
        <v>599.77</v>
      </c>
    </row>
    <row r="193" spans="1:30" ht="51" customHeight="1" x14ac:dyDescent="0.35">
      <c r="A193" s="9" t="s">
        <v>443</v>
      </c>
      <c r="B193" s="9" t="s">
        <v>245</v>
      </c>
      <c r="C193" s="9" t="s">
        <v>38</v>
      </c>
      <c r="D193" s="20" t="s">
        <v>39</v>
      </c>
      <c r="E193" s="9" t="s">
        <v>907</v>
      </c>
      <c r="F193" s="9" t="s">
        <v>908</v>
      </c>
      <c r="G193" s="8">
        <v>46120</v>
      </c>
      <c r="H193" s="7">
        <f t="shared" si="22"/>
        <v>2026</v>
      </c>
      <c r="I193" s="7" t="str">
        <f t="shared" si="23"/>
        <v>April</v>
      </c>
      <c r="J193" s="8" t="str">
        <f t="shared" si="24"/>
        <v>Wednesday</v>
      </c>
      <c r="K193" s="11">
        <v>0.85739583333333336</v>
      </c>
      <c r="L193" s="14">
        <f t="shared" si="25"/>
        <v>20</v>
      </c>
      <c r="M193" s="7">
        <f t="shared" si="26"/>
        <v>34</v>
      </c>
      <c r="N193" s="7">
        <f t="shared" si="27"/>
        <v>39</v>
      </c>
      <c r="O193" s="9" t="s">
        <v>13</v>
      </c>
      <c r="P193" s="9" t="s">
        <v>14</v>
      </c>
      <c r="Q193" s="9">
        <v>1</v>
      </c>
      <c r="R193" s="12">
        <v>1126.78</v>
      </c>
      <c r="S193" s="12">
        <f>VLOOKUP(O193,'Product-cost'!A:B,2,)</f>
        <v>600</v>
      </c>
      <c r="T193" s="9" t="s">
        <v>45</v>
      </c>
      <c r="U193" s="9" t="s">
        <v>42</v>
      </c>
      <c r="V193" s="9" t="s">
        <v>870</v>
      </c>
      <c r="W193" s="9" t="s">
        <v>894</v>
      </c>
      <c r="X193" s="12">
        <f t="shared" si="28"/>
        <v>1126.78</v>
      </c>
      <c r="Y193" s="12">
        <f t="shared" si="29"/>
        <v>600</v>
      </c>
      <c r="Z193" s="16">
        <f>VLOOKUP(T193,Taxrate!A:B,2,FALSE)</f>
        <v>7.0000000000000007E-2</v>
      </c>
      <c r="AA193" s="12">
        <f t="shared" si="30"/>
        <v>78.874600000000001</v>
      </c>
      <c r="AB193" s="16">
        <f>VLOOKUP('Sales Dataset'!O193,'Discount Rate'!A:B,2,)</f>
        <v>0.05</v>
      </c>
      <c r="AC193" s="12">
        <f t="shared" si="31"/>
        <v>30</v>
      </c>
      <c r="AD193" s="18">
        <f t="shared" si="32"/>
        <v>599.88</v>
      </c>
    </row>
    <row r="194" spans="1:30" ht="51" customHeight="1" x14ac:dyDescent="0.35">
      <c r="A194" s="9" t="s">
        <v>444</v>
      </c>
      <c r="B194" s="9" t="s">
        <v>445</v>
      </c>
      <c r="C194" s="9" t="s">
        <v>369</v>
      </c>
      <c r="D194" s="20" t="s">
        <v>39</v>
      </c>
      <c r="E194" s="9" t="s">
        <v>907</v>
      </c>
      <c r="F194" s="9" t="s">
        <v>908</v>
      </c>
      <c r="G194" s="8">
        <v>45966</v>
      </c>
      <c r="H194" s="7">
        <f t="shared" si="22"/>
        <v>2025</v>
      </c>
      <c r="I194" s="7" t="str">
        <f t="shared" si="23"/>
        <v>November</v>
      </c>
      <c r="J194" s="8" t="str">
        <f t="shared" si="24"/>
        <v>Wednesday</v>
      </c>
      <c r="K194" s="11">
        <v>0.77311342592592591</v>
      </c>
      <c r="L194" s="14">
        <f t="shared" si="25"/>
        <v>18</v>
      </c>
      <c r="M194" s="7">
        <f t="shared" si="26"/>
        <v>33</v>
      </c>
      <c r="N194" s="7">
        <f t="shared" si="27"/>
        <v>17</v>
      </c>
      <c r="O194" s="9" t="s">
        <v>40</v>
      </c>
      <c r="P194" s="9" t="s">
        <v>41</v>
      </c>
      <c r="Q194" s="9">
        <v>3</v>
      </c>
      <c r="R194" s="12">
        <v>274.85000000000002</v>
      </c>
      <c r="S194" s="12">
        <f>VLOOKUP(O194,'Product-cost'!A:B,2,)</f>
        <v>150</v>
      </c>
      <c r="T194" s="9" t="s">
        <v>49</v>
      </c>
      <c r="U194" s="9" t="s">
        <v>42</v>
      </c>
      <c r="V194" s="9" t="s">
        <v>870</v>
      </c>
      <c r="W194" s="9" t="s">
        <v>894</v>
      </c>
      <c r="X194" s="12">
        <f t="shared" si="28"/>
        <v>824.55000000000007</v>
      </c>
      <c r="Y194" s="12">
        <f t="shared" si="29"/>
        <v>450</v>
      </c>
      <c r="Z194" s="16">
        <f>VLOOKUP(T194,Taxrate!A:B,2,FALSE)</f>
        <v>0.12</v>
      </c>
      <c r="AA194" s="12">
        <f t="shared" si="30"/>
        <v>98.945999999999998</v>
      </c>
      <c r="AB194" s="16">
        <f>VLOOKUP('Sales Dataset'!O194,'Discount Rate'!A:B,2,)</f>
        <v>7.0000000000000007E-2</v>
      </c>
      <c r="AC194" s="12">
        <f t="shared" si="31"/>
        <v>31.500000000000004</v>
      </c>
      <c r="AD194" s="18">
        <f t="shared" si="32"/>
        <v>449.81</v>
      </c>
    </row>
    <row r="195" spans="1:30" ht="51" customHeight="1" x14ac:dyDescent="0.35">
      <c r="A195" s="9" t="s">
        <v>446</v>
      </c>
      <c r="B195" s="9" t="s">
        <v>328</v>
      </c>
      <c r="C195" s="9" t="s">
        <v>114</v>
      </c>
      <c r="D195" s="20" t="s">
        <v>19</v>
      </c>
      <c r="E195" s="9" t="s">
        <v>903</v>
      </c>
      <c r="F195" s="9" t="s">
        <v>904</v>
      </c>
      <c r="G195" s="8">
        <v>45717</v>
      </c>
      <c r="H195" s="7">
        <f t="shared" ref="H195:H258" si="33">YEAR(G195)</f>
        <v>2025</v>
      </c>
      <c r="I195" s="7" t="str">
        <f t="shared" ref="I195:I258" si="34">TEXT(G195,"mmmm")</f>
        <v>March</v>
      </c>
      <c r="J195" s="8" t="str">
        <f t="shared" ref="J195:J258" si="35">TEXT(G195,"dddd")</f>
        <v>Saturday</v>
      </c>
      <c r="K195" s="11">
        <v>0.50696759259259261</v>
      </c>
      <c r="L195" s="14">
        <f t="shared" ref="L195:L258" si="36">HOUR(K195)</f>
        <v>12</v>
      </c>
      <c r="M195" s="7">
        <f t="shared" ref="M195:M258" si="37">MINUTE(K195)</f>
        <v>10</v>
      </c>
      <c r="N195" s="7">
        <f t="shared" ref="N195:N258" si="38">SECOND(K195)</f>
        <v>2</v>
      </c>
      <c r="O195" s="9" t="s">
        <v>40</v>
      </c>
      <c r="P195" s="9" t="s">
        <v>41</v>
      </c>
      <c r="Q195" s="9">
        <v>4</v>
      </c>
      <c r="R195" s="12">
        <v>228.87</v>
      </c>
      <c r="S195" s="12">
        <f>VLOOKUP(O195,'Product-cost'!A:B,2,)</f>
        <v>150</v>
      </c>
      <c r="T195" s="9" t="s">
        <v>28</v>
      </c>
      <c r="U195" s="9" t="s">
        <v>23</v>
      </c>
      <c r="V195" s="9" t="s">
        <v>872</v>
      </c>
      <c r="W195" s="9" t="s">
        <v>896</v>
      </c>
      <c r="X195" s="12">
        <f t="shared" ref="X195:X258" si="39">R195*Q195</f>
        <v>915.48</v>
      </c>
      <c r="Y195" s="12">
        <f t="shared" ref="Y195:Y258" si="40">S195*Q195</f>
        <v>600</v>
      </c>
      <c r="Z195" s="16">
        <f>VLOOKUP(T195,Taxrate!A:B,2,FALSE)</f>
        <v>0.2</v>
      </c>
      <c r="AA195" s="12">
        <f t="shared" ref="AA195:AA258" si="41">X195*Z195</f>
        <v>183.096</v>
      </c>
      <c r="AB195" s="16">
        <f>VLOOKUP('Sales Dataset'!O195,'Discount Rate'!A:B,2,)</f>
        <v>7.0000000000000007E-2</v>
      </c>
      <c r="AC195" s="12">
        <f t="shared" ref="AC195:AC258" si="42">Y195*AB195</f>
        <v>42.000000000000007</v>
      </c>
      <c r="AD195" s="18">
        <f t="shared" ref="AD195:AD258" si="43">Y195-AB195-Z195</f>
        <v>599.7299999999999</v>
      </c>
    </row>
    <row r="196" spans="1:30" ht="51" customHeight="1" x14ac:dyDescent="0.35">
      <c r="A196" s="9" t="s">
        <v>447</v>
      </c>
      <c r="B196" s="9" t="s">
        <v>448</v>
      </c>
      <c r="C196" s="9" t="s">
        <v>11</v>
      </c>
      <c r="D196" s="20" t="s">
        <v>12</v>
      </c>
      <c r="E196" s="9" t="s">
        <v>901</v>
      </c>
      <c r="F196" s="9" t="s">
        <v>902</v>
      </c>
      <c r="G196" s="8">
        <v>46364</v>
      </c>
      <c r="H196" s="7">
        <f t="shared" si="33"/>
        <v>2026</v>
      </c>
      <c r="I196" s="7" t="str">
        <f t="shared" si="34"/>
        <v>December</v>
      </c>
      <c r="J196" s="8" t="str">
        <f t="shared" si="35"/>
        <v>Tuesday</v>
      </c>
      <c r="K196" s="11">
        <v>0.63768518518518513</v>
      </c>
      <c r="L196" s="14">
        <f t="shared" si="36"/>
        <v>15</v>
      </c>
      <c r="M196" s="7">
        <f t="shared" si="37"/>
        <v>18</v>
      </c>
      <c r="N196" s="7">
        <f t="shared" si="38"/>
        <v>16</v>
      </c>
      <c r="O196" s="9" t="s">
        <v>66</v>
      </c>
      <c r="P196" s="9" t="s">
        <v>67</v>
      </c>
      <c r="Q196" s="9">
        <v>7</v>
      </c>
      <c r="R196" s="12">
        <v>185.56</v>
      </c>
      <c r="S196" s="12">
        <f>VLOOKUP(O196,'Product-cost'!A:B,2,)</f>
        <v>50</v>
      </c>
      <c r="T196" s="9" t="s">
        <v>22</v>
      </c>
      <c r="U196" s="9" t="s">
        <v>29</v>
      </c>
      <c r="V196" s="9" t="s">
        <v>872</v>
      </c>
      <c r="W196" s="9" t="s">
        <v>896</v>
      </c>
      <c r="X196" s="12">
        <f t="shared" si="39"/>
        <v>1298.92</v>
      </c>
      <c r="Y196" s="12">
        <f t="shared" si="40"/>
        <v>350</v>
      </c>
      <c r="Z196" s="16">
        <f>VLOOKUP(T196,Taxrate!A:B,2,FALSE)</f>
        <v>0.1</v>
      </c>
      <c r="AA196" s="12">
        <f t="shared" si="41"/>
        <v>129.89200000000002</v>
      </c>
      <c r="AB196" s="16">
        <f>VLOOKUP('Sales Dataset'!O196,'Discount Rate'!A:B,2,)</f>
        <v>0.03</v>
      </c>
      <c r="AC196" s="12">
        <f t="shared" si="42"/>
        <v>10.5</v>
      </c>
      <c r="AD196" s="18">
        <f t="shared" si="43"/>
        <v>349.87</v>
      </c>
    </row>
    <row r="197" spans="1:30" ht="51" customHeight="1" x14ac:dyDescent="0.35">
      <c r="A197" s="9" t="s">
        <v>449</v>
      </c>
      <c r="B197" s="9" t="s">
        <v>450</v>
      </c>
      <c r="C197" s="9" t="s">
        <v>117</v>
      </c>
      <c r="D197" s="20" t="s">
        <v>19</v>
      </c>
      <c r="E197" s="9" t="s">
        <v>903</v>
      </c>
      <c r="F197" s="9" t="s">
        <v>904</v>
      </c>
      <c r="G197" s="8">
        <v>46252</v>
      </c>
      <c r="H197" s="7">
        <f t="shared" si="33"/>
        <v>2026</v>
      </c>
      <c r="I197" s="7" t="str">
        <f t="shared" si="34"/>
        <v>August</v>
      </c>
      <c r="J197" s="8" t="str">
        <f t="shared" si="35"/>
        <v>Tuesday</v>
      </c>
      <c r="K197" s="11">
        <v>0.55760416666666668</v>
      </c>
      <c r="L197" s="14">
        <f t="shared" si="36"/>
        <v>13</v>
      </c>
      <c r="M197" s="7">
        <f t="shared" si="37"/>
        <v>22</v>
      </c>
      <c r="N197" s="7">
        <f t="shared" si="38"/>
        <v>57</v>
      </c>
      <c r="O197" s="9" t="s">
        <v>66</v>
      </c>
      <c r="P197" s="9" t="s">
        <v>67</v>
      </c>
      <c r="Q197" s="9">
        <v>5</v>
      </c>
      <c r="R197" s="12">
        <v>126.97</v>
      </c>
      <c r="S197" s="12">
        <f>VLOOKUP(O197,'Product-cost'!A:B,2,)</f>
        <v>50</v>
      </c>
      <c r="T197" s="9" t="s">
        <v>22</v>
      </c>
      <c r="U197" s="9" t="s">
        <v>23</v>
      </c>
      <c r="V197" s="9" t="s">
        <v>872</v>
      </c>
      <c r="W197" s="9" t="s">
        <v>896</v>
      </c>
      <c r="X197" s="12">
        <f t="shared" si="39"/>
        <v>634.85</v>
      </c>
      <c r="Y197" s="12">
        <f t="shared" si="40"/>
        <v>250</v>
      </c>
      <c r="Z197" s="16">
        <f>VLOOKUP(T197,Taxrate!A:B,2,FALSE)</f>
        <v>0.1</v>
      </c>
      <c r="AA197" s="12">
        <f t="shared" si="41"/>
        <v>63.485000000000007</v>
      </c>
      <c r="AB197" s="16">
        <f>VLOOKUP('Sales Dataset'!O197,'Discount Rate'!A:B,2,)</f>
        <v>0.03</v>
      </c>
      <c r="AC197" s="12">
        <f t="shared" si="42"/>
        <v>7.5</v>
      </c>
      <c r="AD197" s="18">
        <f t="shared" si="43"/>
        <v>249.87</v>
      </c>
    </row>
    <row r="198" spans="1:30" ht="51" customHeight="1" x14ac:dyDescent="0.35">
      <c r="A198" s="9" t="s">
        <v>451</v>
      </c>
      <c r="B198" s="9" t="s">
        <v>191</v>
      </c>
      <c r="C198" s="9" t="s">
        <v>52</v>
      </c>
      <c r="D198" s="20" t="s">
        <v>53</v>
      </c>
      <c r="E198" s="9" t="s">
        <v>909</v>
      </c>
      <c r="F198" s="9" t="s">
        <v>910</v>
      </c>
      <c r="G198" s="8">
        <v>45198</v>
      </c>
      <c r="H198" s="7">
        <f t="shared" si="33"/>
        <v>2023</v>
      </c>
      <c r="I198" s="7" t="str">
        <f t="shared" si="34"/>
        <v>September</v>
      </c>
      <c r="J198" s="8" t="str">
        <f t="shared" si="35"/>
        <v>Friday</v>
      </c>
      <c r="K198" s="11">
        <v>0.88201388888888888</v>
      </c>
      <c r="L198" s="14">
        <f t="shared" si="36"/>
        <v>21</v>
      </c>
      <c r="M198" s="7">
        <f t="shared" si="37"/>
        <v>10</v>
      </c>
      <c r="N198" s="7">
        <f t="shared" si="38"/>
        <v>6</v>
      </c>
      <c r="O198" s="9" t="s">
        <v>66</v>
      </c>
      <c r="P198" s="9" t="s">
        <v>67</v>
      </c>
      <c r="Q198" s="9">
        <v>8</v>
      </c>
      <c r="R198" s="12">
        <v>170.88</v>
      </c>
      <c r="S198" s="12">
        <f>VLOOKUP(O198,'Product-cost'!A:B,2,)</f>
        <v>50</v>
      </c>
      <c r="T198" s="9" t="s">
        <v>28</v>
      </c>
      <c r="U198" s="9" t="s">
        <v>206</v>
      </c>
      <c r="V198" s="9" t="s">
        <v>876</v>
      </c>
      <c r="W198" s="9" t="s">
        <v>896</v>
      </c>
      <c r="X198" s="12">
        <f t="shared" si="39"/>
        <v>1367.04</v>
      </c>
      <c r="Y198" s="12">
        <f t="shared" si="40"/>
        <v>400</v>
      </c>
      <c r="Z198" s="16">
        <f>VLOOKUP(T198,Taxrate!A:B,2,FALSE)</f>
        <v>0.2</v>
      </c>
      <c r="AA198" s="12">
        <f t="shared" si="41"/>
        <v>273.40800000000002</v>
      </c>
      <c r="AB198" s="16">
        <f>VLOOKUP('Sales Dataset'!O198,'Discount Rate'!A:B,2,)</f>
        <v>0.03</v>
      </c>
      <c r="AC198" s="12">
        <f t="shared" si="42"/>
        <v>12</v>
      </c>
      <c r="AD198" s="18">
        <f t="shared" si="43"/>
        <v>399.77000000000004</v>
      </c>
    </row>
    <row r="199" spans="1:30" ht="51" customHeight="1" x14ac:dyDescent="0.35">
      <c r="A199" s="9" t="s">
        <v>452</v>
      </c>
      <c r="B199" s="9" t="s">
        <v>453</v>
      </c>
      <c r="C199" s="9" t="s">
        <v>38</v>
      </c>
      <c r="D199" s="20" t="s">
        <v>39</v>
      </c>
      <c r="E199" s="9" t="s">
        <v>907</v>
      </c>
      <c r="F199" s="9" t="s">
        <v>908</v>
      </c>
      <c r="G199" s="8">
        <v>45462</v>
      </c>
      <c r="H199" s="7">
        <f t="shared" si="33"/>
        <v>2024</v>
      </c>
      <c r="I199" s="7" t="str">
        <f t="shared" si="34"/>
        <v>June</v>
      </c>
      <c r="J199" s="8" t="str">
        <f t="shared" si="35"/>
        <v>Wednesday</v>
      </c>
      <c r="K199" s="11">
        <v>0.3652199074074074</v>
      </c>
      <c r="L199" s="14">
        <f t="shared" si="36"/>
        <v>8</v>
      </c>
      <c r="M199" s="7">
        <f t="shared" si="37"/>
        <v>45</v>
      </c>
      <c r="N199" s="7">
        <f t="shared" si="38"/>
        <v>55</v>
      </c>
      <c r="O199" s="9" t="s">
        <v>40</v>
      </c>
      <c r="P199" s="9" t="s">
        <v>41</v>
      </c>
      <c r="Q199" s="9">
        <v>10</v>
      </c>
      <c r="R199" s="12">
        <v>200.64</v>
      </c>
      <c r="S199" s="12">
        <f>VLOOKUP(O199,'Product-cost'!A:B,2,)</f>
        <v>150</v>
      </c>
      <c r="T199" s="9" t="s">
        <v>22</v>
      </c>
      <c r="U199" s="9" t="s">
        <v>73</v>
      </c>
      <c r="V199" s="9" t="s">
        <v>882</v>
      </c>
      <c r="W199" s="9" t="s">
        <v>895</v>
      </c>
      <c r="X199" s="12">
        <f t="shared" si="39"/>
        <v>2006.3999999999999</v>
      </c>
      <c r="Y199" s="12">
        <f t="shared" si="40"/>
        <v>1500</v>
      </c>
      <c r="Z199" s="16">
        <f>VLOOKUP(T199,Taxrate!A:B,2,FALSE)</f>
        <v>0.1</v>
      </c>
      <c r="AA199" s="12">
        <f t="shared" si="41"/>
        <v>200.64</v>
      </c>
      <c r="AB199" s="16">
        <f>VLOOKUP('Sales Dataset'!O199,'Discount Rate'!A:B,2,)</f>
        <v>7.0000000000000007E-2</v>
      </c>
      <c r="AC199" s="12">
        <f t="shared" si="42"/>
        <v>105.00000000000001</v>
      </c>
      <c r="AD199" s="18">
        <f t="shared" si="43"/>
        <v>1499.8300000000002</v>
      </c>
    </row>
    <row r="200" spans="1:30" ht="51" customHeight="1" x14ac:dyDescent="0.35">
      <c r="A200" s="9" t="s">
        <v>454</v>
      </c>
      <c r="B200" s="9" t="s">
        <v>455</v>
      </c>
      <c r="C200" s="9" t="s">
        <v>141</v>
      </c>
      <c r="D200" s="20" t="s">
        <v>142</v>
      </c>
      <c r="E200" s="9" t="s">
        <v>917</v>
      </c>
      <c r="F200" s="9" t="s">
        <v>918</v>
      </c>
      <c r="G200" s="8">
        <v>46070</v>
      </c>
      <c r="H200" s="7">
        <f t="shared" si="33"/>
        <v>2026</v>
      </c>
      <c r="I200" s="7" t="str">
        <f t="shared" si="34"/>
        <v>February</v>
      </c>
      <c r="J200" s="8" t="str">
        <f t="shared" si="35"/>
        <v>Tuesday</v>
      </c>
      <c r="K200" s="11">
        <v>0.36248842592592595</v>
      </c>
      <c r="L200" s="14">
        <f t="shared" si="36"/>
        <v>8</v>
      </c>
      <c r="M200" s="7">
        <f t="shared" si="37"/>
        <v>41</v>
      </c>
      <c r="N200" s="7">
        <f t="shared" si="38"/>
        <v>59</v>
      </c>
      <c r="O200" s="9" t="s">
        <v>20</v>
      </c>
      <c r="P200" s="9" t="s">
        <v>21</v>
      </c>
      <c r="Q200" s="9">
        <v>8</v>
      </c>
      <c r="R200" s="12">
        <v>740.82</v>
      </c>
      <c r="S200" s="12">
        <f>VLOOKUP(O200,'Product-cost'!A:B,2,)</f>
        <v>300</v>
      </c>
      <c r="T200" s="9" t="s">
        <v>45</v>
      </c>
      <c r="U200" s="9" t="s">
        <v>235</v>
      </c>
      <c r="V200" s="9" t="s">
        <v>872</v>
      </c>
      <c r="W200" s="9" t="s">
        <v>896</v>
      </c>
      <c r="X200" s="12">
        <f t="shared" si="39"/>
        <v>5926.56</v>
      </c>
      <c r="Y200" s="12">
        <f t="shared" si="40"/>
        <v>2400</v>
      </c>
      <c r="Z200" s="16">
        <f>VLOOKUP(T200,Taxrate!A:B,2,FALSE)</f>
        <v>7.0000000000000007E-2</v>
      </c>
      <c r="AA200" s="12">
        <f t="shared" si="41"/>
        <v>414.85920000000004</v>
      </c>
      <c r="AB200" s="16">
        <f>VLOOKUP('Sales Dataset'!O200,'Discount Rate'!A:B,2,)</f>
        <v>0.1</v>
      </c>
      <c r="AC200" s="12">
        <f t="shared" si="42"/>
        <v>240</v>
      </c>
      <c r="AD200" s="18">
        <f t="shared" si="43"/>
        <v>2399.83</v>
      </c>
    </row>
    <row r="201" spans="1:30" ht="51" customHeight="1" x14ac:dyDescent="0.35">
      <c r="A201" s="9" t="s">
        <v>456</v>
      </c>
      <c r="B201" s="9" t="s">
        <v>457</v>
      </c>
      <c r="C201" s="9" t="s">
        <v>18</v>
      </c>
      <c r="D201" s="20" t="s">
        <v>19</v>
      </c>
      <c r="E201" s="9" t="s">
        <v>903</v>
      </c>
      <c r="F201" s="9" t="s">
        <v>904</v>
      </c>
      <c r="G201" s="8">
        <v>45867</v>
      </c>
      <c r="H201" s="7">
        <f t="shared" si="33"/>
        <v>2025</v>
      </c>
      <c r="I201" s="7" t="str">
        <f t="shared" si="34"/>
        <v>July</v>
      </c>
      <c r="J201" s="8" t="str">
        <f t="shared" si="35"/>
        <v>Tuesday</v>
      </c>
      <c r="K201" s="11">
        <v>0.85865740740740737</v>
      </c>
      <c r="L201" s="14">
        <f t="shared" si="36"/>
        <v>20</v>
      </c>
      <c r="M201" s="7">
        <f t="shared" si="37"/>
        <v>36</v>
      </c>
      <c r="N201" s="7">
        <f t="shared" si="38"/>
        <v>28</v>
      </c>
      <c r="O201" s="9" t="s">
        <v>13</v>
      </c>
      <c r="P201" s="9" t="s">
        <v>14</v>
      </c>
      <c r="Q201" s="9">
        <v>8</v>
      </c>
      <c r="R201" s="12">
        <v>1290.3399999999999</v>
      </c>
      <c r="S201" s="12">
        <f>VLOOKUP(O201,'Product-cost'!A:B,2,)</f>
        <v>600</v>
      </c>
      <c r="T201" s="9" t="s">
        <v>45</v>
      </c>
      <c r="U201" s="9" t="s">
        <v>46</v>
      </c>
      <c r="V201" s="9" t="s">
        <v>868</v>
      </c>
      <c r="W201" s="9" t="s">
        <v>894</v>
      </c>
      <c r="X201" s="12">
        <f t="shared" si="39"/>
        <v>10322.719999999999</v>
      </c>
      <c r="Y201" s="12">
        <f t="shared" si="40"/>
        <v>4800</v>
      </c>
      <c r="Z201" s="16">
        <f>VLOOKUP(T201,Taxrate!A:B,2,FALSE)</f>
        <v>7.0000000000000007E-2</v>
      </c>
      <c r="AA201" s="12">
        <f t="shared" si="41"/>
        <v>722.59040000000005</v>
      </c>
      <c r="AB201" s="16">
        <f>VLOOKUP('Sales Dataset'!O201,'Discount Rate'!A:B,2,)</f>
        <v>0.05</v>
      </c>
      <c r="AC201" s="12">
        <f t="shared" si="42"/>
        <v>240</v>
      </c>
      <c r="AD201" s="18">
        <f t="shared" si="43"/>
        <v>4799.88</v>
      </c>
    </row>
    <row r="202" spans="1:30" ht="51" customHeight="1" x14ac:dyDescent="0.35">
      <c r="A202" s="9" t="s">
        <v>458</v>
      </c>
      <c r="B202" s="9" t="s">
        <v>459</v>
      </c>
      <c r="C202" s="9" t="s">
        <v>107</v>
      </c>
      <c r="D202" s="20" t="s">
        <v>53</v>
      </c>
      <c r="E202" s="9" t="s">
        <v>909</v>
      </c>
      <c r="F202" s="9" t="s">
        <v>910</v>
      </c>
      <c r="G202" s="8">
        <v>46062</v>
      </c>
      <c r="H202" s="7">
        <f t="shared" si="33"/>
        <v>2026</v>
      </c>
      <c r="I202" s="7" t="str">
        <f t="shared" si="34"/>
        <v>February</v>
      </c>
      <c r="J202" s="8" t="str">
        <f t="shared" si="35"/>
        <v>Monday</v>
      </c>
      <c r="K202" s="11">
        <v>0.5582407407407407</v>
      </c>
      <c r="L202" s="14">
        <f t="shared" si="36"/>
        <v>13</v>
      </c>
      <c r="M202" s="7">
        <f t="shared" si="37"/>
        <v>23</v>
      </c>
      <c r="N202" s="7">
        <f t="shared" si="38"/>
        <v>52</v>
      </c>
      <c r="O202" s="9" t="s">
        <v>13</v>
      </c>
      <c r="P202" s="9" t="s">
        <v>14</v>
      </c>
      <c r="Q202" s="9">
        <v>14</v>
      </c>
      <c r="R202" s="12">
        <v>1080.08</v>
      </c>
      <c r="S202" s="12">
        <f>VLOOKUP(O202,'Product-cost'!A:B,2,)</f>
        <v>600</v>
      </c>
      <c r="T202" s="9" t="s">
        <v>49</v>
      </c>
      <c r="U202" s="9" t="s">
        <v>206</v>
      </c>
      <c r="V202" s="9" t="s">
        <v>872</v>
      </c>
      <c r="W202" s="9" t="s">
        <v>896</v>
      </c>
      <c r="X202" s="12">
        <f t="shared" si="39"/>
        <v>15121.119999999999</v>
      </c>
      <c r="Y202" s="12">
        <f t="shared" si="40"/>
        <v>8400</v>
      </c>
      <c r="Z202" s="16">
        <f>VLOOKUP(T202,Taxrate!A:B,2,FALSE)</f>
        <v>0.12</v>
      </c>
      <c r="AA202" s="12">
        <f t="shared" si="41"/>
        <v>1814.5343999999998</v>
      </c>
      <c r="AB202" s="16">
        <f>VLOOKUP('Sales Dataset'!O202,'Discount Rate'!A:B,2,)</f>
        <v>0.05</v>
      </c>
      <c r="AC202" s="12">
        <f t="shared" si="42"/>
        <v>420</v>
      </c>
      <c r="AD202" s="18">
        <f t="shared" si="43"/>
        <v>8399.83</v>
      </c>
    </row>
    <row r="203" spans="1:30" ht="51" customHeight="1" x14ac:dyDescent="0.35">
      <c r="A203" s="9" t="s">
        <v>460</v>
      </c>
      <c r="B203" s="9" t="s">
        <v>461</v>
      </c>
      <c r="C203" s="9" t="s">
        <v>32</v>
      </c>
      <c r="D203" s="20" t="s">
        <v>33</v>
      </c>
      <c r="E203" s="9" t="s">
        <v>905</v>
      </c>
      <c r="F203" s="9" t="s">
        <v>906</v>
      </c>
      <c r="G203" s="8">
        <v>46048</v>
      </c>
      <c r="H203" s="7">
        <f t="shared" si="33"/>
        <v>2026</v>
      </c>
      <c r="I203" s="7" t="str">
        <f t="shared" si="34"/>
        <v>January</v>
      </c>
      <c r="J203" s="8" t="str">
        <f t="shared" si="35"/>
        <v>Monday</v>
      </c>
      <c r="K203" s="11">
        <v>0.79585648148148147</v>
      </c>
      <c r="L203" s="14">
        <f t="shared" si="36"/>
        <v>19</v>
      </c>
      <c r="M203" s="7">
        <f t="shared" si="37"/>
        <v>6</v>
      </c>
      <c r="N203" s="7">
        <f t="shared" si="38"/>
        <v>2</v>
      </c>
      <c r="O203" s="9" t="s">
        <v>20</v>
      </c>
      <c r="P203" s="9" t="s">
        <v>21</v>
      </c>
      <c r="Q203" s="9">
        <v>14</v>
      </c>
      <c r="R203" s="12">
        <v>696.47</v>
      </c>
      <c r="S203" s="12">
        <f>VLOOKUP(O203,'Product-cost'!A:B,2,)</f>
        <v>300</v>
      </c>
      <c r="T203" s="9" t="s">
        <v>45</v>
      </c>
      <c r="U203" s="9" t="s">
        <v>35</v>
      </c>
      <c r="V203" s="9" t="s">
        <v>879</v>
      </c>
      <c r="W203" s="9" t="s">
        <v>894</v>
      </c>
      <c r="X203" s="12">
        <f t="shared" si="39"/>
        <v>9750.58</v>
      </c>
      <c r="Y203" s="12">
        <f t="shared" si="40"/>
        <v>4200</v>
      </c>
      <c r="Z203" s="16">
        <f>VLOOKUP(T203,Taxrate!A:B,2,FALSE)</f>
        <v>7.0000000000000007E-2</v>
      </c>
      <c r="AA203" s="12">
        <f t="shared" si="41"/>
        <v>682.54060000000004</v>
      </c>
      <c r="AB203" s="16">
        <f>VLOOKUP('Sales Dataset'!O203,'Discount Rate'!A:B,2,)</f>
        <v>0.1</v>
      </c>
      <c r="AC203" s="12">
        <f t="shared" si="42"/>
        <v>420</v>
      </c>
      <c r="AD203" s="18">
        <f t="shared" si="43"/>
        <v>4199.83</v>
      </c>
    </row>
    <row r="204" spans="1:30" ht="51" customHeight="1" x14ac:dyDescent="0.35">
      <c r="A204" s="9" t="s">
        <v>462</v>
      </c>
      <c r="B204" s="9" t="s">
        <v>463</v>
      </c>
      <c r="C204" s="9" t="s">
        <v>11</v>
      </c>
      <c r="D204" s="20" t="s">
        <v>12</v>
      </c>
      <c r="E204" s="9" t="s">
        <v>901</v>
      </c>
      <c r="F204" s="9" t="s">
        <v>902</v>
      </c>
      <c r="G204" s="8">
        <v>45081</v>
      </c>
      <c r="H204" s="7">
        <f t="shared" si="33"/>
        <v>2023</v>
      </c>
      <c r="I204" s="7" t="str">
        <f t="shared" si="34"/>
        <v>June</v>
      </c>
      <c r="J204" s="8" t="str">
        <f t="shared" si="35"/>
        <v>Sunday</v>
      </c>
      <c r="K204" s="11">
        <v>0.87324074074074076</v>
      </c>
      <c r="L204" s="14">
        <f t="shared" si="36"/>
        <v>20</v>
      </c>
      <c r="M204" s="7">
        <f t="shared" si="37"/>
        <v>57</v>
      </c>
      <c r="N204" s="7">
        <f t="shared" si="38"/>
        <v>28</v>
      </c>
      <c r="O204" s="9" t="s">
        <v>66</v>
      </c>
      <c r="P204" s="9" t="s">
        <v>67</v>
      </c>
      <c r="Q204" s="9">
        <v>9</v>
      </c>
      <c r="R204" s="12">
        <v>157.41</v>
      </c>
      <c r="S204" s="12">
        <f>VLOOKUP(O204,'Product-cost'!A:B,2,)</f>
        <v>50</v>
      </c>
      <c r="T204" s="9" t="s">
        <v>49</v>
      </c>
      <c r="U204" s="9" t="s">
        <v>29</v>
      </c>
      <c r="V204" s="9" t="s">
        <v>875</v>
      </c>
      <c r="W204" s="9" t="s">
        <v>894</v>
      </c>
      <c r="X204" s="12">
        <f t="shared" si="39"/>
        <v>1416.69</v>
      </c>
      <c r="Y204" s="12">
        <f t="shared" si="40"/>
        <v>450</v>
      </c>
      <c r="Z204" s="16">
        <f>VLOOKUP(T204,Taxrate!A:B,2,FALSE)</f>
        <v>0.12</v>
      </c>
      <c r="AA204" s="12">
        <f t="shared" si="41"/>
        <v>170.00280000000001</v>
      </c>
      <c r="AB204" s="16">
        <f>VLOOKUP('Sales Dataset'!O204,'Discount Rate'!A:B,2,)</f>
        <v>0.03</v>
      </c>
      <c r="AC204" s="12">
        <f t="shared" si="42"/>
        <v>13.5</v>
      </c>
      <c r="AD204" s="18">
        <f t="shared" si="43"/>
        <v>449.85</v>
      </c>
    </row>
    <row r="205" spans="1:30" ht="51" customHeight="1" x14ac:dyDescent="0.35">
      <c r="A205" s="9" t="s">
        <v>464</v>
      </c>
      <c r="B205" s="9" t="s">
        <v>465</v>
      </c>
      <c r="C205" s="9" t="s">
        <v>150</v>
      </c>
      <c r="D205" s="20" t="s">
        <v>33</v>
      </c>
      <c r="E205" s="9" t="s">
        <v>905</v>
      </c>
      <c r="F205" s="9" t="s">
        <v>906</v>
      </c>
      <c r="G205" s="8">
        <v>45189</v>
      </c>
      <c r="H205" s="7">
        <f t="shared" si="33"/>
        <v>2023</v>
      </c>
      <c r="I205" s="7" t="str">
        <f t="shared" si="34"/>
        <v>September</v>
      </c>
      <c r="J205" s="8" t="str">
        <f t="shared" si="35"/>
        <v>Wednesday</v>
      </c>
      <c r="K205" s="11">
        <v>0.61293981481481485</v>
      </c>
      <c r="L205" s="14">
        <f t="shared" si="36"/>
        <v>14</v>
      </c>
      <c r="M205" s="7">
        <f t="shared" si="37"/>
        <v>42</v>
      </c>
      <c r="N205" s="7">
        <f t="shared" si="38"/>
        <v>38</v>
      </c>
      <c r="O205" s="9" t="s">
        <v>40</v>
      </c>
      <c r="P205" s="9" t="s">
        <v>41</v>
      </c>
      <c r="Q205" s="9">
        <v>9</v>
      </c>
      <c r="R205" s="12">
        <v>222.05</v>
      </c>
      <c r="S205" s="12">
        <f>VLOOKUP(O205,'Product-cost'!A:B,2,)</f>
        <v>150</v>
      </c>
      <c r="T205" s="9" t="s">
        <v>49</v>
      </c>
      <c r="U205" s="9" t="s">
        <v>77</v>
      </c>
      <c r="V205" s="9" t="s">
        <v>878</v>
      </c>
      <c r="W205" s="9" t="s">
        <v>894</v>
      </c>
      <c r="X205" s="12">
        <f t="shared" si="39"/>
        <v>1998.45</v>
      </c>
      <c r="Y205" s="12">
        <f t="shared" si="40"/>
        <v>1350</v>
      </c>
      <c r="Z205" s="16">
        <f>VLOOKUP(T205,Taxrate!A:B,2,FALSE)</f>
        <v>0.12</v>
      </c>
      <c r="AA205" s="12">
        <f t="shared" si="41"/>
        <v>239.81399999999999</v>
      </c>
      <c r="AB205" s="16">
        <f>VLOOKUP('Sales Dataset'!O205,'Discount Rate'!A:B,2,)</f>
        <v>7.0000000000000007E-2</v>
      </c>
      <c r="AC205" s="12">
        <f t="shared" si="42"/>
        <v>94.500000000000014</v>
      </c>
      <c r="AD205" s="18">
        <f t="shared" si="43"/>
        <v>1349.8100000000002</v>
      </c>
    </row>
    <row r="206" spans="1:30" ht="51" customHeight="1" x14ac:dyDescent="0.35">
      <c r="A206" s="9" t="s">
        <v>466</v>
      </c>
      <c r="B206" s="9" t="s">
        <v>467</v>
      </c>
      <c r="C206" s="9" t="s">
        <v>83</v>
      </c>
      <c r="D206" s="20" t="s">
        <v>84</v>
      </c>
      <c r="E206" s="9" t="s">
        <v>913</v>
      </c>
      <c r="F206" s="9" t="s">
        <v>914</v>
      </c>
      <c r="G206" s="8">
        <v>45976</v>
      </c>
      <c r="H206" s="7">
        <f t="shared" si="33"/>
        <v>2025</v>
      </c>
      <c r="I206" s="7" t="str">
        <f t="shared" si="34"/>
        <v>November</v>
      </c>
      <c r="J206" s="8" t="str">
        <f t="shared" si="35"/>
        <v>Saturday</v>
      </c>
      <c r="K206" s="11">
        <v>0.90596064814814814</v>
      </c>
      <c r="L206" s="14">
        <f t="shared" si="36"/>
        <v>21</v>
      </c>
      <c r="M206" s="7">
        <f t="shared" si="37"/>
        <v>44</v>
      </c>
      <c r="N206" s="7">
        <f t="shared" si="38"/>
        <v>35</v>
      </c>
      <c r="O206" s="9" t="s">
        <v>26</v>
      </c>
      <c r="P206" s="9" t="s">
        <v>27</v>
      </c>
      <c r="Q206" s="9">
        <v>15</v>
      </c>
      <c r="R206" s="12">
        <v>363.47</v>
      </c>
      <c r="S206" s="12">
        <f>VLOOKUP(O206,'Product-cost'!A:B,2,)</f>
        <v>200</v>
      </c>
      <c r="T206" s="9" t="s">
        <v>28</v>
      </c>
      <c r="U206" s="9" t="s">
        <v>85</v>
      </c>
      <c r="V206" s="9" t="s">
        <v>876</v>
      </c>
      <c r="W206" s="9" t="s">
        <v>896</v>
      </c>
      <c r="X206" s="12">
        <f t="shared" si="39"/>
        <v>5452.05</v>
      </c>
      <c r="Y206" s="12">
        <f t="shared" si="40"/>
        <v>3000</v>
      </c>
      <c r="Z206" s="16">
        <f>VLOOKUP(T206,Taxrate!A:B,2,FALSE)</f>
        <v>0.2</v>
      </c>
      <c r="AA206" s="12">
        <f t="shared" si="41"/>
        <v>1090.4100000000001</v>
      </c>
      <c r="AB206" s="16">
        <f>VLOOKUP('Sales Dataset'!O206,'Discount Rate'!A:B,2,)</f>
        <v>0.08</v>
      </c>
      <c r="AC206" s="12">
        <f t="shared" si="42"/>
        <v>240</v>
      </c>
      <c r="AD206" s="18">
        <f t="shared" si="43"/>
        <v>2999.7200000000003</v>
      </c>
    </row>
    <row r="207" spans="1:30" ht="51" customHeight="1" x14ac:dyDescent="0.35">
      <c r="A207" s="9" t="s">
        <v>468</v>
      </c>
      <c r="B207" s="9" t="s">
        <v>469</v>
      </c>
      <c r="C207" s="9" t="s">
        <v>57</v>
      </c>
      <c r="D207" s="20" t="s">
        <v>12</v>
      </c>
      <c r="E207" s="9" t="s">
        <v>901</v>
      </c>
      <c r="F207" s="9" t="s">
        <v>902</v>
      </c>
      <c r="G207" s="8">
        <v>46381</v>
      </c>
      <c r="H207" s="7">
        <f t="shared" si="33"/>
        <v>2026</v>
      </c>
      <c r="I207" s="7" t="str">
        <f t="shared" si="34"/>
        <v>December</v>
      </c>
      <c r="J207" s="8" t="str">
        <f t="shared" si="35"/>
        <v>Friday</v>
      </c>
      <c r="K207" s="11">
        <v>0.84901620370370368</v>
      </c>
      <c r="L207" s="14">
        <f t="shared" si="36"/>
        <v>20</v>
      </c>
      <c r="M207" s="7">
        <f t="shared" si="37"/>
        <v>22</v>
      </c>
      <c r="N207" s="7">
        <f t="shared" si="38"/>
        <v>35</v>
      </c>
      <c r="O207" s="9" t="s">
        <v>66</v>
      </c>
      <c r="P207" s="9" t="s">
        <v>67</v>
      </c>
      <c r="Q207" s="9">
        <v>11</v>
      </c>
      <c r="R207" s="12">
        <v>170.57</v>
      </c>
      <c r="S207" s="12">
        <f>VLOOKUP(O207,'Product-cost'!A:B,2,)</f>
        <v>50</v>
      </c>
      <c r="T207" s="9" t="s">
        <v>49</v>
      </c>
      <c r="U207" s="9" t="s">
        <v>15</v>
      </c>
      <c r="V207" s="9" t="s">
        <v>872</v>
      </c>
      <c r="W207" s="9" t="s">
        <v>896</v>
      </c>
      <c r="X207" s="12">
        <f t="shared" si="39"/>
        <v>1876.27</v>
      </c>
      <c r="Y207" s="12">
        <f t="shared" si="40"/>
        <v>550</v>
      </c>
      <c r="Z207" s="16">
        <f>VLOOKUP(T207,Taxrate!A:B,2,FALSE)</f>
        <v>0.12</v>
      </c>
      <c r="AA207" s="12">
        <f t="shared" si="41"/>
        <v>225.1524</v>
      </c>
      <c r="AB207" s="16">
        <f>VLOOKUP('Sales Dataset'!O207,'Discount Rate'!A:B,2,)</f>
        <v>0.03</v>
      </c>
      <c r="AC207" s="12">
        <f t="shared" si="42"/>
        <v>16.5</v>
      </c>
      <c r="AD207" s="18">
        <f t="shared" si="43"/>
        <v>549.85</v>
      </c>
    </row>
    <row r="208" spans="1:30" ht="51" customHeight="1" x14ac:dyDescent="0.35">
      <c r="A208" s="9" t="s">
        <v>470</v>
      </c>
      <c r="B208" s="9" t="s">
        <v>471</v>
      </c>
      <c r="C208" s="9" t="s">
        <v>163</v>
      </c>
      <c r="D208" s="20" t="s">
        <v>53</v>
      </c>
      <c r="E208" s="9" t="s">
        <v>909</v>
      </c>
      <c r="F208" s="9" t="s">
        <v>910</v>
      </c>
      <c r="G208" s="8">
        <v>45256</v>
      </c>
      <c r="H208" s="7">
        <f t="shared" si="33"/>
        <v>2023</v>
      </c>
      <c r="I208" s="7" t="str">
        <f t="shared" si="34"/>
        <v>November</v>
      </c>
      <c r="J208" s="8" t="str">
        <f t="shared" si="35"/>
        <v>Sunday</v>
      </c>
      <c r="K208" s="11">
        <v>0.76121527777777775</v>
      </c>
      <c r="L208" s="14">
        <f t="shared" si="36"/>
        <v>18</v>
      </c>
      <c r="M208" s="7">
        <f t="shared" si="37"/>
        <v>16</v>
      </c>
      <c r="N208" s="7">
        <f t="shared" si="38"/>
        <v>9</v>
      </c>
      <c r="O208" s="9" t="s">
        <v>13</v>
      </c>
      <c r="P208" s="9" t="s">
        <v>14</v>
      </c>
      <c r="Q208" s="9">
        <v>5</v>
      </c>
      <c r="R208" s="12">
        <v>1070.5899999999999</v>
      </c>
      <c r="S208" s="12">
        <f>VLOOKUP(O208,'Product-cost'!A:B,2,)</f>
        <v>600</v>
      </c>
      <c r="T208" s="9" t="s">
        <v>22</v>
      </c>
      <c r="U208" s="9" t="s">
        <v>206</v>
      </c>
      <c r="V208" s="9" t="s">
        <v>871</v>
      </c>
      <c r="W208" s="9" t="s">
        <v>894</v>
      </c>
      <c r="X208" s="12">
        <f t="shared" si="39"/>
        <v>5352.95</v>
      </c>
      <c r="Y208" s="12">
        <f t="shared" si="40"/>
        <v>3000</v>
      </c>
      <c r="Z208" s="16">
        <f>VLOOKUP(T208,Taxrate!A:B,2,FALSE)</f>
        <v>0.1</v>
      </c>
      <c r="AA208" s="12">
        <f t="shared" si="41"/>
        <v>535.29499999999996</v>
      </c>
      <c r="AB208" s="16">
        <f>VLOOKUP('Sales Dataset'!O208,'Discount Rate'!A:B,2,)</f>
        <v>0.05</v>
      </c>
      <c r="AC208" s="12">
        <f t="shared" si="42"/>
        <v>150</v>
      </c>
      <c r="AD208" s="18">
        <f t="shared" si="43"/>
        <v>2999.85</v>
      </c>
    </row>
    <row r="209" spans="1:30" ht="51" customHeight="1" x14ac:dyDescent="0.35">
      <c r="A209" s="9" t="s">
        <v>472</v>
      </c>
      <c r="B209" s="9" t="s">
        <v>473</v>
      </c>
      <c r="C209" s="9" t="s">
        <v>107</v>
      </c>
      <c r="D209" s="20" t="s">
        <v>53</v>
      </c>
      <c r="E209" s="9" t="s">
        <v>909</v>
      </c>
      <c r="F209" s="9" t="s">
        <v>910</v>
      </c>
      <c r="G209" s="8">
        <v>45708</v>
      </c>
      <c r="H209" s="7">
        <f t="shared" si="33"/>
        <v>2025</v>
      </c>
      <c r="I209" s="7" t="str">
        <f t="shared" si="34"/>
        <v>February</v>
      </c>
      <c r="J209" s="8" t="str">
        <f t="shared" si="35"/>
        <v>Thursday</v>
      </c>
      <c r="K209" s="11">
        <v>0.6185532407407407</v>
      </c>
      <c r="L209" s="14">
        <f t="shared" si="36"/>
        <v>14</v>
      </c>
      <c r="M209" s="7">
        <f t="shared" si="37"/>
        <v>50</v>
      </c>
      <c r="N209" s="7">
        <f t="shared" si="38"/>
        <v>43</v>
      </c>
      <c r="O209" s="9" t="s">
        <v>26</v>
      </c>
      <c r="P209" s="9" t="s">
        <v>27</v>
      </c>
      <c r="Q209" s="9">
        <v>1</v>
      </c>
      <c r="R209" s="12">
        <v>500</v>
      </c>
      <c r="S209" s="12">
        <f>VLOOKUP(O209,'Product-cost'!A:B,2,)</f>
        <v>200</v>
      </c>
      <c r="T209" s="9" t="s">
        <v>22</v>
      </c>
      <c r="U209" s="9" t="s">
        <v>206</v>
      </c>
      <c r="V209" s="9" t="s">
        <v>874</v>
      </c>
      <c r="W209" s="9" t="s">
        <v>894</v>
      </c>
      <c r="X209" s="12">
        <f t="shared" si="39"/>
        <v>500</v>
      </c>
      <c r="Y209" s="12">
        <f t="shared" si="40"/>
        <v>200</v>
      </c>
      <c r="Z209" s="16">
        <f>VLOOKUP(T209,Taxrate!A:B,2,FALSE)</f>
        <v>0.1</v>
      </c>
      <c r="AA209" s="12">
        <f t="shared" si="41"/>
        <v>50</v>
      </c>
      <c r="AB209" s="16">
        <f>VLOOKUP('Sales Dataset'!O209,'Discount Rate'!A:B,2,)</f>
        <v>0.08</v>
      </c>
      <c r="AC209" s="12">
        <f t="shared" si="42"/>
        <v>16</v>
      </c>
      <c r="AD209" s="18">
        <f t="shared" si="43"/>
        <v>199.82</v>
      </c>
    </row>
    <row r="210" spans="1:30" ht="51" customHeight="1" x14ac:dyDescent="0.35">
      <c r="A210" s="9" t="s">
        <v>474</v>
      </c>
      <c r="B210" s="9" t="s">
        <v>475</v>
      </c>
      <c r="C210" s="9" t="s">
        <v>32</v>
      </c>
      <c r="D210" s="20" t="s">
        <v>33</v>
      </c>
      <c r="E210" s="9" t="s">
        <v>905</v>
      </c>
      <c r="F210" s="9" t="s">
        <v>906</v>
      </c>
      <c r="G210" s="8">
        <v>45293</v>
      </c>
      <c r="H210" s="7">
        <f t="shared" si="33"/>
        <v>2024</v>
      </c>
      <c r="I210" s="7" t="str">
        <f t="shared" si="34"/>
        <v>January</v>
      </c>
      <c r="J210" s="8" t="str">
        <f t="shared" si="35"/>
        <v>Tuesday</v>
      </c>
      <c r="K210" s="11">
        <v>0.63313657407407409</v>
      </c>
      <c r="L210" s="14">
        <f t="shared" si="36"/>
        <v>15</v>
      </c>
      <c r="M210" s="7">
        <f t="shared" si="37"/>
        <v>11</v>
      </c>
      <c r="N210" s="7">
        <f t="shared" si="38"/>
        <v>43</v>
      </c>
      <c r="O210" s="9" t="s">
        <v>13</v>
      </c>
      <c r="P210" s="9" t="s">
        <v>14</v>
      </c>
      <c r="Q210" s="9">
        <v>3</v>
      </c>
      <c r="R210" s="12">
        <v>859.68</v>
      </c>
      <c r="S210" s="12">
        <f>VLOOKUP(O210,'Product-cost'!A:B,2,)</f>
        <v>600</v>
      </c>
      <c r="T210" s="9" t="s">
        <v>45</v>
      </c>
      <c r="U210" s="9" t="s">
        <v>77</v>
      </c>
      <c r="V210" s="9" t="s">
        <v>872</v>
      </c>
      <c r="W210" s="9" t="s">
        <v>896</v>
      </c>
      <c r="X210" s="12">
        <f t="shared" si="39"/>
        <v>2579.04</v>
      </c>
      <c r="Y210" s="12">
        <f t="shared" si="40"/>
        <v>1800</v>
      </c>
      <c r="Z210" s="16">
        <f>VLOOKUP(T210,Taxrate!A:B,2,FALSE)</f>
        <v>7.0000000000000007E-2</v>
      </c>
      <c r="AA210" s="12">
        <f t="shared" si="41"/>
        <v>180.53280000000001</v>
      </c>
      <c r="AB210" s="16">
        <f>VLOOKUP('Sales Dataset'!O210,'Discount Rate'!A:B,2,)</f>
        <v>0.05</v>
      </c>
      <c r="AC210" s="12">
        <f t="shared" si="42"/>
        <v>90</v>
      </c>
      <c r="AD210" s="18">
        <f t="shared" si="43"/>
        <v>1799.88</v>
      </c>
    </row>
    <row r="211" spans="1:30" ht="51" customHeight="1" x14ac:dyDescent="0.35">
      <c r="A211" s="9" t="s">
        <v>476</v>
      </c>
      <c r="B211" s="9" t="s">
        <v>301</v>
      </c>
      <c r="C211" s="9" t="s">
        <v>117</v>
      </c>
      <c r="D211" s="20" t="s">
        <v>19</v>
      </c>
      <c r="E211" s="9" t="s">
        <v>903</v>
      </c>
      <c r="F211" s="9" t="s">
        <v>904</v>
      </c>
      <c r="G211" s="8">
        <v>46208</v>
      </c>
      <c r="H211" s="7">
        <f t="shared" si="33"/>
        <v>2026</v>
      </c>
      <c r="I211" s="7" t="str">
        <f t="shared" si="34"/>
        <v>July</v>
      </c>
      <c r="J211" s="8" t="str">
        <f t="shared" si="35"/>
        <v>Sunday</v>
      </c>
      <c r="K211" s="11">
        <v>0.87476851851851856</v>
      </c>
      <c r="L211" s="14">
        <f t="shared" si="36"/>
        <v>20</v>
      </c>
      <c r="M211" s="7">
        <f t="shared" si="37"/>
        <v>59</v>
      </c>
      <c r="N211" s="7">
        <f t="shared" si="38"/>
        <v>40</v>
      </c>
      <c r="O211" s="9" t="s">
        <v>40</v>
      </c>
      <c r="P211" s="9" t="s">
        <v>41</v>
      </c>
      <c r="Q211" s="9">
        <v>5</v>
      </c>
      <c r="R211" s="12">
        <v>238.99</v>
      </c>
      <c r="S211" s="12">
        <f>VLOOKUP(O211,'Product-cost'!A:B,2,)</f>
        <v>150</v>
      </c>
      <c r="T211" s="9" t="s">
        <v>22</v>
      </c>
      <c r="U211" s="9" t="s">
        <v>130</v>
      </c>
      <c r="V211" s="9" t="s">
        <v>877</v>
      </c>
      <c r="W211" s="9" t="s">
        <v>894</v>
      </c>
      <c r="X211" s="12">
        <f t="shared" si="39"/>
        <v>1194.95</v>
      </c>
      <c r="Y211" s="12">
        <f t="shared" si="40"/>
        <v>750</v>
      </c>
      <c r="Z211" s="16">
        <f>VLOOKUP(T211,Taxrate!A:B,2,FALSE)</f>
        <v>0.1</v>
      </c>
      <c r="AA211" s="12">
        <f t="shared" si="41"/>
        <v>119.495</v>
      </c>
      <c r="AB211" s="16">
        <f>VLOOKUP('Sales Dataset'!O211,'Discount Rate'!A:B,2,)</f>
        <v>7.0000000000000007E-2</v>
      </c>
      <c r="AC211" s="12">
        <f t="shared" si="42"/>
        <v>52.500000000000007</v>
      </c>
      <c r="AD211" s="18">
        <f t="shared" si="43"/>
        <v>749.82999999999993</v>
      </c>
    </row>
    <row r="212" spans="1:30" ht="51" customHeight="1" x14ac:dyDescent="0.35">
      <c r="A212" s="9" t="s">
        <v>477</v>
      </c>
      <c r="B212" s="9" t="s">
        <v>478</v>
      </c>
      <c r="C212" s="9" t="s">
        <v>57</v>
      </c>
      <c r="D212" s="20" t="s">
        <v>12</v>
      </c>
      <c r="E212" s="9" t="s">
        <v>901</v>
      </c>
      <c r="F212" s="9" t="s">
        <v>902</v>
      </c>
      <c r="G212" s="8">
        <v>45145</v>
      </c>
      <c r="H212" s="7">
        <f t="shared" si="33"/>
        <v>2023</v>
      </c>
      <c r="I212" s="7" t="str">
        <f t="shared" si="34"/>
        <v>August</v>
      </c>
      <c r="J212" s="8" t="str">
        <f t="shared" si="35"/>
        <v>Monday</v>
      </c>
      <c r="K212" s="11">
        <v>0.49737268518518518</v>
      </c>
      <c r="L212" s="14">
        <f t="shared" si="36"/>
        <v>11</v>
      </c>
      <c r="M212" s="7">
        <f t="shared" si="37"/>
        <v>56</v>
      </c>
      <c r="N212" s="7">
        <f t="shared" si="38"/>
        <v>13</v>
      </c>
      <c r="O212" s="9" t="s">
        <v>26</v>
      </c>
      <c r="P212" s="9" t="s">
        <v>27</v>
      </c>
      <c r="Q212" s="9">
        <v>5</v>
      </c>
      <c r="R212" s="12">
        <v>470.53</v>
      </c>
      <c r="S212" s="12">
        <f>VLOOKUP(O212,'Product-cost'!A:B,2,)</f>
        <v>200</v>
      </c>
      <c r="T212" s="9" t="s">
        <v>49</v>
      </c>
      <c r="U212" s="9" t="s">
        <v>15</v>
      </c>
      <c r="V212" s="9" t="s">
        <v>872</v>
      </c>
      <c r="W212" s="9" t="s">
        <v>896</v>
      </c>
      <c r="X212" s="12">
        <f t="shared" si="39"/>
        <v>2352.6499999999996</v>
      </c>
      <c r="Y212" s="12">
        <f t="shared" si="40"/>
        <v>1000</v>
      </c>
      <c r="Z212" s="16">
        <f>VLOOKUP(T212,Taxrate!A:B,2,FALSE)</f>
        <v>0.12</v>
      </c>
      <c r="AA212" s="12">
        <f t="shared" si="41"/>
        <v>282.31799999999993</v>
      </c>
      <c r="AB212" s="16">
        <f>VLOOKUP('Sales Dataset'!O212,'Discount Rate'!A:B,2,)</f>
        <v>0.08</v>
      </c>
      <c r="AC212" s="12">
        <f t="shared" si="42"/>
        <v>80</v>
      </c>
      <c r="AD212" s="18">
        <f t="shared" si="43"/>
        <v>999.8</v>
      </c>
    </row>
    <row r="213" spans="1:30" ht="51" customHeight="1" x14ac:dyDescent="0.35">
      <c r="A213" s="9" t="s">
        <v>479</v>
      </c>
      <c r="B213" s="9" t="s">
        <v>306</v>
      </c>
      <c r="C213" s="9" t="s">
        <v>83</v>
      </c>
      <c r="D213" s="20" t="s">
        <v>84</v>
      </c>
      <c r="E213" s="9" t="s">
        <v>913</v>
      </c>
      <c r="F213" s="9" t="s">
        <v>914</v>
      </c>
      <c r="G213" s="8">
        <v>45426</v>
      </c>
      <c r="H213" s="7">
        <f t="shared" si="33"/>
        <v>2024</v>
      </c>
      <c r="I213" s="7" t="str">
        <f t="shared" si="34"/>
        <v>May</v>
      </c>
      <c r="J213" s="8" t="str">
        <f t="shared" si="35"/>
        <v>Tuesday</v>
      </c>
      <c r="K213" s="11">
        <v>0.78912037037037042</v>
      </c>
      <c r="L213" s="14">
        <f t="shared" si="36"/>
        <v>18</v>
      </c>
      <c r="M213" s="7">
        <f t="shared" si="37"/>
        <v>56</v>
      </c>
      <c r="N213" s="7">
        <f t="shared" si="38"/>
        <v>20</v>
      </c>
      <c r="O213" s="9" t="s">
        <v>66</v>
      </c>
      <c r="P213" s="9" t="s">
        <v>67</v>
      </c>
      <c r="Q213" s="9">
        <v>2</v>
      </c>
      <c r="R213" s="12">
        <v>160.52000000000001</v>
      </c>
      <c r="S213" s="12">
        <f>VLOOKUP(O213,'Product-cost'!A:B,2,)</f>
        <v>50</v>
      </c>
      <c r="T213" s="9" t="s">
        <v>22</v>
      </c>
      <c r="U213" s="9" t="s">
        <v>85</v>
      </c>
      <c r="V213" s="9" t="s">
        <v>881</v>
      </c>
      <c r="W213" s="9" t="s">
        <v>894</v>
      </c>
      <c r="X213" s="12">
        <f t="shared" si="39"/>
        <v>321.04000000000002</v>
      </c>
      <c r="Y213" s="12">
        <f t="shared" si="40"/>
        <v>100</v>
      </c>
      <c r="Z213" s="16">
        <f>VLOOKUP(T213,Taxrate!A:B,2,FALSE)</f>
        <v>0.1</v>
      </c>
      <c r="AA213" s="12">
        <f t="shared" si="41"/>
        <v>32.104000000000006</v>
      </c>
      <c r="AB213" s="16">
        <f>VLOOKUP('Sales Dataset'!O213,'Discount Rate'!A:B,2,)</f>
        <v>0.03</v>
      </c>
      <c r="AC213" s="12">
        <f t="shared" si="42"/>
        <v>3</v>
      </c>
      <c r="AD213" s="18">
        <f t="shared" si="43"/>
        <v>99.87</v>
      </c>
    </row>
    <row r="214" spans="1:30" ht="51" customHeight="1" x14ac:dyDescent="0.35">
      <c r="A214" s="9" t="s">
        <v>480</v>
      </c>
      <c r="B214" s="9" t="s">
        <v>481</v>
      </c>
      <c r="C214" s="9" t="s">
        <v>163</v>
      </c>
      <c r="D214" s="20" t="s">
        <v>53</v>
      </c>
      <c r="E214" s="9" t="s">
        <v>909</v>
      </c>
      <c r="F214" s="9" t="s">
        <v>910</v>
      </c>
      <c r="G214" s="8">
        <v>45979</v>
      </c>
      <c r="H214" s="7">
        <f t="shared" si="33"/>
        <v>2025</v>
      </c>
      <c r="I214" s="7" t="str">
        <f t="shared" si="34"/>
        <v>November</v>
      </c>
      <c r="J214" s="8" t="str">
        <f t="shared" si="35"/>
        <v>Tuesday</v>
      </c>
      <c r="K214" s="11">
        <v>0.3825115740740741</v>
      </c>
      <c r="L214" s="14">
        <f t="shared" si="36"/>
        <v>9</v>
      </c>
      <c r="M214" s="7">
        <f t="shared" si="37"/>
        <v>10</v>
      </c>
      <c r="N214" s="7">
        <f t="shared" si="38"/>
        <v>49</v>
      </c>
      <c r="O214" s="9" t="s">
        <v>40</v>
      </c>
      <c r="P214" s="9" t="s">
        <v>41</v>
      </c>
      <c r="Q214" s="9">
        <v>11</v>
      </c>
      <c r="R214" s="12">
        <v>500</v>
      </c>
      <c r="S214" s="12">
        <f>VLOOKUP(O214,'Product-cost'!A:B,2,)</f>
        <v>150</v>
      </c>
      <c r="T214" s="9" t="s">
        <v>28</v>
      </c>
      <c r="U214" s="9" t="s">
        <v>206</v>
      </c>
      <c r="V214" s="9" t="s">
        <v>882</v>
      </c>
      <c r="W214" s="9" t="s">
        <v>895</v>
      </c>
      <c r="X214" s="12">
        <f t="shared" si="39"/>
        <v>5500</v>
      </c>
      <c r="Y214" s="12">
        <f t="shared" si="40"/>
        <v>1650</v>
      </c>
      <c r="Z214" s="16">
        <f>VLOOKUP(T214,Taxrate!A:B,2,FALSE)</f>
        <v>0.2</v>
      </c>
      <c r="AA214" s="12">
        <f t="shared" si="41"/>
        <v>1100</v>
      </c>
      <c r="AB214" s="16">
        <f>VLOOKUP('Sales Dataset'!O214,'Discount Rate'!A:B,2,)</f>
        <v>7.0000000000000007E-2</v>
      </c>
      <c r="AC214" s="12">
        <f t="shared" si="42"/>
        <v>115.50000000000001</v>
      </c>
      <c r="AD214" s="18">
        <f t="shared" si="43"/>
        <v>1649.73</v>
      </c>
    </row>
    <row r="215" spans="1:30" ht="51" customHeight="1" x14ac:dyDescent="0.35">
      <c r="A215" s="9" t="s">
        <v>482</v>
      </c>
      <c r="B215" s="9" t="s">
        <v>483</v>
      </c>
      <c r="C215" s="9" t="s">
        <v>369</v>
      </c>
      <c r="D215" s="20" t="s">
        <v>39</v>
      </c>
      <c r="E215" s="9" t="s">
        <v>907</v>
      </c>
      <c r="F215" s="9" t="s">
        <v>908</v>
      </c>
      <c r="G215" s="8">
        <v>45576</v>
      </c>
      <c r="H215" s="7">
        <f t="shared" si="33"/>
        <v>2024</v>
      </c>
      <c r="I215" s="7" t="str">
        <f t="shared" si="34"/>
        <v>October</v>
      </c>
      <c r="J215" s="8" t="str">
        <f t="shared" si="35"/>
        <v>Friday</v>
      </c>
      <c r="K215" s="11">
        <v>0.3778125</v>
      </c>
      <c r="L215" s="14">
        <f t="shared" si="36"/>
        <v>9</v>
      </c>
      <c r="M215" s="7">
        <f t="shared" si="37"/>
        <v>4</v>
      </c>
      <c r="N215" s="7">
        <f t="shared" si="38"/>
        <v>3</v>
      </c>
      <c r="O215" s="9" t="s">
        <v>20</v>
      </c>
      <c r="P215" s="9" t="s">
        <v>21</v>
      </c>
      <c r="Q215" s="9">
        <v>9</v>
      </c>
      <c r="R215" s="12">
        <v>500</v>
      </c>
      <c r="S215" s="12">
        <f>VLOOKUP(O215,'Product-cost'!A:B,2,)</f>
        <v>300</v>
      </c>
      <c r="T215" s="9" t="s">
        <v>28</v>
      </c>
      <c r="U215" s="9" t="s">
        <v>42</v>
      </c>
      <c r="V215" s="9" t="s">
        <v>879</v>
      </c>
      <c r="W215" s="9" t="s">
        <v>894</v>
      </c>
      <c r="X215" s="12">
        <f t="shared" si="39"/>
        <v>4500</v>
      </c>
      <c r="Y215" s="12">
        <f t="shared" si="40"/>
        <v>2700</v>
      </c>
      <c r="Z215" s="16">
        <f>VLOOKUP(T215,Taxrate!A:B,2,FALSE)</f>
        <v>0.2</v>
      </c>
      <c r="AA215" s="12">
        <f t="shared" si="41"/>
        <v>900</v>
      </c>
      <c r="AB215" s="16">
        <f>VLOOKUP('Sales Dataset'!O215,'Discount Rate'!A:B,2,)</f>
        <v>0.1</v>
      </c>
      <c r="AC215" s="12">
        <f t="shared" si="42"/>
        <v>270</v>
      </c>
      <c r="AD215" s="18">
        <f t="shared" si="43"/>
        <v>2699.7000000000003</v>
      </c>
    </row>
    <row r="216" spans="1:30" ht="51" customHeight="1" x14ac:dyDescent="0.35">
      <c r="A216" s="9" t="s">
        <v>484</v>
      </c>
      <c r="B216" s="9" t="s">
        <v>277</v>
      </c>
      <c r="C216" s="9" t="s">
        <v>369</v>
      </c>
      <c r="D216" s="20" t="s">
        <v>39</v>
      </c>
      <c r="E216" s="9" t="s">
        <v>907</v>
      </c>
      <c r="F216" s="9" t="s">
        <v>908</v>
      </c>
      <c r="G216" s="8">
        <v>46193</v>
      </c>
      <c r="H216" s="7">
        <f t="shared" si="33"/>
        <v>2026</v>
      </c>
      <c r="I216" s="7" t="str">
        <f t="shared" si="34"/>
        <v>June</v>
      </c>
      <c r="J216" s="8" t="str">
        <f t="shared" si="35"/>
        <v>Saturday</v>
      </c>
      <c r="K216" s="11">
        <v>0.86640046296296291</v>
      </c>
      <c r="L216" s="14">
        <f t="shared" si="36"/>
        <v>20</v>
      </c>
      <c r="M216" s="7">
        <f t="shared" si="37"/>
        <v>47</v>
      </c>
      <c r="N216" s="7">
        <f t="shared" si="38"/>
        <v>37</v>
      </c>
      <c r="O216" s="9" t="s">
        <v>13</v>
      </c>
      <c r="P216" s="9" t="s">
        <v>14</v>
      </c>
      <c r="Q216" s="9">
        <v>2</v>
      </c>
      <c r="R216" s="12">
        <v>1051.42</v>
      </c>
      <c r="S216" s="12">
        <f>VLOOKUP(O216,'Product-cost'!A:B,2,)</f>
        <v>600</v>
      </c>
      <c r="T216" s="9" t="s">
        <v>22</v>
      </c>
      <c r="U216" s="9" t="s">
        <v>80</v>
      </c>
      <c r="V216" s="9" t="s">
        <v>874</v>
      </c>
      <c r="W216" s="9" t="s">
        <v>894</v>
      </c>
      <c r="X216" s="12">
        <f t="shared" si="39"/>
        <v>2102.84</v>
      </c>
      <c r="Y216" s="12">
        <f t="shared" si="40"/>
        <v>1200</v>
      </c>
      <c r="Z216" s="16">
        <f>VLOOKUP(T216,Taxrate!A:B,2,FALSE)</f>
        <v>0.1</v>
      </c>
      <c r="AA216" s="12">
        <f t="shared" si="41"/>
        <v>210.28400000000002</v>
      </c>
      <c r="AB216" s="16">
        <f>VLOOKUP('Sales Dataset'!O216,'Discount Rate'!A:B,2,)</f>
        <v>0.05</v>
      </c>
      <c r="AC216" s="12">
        <f t="shared" si="42"/>
        <v>60</v>
      </c>
      <c r="AD216" s="18">
        <f t="shared" si="43"/>
        <v>1199.8500000000001</v>
      </c>
    </row>
    <row r="217" spans="1:30" ht="51" customHeight="1" x14ac:dyDescent="0.35">
      <c r="A217" s="9" t="s">
        <v>485</v>
      </c>
      <c r="B217" s="9" t="s">
        <v>486</v>
      </c>
      <c r="C217" s="9" t="s">
        <v>57</v>
      </c>
      <c r="D217" s="20" t="s">
        <v>12</v>
      </c>
      <c r="E217" s="9" t="s">
        <v>901</v>
      </c>
      <c r="F217" s="9" t="s">
        <v>902</v>
      </c>
      <c r="G217" s="8">
        <v>45117</v>
      </c>
      <c r="H217" s="7">
        <f t="shared" si="33"/>
        <v>2023</v>
      </c>
      <c r="I217" s="7" t="str">
        <f t="shared" si="34"/>
        <v>July</v>
      </c>
      <c r="J217" s="8" t="str">
        <f t="shared" si="35"/>
        <v>Monday</v>
      </c>
      <c r="K217" s="11">
        <v>0.86937500000000001</v>
      </c>
      <c r="L217" s="14">
        <f t="shared" si="36"/>
        <v>20</v>
      </c>
      <c r="M217" s="7">
        <f t="shared" si="37"/>
        <v>51</v>
      </c>
      <c r="N217" s="7">
        <f t="shared" si="38"/>
        <v>54</v>
      </c>
      <c r="O217" s="9" t="s">
        <v>40</v>
      </c>
      <c r="P217" s="9" t="s">
        <v>41</v>
      </c>
      <c r="Q217" s="9">
        <v>11</v>
      </c>
      <c r="R217" s="12">
        <v>250.5</v>
      </c>
      <c r="S217" s="12">
        <f>VLOOKUP(O217,'Product-cost'!A:B,2,)</f>
        <v>150</v>
      </c>
      <c r="T217" s="9" t="s">
        <v>22</v>
      </c>
      <c r="U217" s="9" t="s">
        <v>29</v>
      </c>
      <c r="V217" s="9" t="s">
        <v>872</v>
      </c>
      <c r="W217" s="9" t="s">
        <v>896</v>
      </c>
      <c r="X217" s="12">
        <f t="shared" si="39"/>
        <v>2755.5</v>
      </c>
      <c r="Y217" s="12">
        <f t="shared" si="40"/>
        <v>1650</v>
      </c>
      <c r="Z217" s="16">
        <f>VLOOKUP(T217,Taxrate!A:B,2,FALSE)</f>
        <v>0.1</v>
      </c>
      <c r="AA217" s="12">
        <f t="shared" si="41"/>
        <v>275.55</v>
      </c>
      <c r="AB217" s="16">
        <f>VLOOKUP('Sales Dataset'!O217,'Discount Rate'!A:B,2,)</f>
        <v>7.0000000000000007E-2</v>
      </c>
      <c r="AC217" s="12">
        <f t="shared" si="42"/>
        <v>115.50000000000001</v>
      </c>
      <c r="AD217" s="18">
        <f t="shared" si="43"/>
        <v>1649.8300000000002</v>
      </c>
    </row>
    <row r="218" spans="1:30" ht="51" customHeight="1" x14ac:dyDescent="0.35">
      <c r="A218" s="9" t="s">
        <v>487</v>
      </c>
      <c r="B218" s="9" t="s">
        <v>488</v>
      </c>
      <c r="C218" s="9" t="s">
        <v>57</v>
      </c>
      <c r="D218" s="20" t="s">
        <v>12</v>
      </c>
      <c r="E218" s="9" t="s">
        <v>901</v>
      </c>
      <c r="F218" s="9" t="s">
        <v>902</v>
      </c>
      <c r="G218" s="8">
        <v>45551</v>
      </c>
      <c r="H218" s="7">
        <f t="shared" si="33"/>
        <v>2024</v>
      </c>
      <c r="I218" s="7" t="str">
        <f t="shared" si="34"/>
        <v>September</v>
      </c>
      <c r="J218" s="8" t="str">
        <f t="shared" si="35"/>
        <v>Monday</v>
      </c>
      <c r="K218" s="11">
        <v>0.82496527777777773</v>
      </c>
      <c r="L218" s="14">
        <f t="shared" si="36"/>
        <v>19</v>
      </c>
      <c r="M218" s="7">
        <f t="shared" si="37"/>
        <v>47</v>
      </c>
      <c r="N218" s="7">
        <f t="shared" si="38"/>
        <v>57</v>
      </c>
      <c r="O218" s="9" t="s">
        <v>26</v>
      </c>
      <c r="P218" s="9" t="s">
        <v>27</v>
      </c>
      <c r="Q218" s="9">
        <v>15</v>
      </c>
      <c r="R218" s="12">
        <v>422.51</v>
      </c>
      <c r="S218" s="12">
        <f>VLOOKUP(O218,'Product-cost'!A:B,2,)</f>
        <v>200</v>
      </c>
      <c r="T218" s="9" t="s">
        <v>28</v>
      </c>
      <c r="U218" s="9" t="s">
        <v>29</v>
      </c>
      <c r="V218" s="9" t="s">
        <v>870</v>
      </c>
      <c r="W218" s="9" t="s">
        <v>894</v>
      </c>
      <c r="X218" s="12">
        <f t="shared" si="39"/>
        <v>6337.65</v>
      </c>
      <c r="Y218" s="12">
        <f t="shared" si="40"/>
        <v>3000</v>
      </c>
      <c r="Z218" s="16">
        <f>VLOOKUP(T218,Taxrate!A:B,2,FALSE)</f>
        <v>0.2</v>
      </c>
      <c r="AA218" s="12">
        <f t="shared" si="41"/>
        <v>1267.53</v>
      </c>
      <c r="AB218" s="16">
        <f>VLOOKUP('Sales Dataset'!O218,'Discount Rate'!A:B,2,)</f>
        <v>0.08</v>
      </c>
      <c r="AC218" s="12">
        <f t="shared" si="42"/>
        <v>240</v>
      </c>
      <c r="AD218" s="18">
        <f t="shared" si="43"/>
        <v>2999.7200000000003</v>
      </c>
    </row>
    <row r="219" spans="1:30" ht="51" customHeight="1" x14ac:dyDescent="0.35">
      <c r="A219" s="9" t="s">
        <v>489</v>
      </c>
      <c r="B219" s="9" t="s">
        <v>490</v>
      </c>
      <c r="C219" s="9" t="s">
        <v>57</v>
      </c>
      <c r="D219" s="20" t="s">
        <v>12</v>
      </c>
      <c r="E219" s="9" t="s">
        <v>901</v>
      </c>
      <c r="F219" s="9" t="s">
        <v>902</v>
      </c>
      <c r="G219" s="8">
        <v>46247</v>
      </c>
      <c r="H219" s="7">
        <f t="shared" si="33"/>
        <v>2026</v>
      </c>
      <c r="I219" s="7" t="str">
        <f t="shared" si="34"/>
        <v>August</v>
      </c>
      <c r="J219" s="8" t="str">
        <f t="shared" si="35"/>
        <v>Thursday</v>
      </c>
      <c r="K219" s="11">
        <v>0.52921296296296294</v>
      </c>
      <c r="L219" s="14">
        <f t="shared" si="36"/>
        <v>12</v>
      </c>
      <c r="M219" s="7">
        <f t="shared" si="37"/>
        <v>42</v>
      </c>
      <c r="N219" s="7">
        <f t="shared" si="38"/>
        <v>4</v>
      </c>
      <c r="O219" s="9" t="s">
        <v>26</v>
      </c>
      <c r="P219" s="9" t="s">
        <v>27</v>
      </c>
      <c r="Q219" s="9">
        <v>7</v>
      </c>
      <c r="R219" s="12">
        <v>417.44</v>
      </c>
      <c r="S219" s="12">
        <f>VLOOKUP(O219,'Product-cost'!A:B,2,)</f>
        <v>200</v>
      </c>
      <c r="T219" s="9" t="s">
        <v>22</v>
      </c>
      <c r="U219" s="9" t="s">
        <v>15</v>
      </c>
      <c r="V219" s="9" t="s">
        <v>872</v>
      </c>
      <c r="W219" s="9" t="s">
        <v>896</v>
      </c>
      <c r="X219" s="12">
        <f t="shared" si="39"/>
        <v>2922.08</v>
      </c>
      <c r="Y219" s="12">
        <f t="shared" si="40"/>
        <v>1400</v>
      </c>
      <c r="Z219" s="16">
        <f>VLOOKUP(T219,Taxrate!A:B,2,FALSE)</f>
        <v>0.1</v>
      </c>
      <c r="AA219" s="12">
        <f t="shared" si="41"/>
        <v>292.20800000000003</v>
      </c>
      <c r="AB219" s="16">
        <f>VLOOKUP('Sales Dataset'!O219,'Discount Rate'!A:B,2,)</f>
        <v>0.08</v>
      </c>
      <c r="AC219" s="12">
        <f t="shared" si="42"/>
        <v>112</v>
      </c>
      <c r="AD219" s="18">
        <f t="shared" si="43"/>
        <v>1399.8200000000002</v>
      </c>
    </row>
    <row r="220" spans="1:30" ht="51" customHeight="1" x14ac:dyDescent="0.35">
      <c r="A220" s="9" t="s">
        <v>491</v>
      </c>
      <c r="B220" s="9" t="s">
        <v>492</v>
      </c>
      <c r="C220" s="9" t="s">
        <v>76</v>
      </c>
      <c r="D220" s="20" t="s">
        <v>33</v>
      </c>
      <c r="E220" s="9" t="s">
        <v>905</v>
      </c>
      <c r="F220" s="9" t="s">
        <v>906</v>
      </c>
      <c r="G220" s="8">
        <v>46365</v>
      </c>
      <c r="H220" s="7">
        <f t="shared" si="33"/>
        <v>2026</v>
      </c>
      <c r="I220" s="7" t="str">
        <f t="shared" si="34"/>
        <v>December</v>
      </c>
      <c r="J220" s="8" t="str">
        <f t="shared" si="35"/>
        <v>Wednesday</v>
      </c>
      <c r="K220" s="11">
        <v>0.81746527777777778</v>
      </c>
      <c r="L220" s="14">
        <f t="shared" si="36"/>
        <v>19</v>
      </c>
      <c r="M220" s="7">
        <f t="shared" si="37"/>
        <v>37</v>
      </c>
      <c r="N220" s="7">
        <f t="shared" si="38"/>
        <v>9</v>
      </c>
      <c r="O220" s="9" t="s">
        <v>40</v>
      </c>
      <c r="P220" s="9" t="s">
        <v>41</v>
      </c>
      <c r="Q220" s="9">
        <v>13</v>
      </c>
      <c r="R220" s="12">
        <v>223.11</v>
      </c>
      <c r="S220" s="12">
        <f>VLOOKUP(O220,'Product-cost'!A:B,2,)</f>
        <v>150</v>
      </c>
      <c r="T220" s="9" t="s">
        <v>45</v>
      </c>
      <c r="U220" s="9" t="s">
        <v>35</v>
      </c>
      <c r="V220" s="9" t="s">
        <v>882</v>
      </c>
      <c r="W220" s="9" t="s">
        <v>895</v>
      </c>
      <c r="X220" s="12">
        <f t="shared" si="39"/>
        <v>2900.4300000000003</v>
      </c>
      <c r="Y220" s="12">
        <f t="shared" si="40"/>
        <v>1950</v>
      </c>
      <c r="Z220" s="16">
        <f>VLOOKUP(T220,Taxrate!A:B,2,FALSE)</f>
        <v>7.0000000000000007E-2</v>
      </c>
      <c r="AA220" s="12">
        <f t="shared" si="41"/>
        <v>203.03010000000003</v>
      </c>
      <c r="AB220" s="16">
        <f>VLOOKUP('Sales Dataset'!O220,'Discount Rate'!A:B,2,)</f>
        <v>7.0000000000000007E-2</v>
      </c>
      <c r="AC220" s="12">
        <f t="shared" si="42"/>
        <v>136.5</v>
      </c>
      <c r="AD220" s="18">
        <f t="shared" si="43"/>
        <v>1949.8600000000001</v>
      </c>
    </row>
    <row r="221" spans="1:30" ht="51" customHeight="1" x14ac:dyDescent="0.35">
      <c r="A221" s="9" t="s">
        <v>493</v>
      </c>
      <c r="B221" s="9" t="s">
        <v>239</v>
      </c>
      <c r="C221" s="9" t="s">
        <v>65</v>
      </c>
      <c r="D221" s="20" t="s">
        <v>53</v>
      </c>
      <c r="E221" s="9" t="s">
        <v>909</v>
      </c>
      <c r="F221" s="9" t="s">
        <v>910</v>
      </c>
      <c r="G221" s="8">
        <v>45664</v>
      </c>
      <c r="H221" s="7">
        <f t="shared" si="33"/>
        <v>2025</v>
      </c>
      <c r="I221" s="7" t="str">
        <f t="shared" si="34"/>
        <v>January</v>
      </c>
      <c r="J221" s="8" t="str">
        <f t="shared" si="35"/>
        <v>Tuesday</v>
      </c>
      <c r="K221" s="11">
        <v>0.84688657407407408</v>
      </c>
      <c r="L221" s="14">
        <f t="shared" si="36"/>
        <v>20</v>
      </c>
      <c r="M221" s="7">
        <f t="shared" si="37"/>
        <v>19</v>
      </c>
      <c r="N221" s="7">
        <f t="shared" si="38"/>
        <v>31</v>
      </c>
      <c r="O221" s="9" t="s">
        <v>40</v>
      </c>
      <c r="P221" s="9" t="s">
        <v>41</v>
      </c>
      <c r="Q221" s="9">
        <v>11</v>
      </c>
      <c r="R221" s="12">
        <v>268.60000000000002</v>
      </c>
      <c r="S221" s="12">
        <f>VLOOKUP(O221,'Product-cost'!A:B,2,)</f>
        <v>150</v>
      </c>
      <c r="T221" s="9" t="s">
        <v>28</v>
      </c>
      <c r="U221" s="9" t="s">
        <v>206</v>
      </c>
      <c r="V221" s="9" t="s">
        <v>883</v>
      </c>
      <c r="W221" s="9" t="s">
        <v>894</v>
      </c>
      <c r="X221" s="12">
        <f t="shared" si="39"/>
        <v>2954.6000000000004</v>
      </c>
      <c r="Y221" s="12">
        <f t="shared" si="40"/>
        <v>1650</v>
      </c>
      <c r="Z221" s="16">
        <f>VLOOKUP(T221,Taxrate!A:B,2,FALSE)</f>
        <v>0.2</v>
      </c>
      <c r="AA221" s="12">
        <f t="shared" si="41"/>
        <v>590.92000000000007</v>
      </c>
      <c r="AB221" s="16">
        <f>VLOOKUP('Sales Dataset'!O221,'Discount Rate'!A:B,2,)</f>
        <v>7.0000000000000007E-2</v>
      </c>
      <c r="AC221" s="12">
        <f t="shared" si="42"/>
        <v>115.50000000000001</v>
      </c>
      <c r="AD221" s="18">
        <f t="shared" si="43"/>
        <v>1649.73</v>
      </c>
    </row>
    <row r="222" spans="1:30" ht="51" customHeight="1" x14ac:dyDescent="0.35">
      <c r="A222" s="9" t="s">
        <v>494</v>
      </c>
      <c r="B222" s="9" t="s">
        <v>495</v>
      </c>
      <c r="C222" s="9" t="s">
        <v>369</v>
      </c>
      <c r="D222" s="20" t="s">
        <v>39</v>
      </c>
      <c r="E222" s="9" t="s">
        <v>907</v>
      </c>
      <c r="F222" s="9" t="s">
        <v>908</v>
      </c>
      <c r="G222" s="8">
        <v>46112</v>
      </c>
      <c r="H222" s="7">
        <f t="shared" si="33"/>
        <v>2026</v>
      </c>
      <c r="I222" s="7" t="str">
        <f t="shared" si="34"/>
        <v>March</v>
      </c>
      <c r="J222" s="8" t="str">
        <f t="shared" si="35"/>
        <v>Tuesday</v>
      </c>
      <c r="K222" s="11">
        <v>0.85917824074074078</v>
      </c>
      <c r="L222" s="14">
        <f t="shared" si="36"/>
        <v>20</v>
      </c>
      <c r="M222" s="7">
        <f t="shared" si="37"/>
        <v>37</v>
      </c>
      <c r="N222" s="7">
        <f t="shared" si="38"/>
        <v>13</v>
      </c>
      <c r="O222" s="9" t="s">
        <v>13</v>
      </c>
      <c r="P222" s="9" t="s">
        <v>14</v>
      </c>
      <c r="Q222" s="9">
        <v>9</v>
      </c>
      <c r="R222" s="12">
        <v>1069.8399999999999</v>
      </c>
      <c r="S222" s="12">
        <f>VLOOKUP(O222,'Product-cost'!A:B,2,)</f>
        <v>600</v>
      </c>
      <c r="T222" s="9" t="s">
        <v>28</v>
      </c>
      <c r="U222" s="9" t="s">
        <v>80</v>
      </c>
      <c r="V222" s="9" t="s">
        <v>872</v>
      </c>
      <c r="W222" s="9" t="s">
        <v>896</v>
      </c>
      <c r="X222" s="12">
        <f t="shared" si="39"/>
        <v>9628.56</v>
      </c>
      <c r="Y222" s="12">
        <f t="shared" si="40"/>
        <v>5400</v>
      </c>
      <c r="Z222" s="16">
        <f>VLOOKUP(T222,Taxrate!A:B,2,FALSE)</f>
        <v>0.2</v>
      </c>
      <c r="AA222" s="12">
        <f t="shared" si="41"/>
        <v>1925.712</v>
      </c>
      <c r="AB222" s="16">
        <f>VLOOKUP('Sales Dataset'!O222,'Discount Rate'!A:B,2,)</f>
        <v>0.05</v>
      </c>
      <c r="AC222" s="12">
        <f t="shared" si="42"/>
        <v>270</v>
      </c>
      <c r="AD222" s="18">
        <f t="shared" si="43"/>
        <v>5399.75</v>
      </c>
    </row>
    <row r="223" spans="1:30" ht="51" customHeight="1" x14ac:dyDescent="0.35">
      <c r="A223" s="9" t="s">
        <v>496</v>
      </c>
      <c r="B223" s="9" t="s">
        <v>497</v>
      </c>
      <c r="C223" s="9" t="s">
        <v>114</v>
      </c>
      <c r="D223" s="20" t="s">
        <v>19</v>
      </c>
      <c r="E223" s="9" t="s">
        <v>903</v>
      </c>
      <c r="F223" s="9" t="s">
        <v>904</v>
      </c>
      <c r="G223" s="8">
        <v>46284</v>
      </c>
      <c r="H223" s="7">
        <f t="shared" si="33"/>
        <v>2026</v>
      </c>
      <c r="I223" s="7" t="str">
        <f t="shared" si="34"/>
        <v>September</v>
      </c>
      <c r="J223" s="8" t="str">
        <f t="shared" si="35"/>
        <v>Saturday</v>
      </c>
      <c r="K223" s="11">
        <v>0.9108680555555555</v>
      </c>
      <c r="L223" s="14">
        <f t="shared" si="36"/>
        <v>21</v>
      </c>
      <c r="M223" s="7">
        <f t="shared" si="37"/>
        <v>51</v>
      </c>
      <c r="N223" s="7">
        <f t="shared" si="38"/>
        <v>39</v>
      </c>
      <c r="O223" s="9" t="s">
        <v>20</v>
      </c>
      <c r="P223" s="9" t="s">
        <v>21</v>
      </c>
      <c r="Q223" s="9">
        <v>3</v>
      </c>
      <c r="R223" s="12">
        <v>533.74</v>
      </c>
      <c r="S223" s="12">
        <f>VLOOKUP(O223,'Product-cost'!A:B,2,)</f>
        <v>300</v>
      </c>
      <c r="T223" s="9" t="s">
        <v>49</v>
      </c>
      <c r="U223" s="9" t="s">
        <v>23</v>
      </c>
      <c r="V223" s="9" t="s">
        <v>875</v>
      </c>
      <c r="W223" s="9" t="s">
        <v>894</v>
      </c>
      <c r="X223" s="12">
        <f t="shared" si="39"/>
        <v>1601.22</v>
      </c>
      <c r="Y223" s="12">
        <f t="shared" si="40"/>
        <v>900</v>
      </c>
      <c r="Z223" s="16">
        <f>VLOOKUP(T223,Taxrate!A:B,2,FALSE)</f>
        <v>0.12</v>
      </c>
      <c r="AA223" s="12">
        <f t="shared" si="41"/>
        <v>192.1464</v>
      </c>
      <c r="AB223" s="16">
        <f>VLOOKUP('Sales Dataset'!O223,'Discount Rate'!A:B,2,)</f>
        <v>0.1</v>
      </c>
      <c r="AC223" s="12">
        <f t="shared" si="42"/>
        <v>90</v>
      </c>
      <c r="AD223" s="18">
        <f t="shared" si="43"/>
        <v>899.78</v>
      </c>
    </row>
    <row r="224" spans="1:30" ht="51" customHeight="1" x14ac:dyDescent="0.35">
      <c r="A224" s="9" t="s">
        <v>498</v>
      </c>
      <c r="B224" s="9" t="s">
        <v>499</v>
      </c>
      <c r="C224" s="9" t="s">
        <v>60</v>
      </c>
      <c r="D224" s="20" t="s">
        <v>61</v>
      </c>
      <c r="E224" s="9" t="s">
        <v>911</v>
      </c>
      <c r="F224" s="9" t="s">
        <v>912</v>
      </c>
      <c r="G224" s="8">
        <v>45683</v>
      </c>
      <c r="H224" s="7">
        <f t="shared" si="33"/>
        <v>2025</v>
      </c>
      <c r="I224" s="7" t="str">
        <f t="shared" si="34"/>
        <v>January</v>
      </c>
      <c r="J224" s="8" t="str">
        <f t="shared" si="35"/>
        <v>Sunday</v>
      </c>
      <c r="K224" s="11">
        <v>0.36265046296296294</v>
      </c>
      <c r="L224" s="14">
        <f t="shared" si="36"/>
        <v>8</v>
      </c>
      <c r="M224" s="7">
        <f t="shared" si="37"/>
        <v>42</v>
      </c>
      <c r="N224" s="7">
        <f t="shared" si="38"/>
        <v>13</v>
      </c>
      <c r="O224" s="9" t="s">
        <v>40</v>
      </c>
      <c r="P224" s="9" t="s">
        <v>41</v>
      </c>
      <c r="Q224" s="9">
        <v>6</v>
      </c>
      <c r="R224" s="12">
        <v>276.97000000000003</v>
      </c>
      <c r="S224" s="12">
        <f>VLOOKUP(O224,'Product-cost'!A:B,2,)</f>
        <v>150</v>
      </c>
      <c r="T224" s="9" t="s">
        <v>45</v>
      </c>
      <c r="U224" s="9" t="s">
        <v>62</v>
      </c>
      <c r="V224" s="9" t="s">
        <v>881</v>
      </c>
      <c r="W224" s="9" t="s">
        <v>894</v>
      </c>
      <c r="X224" s="12">
        <f t="shared" si="39"/>
        <v>1661.8200000000002</v>
      </c>
      <c r="Y224" s="12">
        <f t="shared" si="40"/>
        <v>900</v>
      </c>
      <c r="Z224" s="16">
        <f>VLOOKUP(T224,Taxrate!A:B,2,FALSE)</f>
        <v>7.0000000000000007E-2</v>
      </c>
      <c r="AA224" s="12">
        <f t="shared" si="41"/>
        <v>116.32740000000003</v>
      </c>
      <c r="AB224" s="16">
        <f>VLOOKUP('Sales Dataset'!O224,'Discount Rate'!A:B,2,)</f>
        <v>7.0000000000000007E-2</v>
      </c>
      <c r="AC224" s="12">
        <f t="shared" si="42"/>
        <v>63.000000000000007</v>
      </c>
      <c r="AD224" s="18">
        <f t="shared" si="43"/>
        <v>899.8599999999999</v>
      </c>
    </row>
    <row r="225" spans="1:30" ht="51" customHeight="1" x14ac:dyDescent="0.35">
      <c r="A225" s="9" t="s">
        <v>500</v>
      </c>
      <c r="B225" s="9" t="s">
        <v>501</v>
      </c>
      <c r="C225" s="9" t="s">
        <v>57</v>
      </c>
      <c r="D225" s="20" t="s">
        <v>12</v>
      </c>
      <c r="E225" s="9" t="s">
        <v>901</v>
      </c>
      <c r="F225" s="9" t="s">
        <v>902</v>
      </c>
      <c r="G225" s="8">
        <v>45932</v>
      </c>
      <c r="H225" s="7">
        <f t="shared" si="33"/>
        <v>2025</v>
      </c>
      <c r="I225" s="7" t="str">
        <f t="shared" si="34"/>
        <v>October</v>
      </c>
      <c r="J225" s="8" t="str">
        <f t="shared" si="35"/>
        <v>Thursday</v>
      </c>
      <c r="K225" s="11">
        <v>0.56783564814814813</v>
      </c>
      <c r="L225" s="14">
        <f t="shared" si="36"/>
        <v>13</v>
      </c>
      <c r="M225" s="7">
        <f t="shared" si="37"/>
        <v>37</v>
      </c>
      <c r="N225" s="7">
        <f t="shared" si="38"/>
        <v>41</v>
      </c>
      <c r="O225" s="9" t="s">
        <v>13</v>
      </c>
      <c r="P225" s="9" t="s">
        <v>14</v>
      </c>
      <c r="Q225" s="9">
        <v>7</v>
      </c>
      <c r="R225" s="12">
        <v>911.45</v>
      </c>
      <c r="S225" s="12">
        <f>VLOOKUP(O225,'Product-cost'!A:B,2,)</f>
        <v>600</v>
      </c>
      <c r="T225" s="9" t="s">
        <v>34</v>
      </c>
      <c r="U225" s="9" t="s">
        <v>29</v>
      </c>
      <c r="V225" s="9" t="s">
        <v>875</v>
      </c>
      <c r="W225" s="9" t="s">
        <v>894</v>
      </c>
      <c r="X225" s="12">
        <f t="shared" si="39"/>
        <v>6380.1500000000005</v>
      </c>
      <c r="Y225" s="12">
        <f t="shared" si="40"/>
        <v>4200</v>
      </c>
      <c r="Z225" s="16">
        <f>VLOOKUP(T225,Taxrate!A:B,2,FALSE)</f>
        <v>0.15</v>
      </c>
      <c r="AA225" s="12">
        <f t="shared" si="41"/>
        <v>957.02250000000004</v>
      </c>
      <c r="AB225" s="16">
        <f>VLOOKUP('Sales Dataset'!O225,'Discount Rate'!A:B,2,)</f>
        <v>0.05</v>
      </c>
      <c r="AC225" s="12">
        <f t="shared" si="42"/>
        <v>210</v>
      </c>
      <c r="AD225" s="18">
        <f t="shared" si="43"/>
        <v>4199.8</v>
      </c>
    </row>
    <row r="226" spans="1:30" ht="51" customHeight="1" x14ac:dyDescent="0.35">
      <c r="A226" s="9" t="s">
        <v>502</v>
      </c>
      <c r="B226" s="9" t="s">
        <v>503</v>
      </c>
      <c r="C226" s="9" t="s">
        <v>52</v>
      </c>
      <c r="D226" s="20" t="s">
        <v>53</v>
      </c>
      <c r="E226" s="9" t="s">
        <v>909</v>
      </c>
      <c r="F226" s="9" t="s">
        <v>910</v>
      </c>
      <c r="G226" s="8">
        <v>45113</v>
      </c>
      <c r="H226" s="7">
        <f t="shared" si="33"/>
        <v>2023</v>
      </c>
      <c r="I226" s="7" t="str">
        <f t="shared" si="34"/>
        <v>July</v>
      </c>
      <c r="J226" s="8" t="str">
        <f t="shared" si="35"/>
        <v>Thursday</v>
      </c>
      <c r="K226" s="11">
        <v>0.46471064814814816</v>
      </c>
      <c r="L226" s="14">
        <f t="shared" si="36"/>
        <v>11</v>
      </c>
      <c r="M226" s="7">
        <f t="shared" si="37"/>
        <v>9</v>
      </c>
      <c r="N226" s="7">
        <f t="shared" si="38"/>
        <v>11</v>
      </c>
      <c r="O226" s="9" t="s">
        <v>20</v>
      </c>
      <c r="P226" s="9" t="s">
        <v>21</v>
      </c>
      <c r="Q226" s="9">
        <v>12</v>
      </c>
      <c r="R226" s="12">
        <v>678.33</v>
      </c>
      <c r="S226" s="12">
        <f>VLOOKUP(O226,'Product-cost'!A:B,2,)</f>
        <v>300</v>
      </c>
      <c r="T226" s="9" t="s">
        <v>34</v>
      </c>
      <c r="U226" s="9" t="s">
        <v>206</v>
      </c>
      <c r="V226" s="9" t="s">
        <v>875</v>
      </c>
      <c r="W226" s="9" t="s">
        <v>894</v>
      </c>
      <c r="X226" s="12">
        <f t="shared" si="39"/>
        <v>8139.9600000000009</v>
      </c>
      <c r="Y226" s="12">
        <f t="shared" si="40"/>
        <v>3600</v>
      </c>
      <c r="Z226" s="16">
        <f>VLOOKUP(T226,Taxrate!A:B,2,FALSE)</f>
        <v>0.15</v>
      </c>
      <c r="AA226" s="12">
        <f t="shared" si="41"/>
        <v>1220.9940000000001</v>
      </c>
      <c r="AB226" s="16">
        <f>VLOOKUP('Sales Dataset'!O226,'Discount Rate'!A:B,2,)</f>
        <v>0.1</v>
      </c>
      <c r="AC226" s="12">
        <f t="shared" si="42"/>
        <v>360</v>
      </c>
      <c r="AD226" s="18">
        <f t="shared" si="43"/>
        <v>3599.75</v>
      </c>
    </row>
    <row r="227" spans="1:30" ht="51" customHeight="1" x14ac:dyDescent="0.35">
      <c r="A227" s="9" t="s">
        <v>504</v>
      </c>
      <c r="B227" s="9" t="s">
        <v>505</v>
      </c>
      <c r="C227" s="9" t="s">
        <v>369</v>
      </c>
      <c r="D227" s="20" t="s">
        <v>39</v>
      </c>
      <c r="E227" s="9" t="s">
        <v>907</v>
      </c>
      <c r="F227" s="9" t="s">
        <v>908</v>
      </c>
      <c r="G227" s="8">
        <v>45015</v>
      </c>
      <c r="H227" s="7">
        <f t="shared" si="33"/>
        <v>2023</v>
      </c>
      <c r="I227" s="7" t="str">
        <f t="shared" si="34"/>
        <v>March</v>
      </c>
      <c r="J227" s="8" t="str">
        <f t="shared" si="35"/>
        <v>Thursday</v>
      </c>
      <c r="K227" s="11">
        <v>0.73414351851851856</v>
      </c>
      <c r="L227" s="14">
        <f t="shared" si="36"/>
        <v>17</v>
      </c>
      <c r="M227" s="7">
        <f t="shared" si="37"/>
        <v>37</v>
      </c>
      <c r="N227" s="7">
        <f t="shared" si="38"/>
        <v>10</v>
      </c>
      <c r="O227" s="9" t="s">
        <v>20</v>
      </c>
      <c r="P227" s="9" t="s">
        <v>21</v>
      </c>
      <c r="Q227" s="9">
        <v>1</v>
      </c>
      <c r="R227" s="12">
        <v>524.05999999999995</v>
      </c>
      <c r="S227" s="12">
        <f>VLOOKUP(O227,'Product-cost'!A:B,2,)</f>
        <v>300</v>
      </c>
      <c r="T227" s="9" t="s">
        <v>28</v>
      </c>
      <c r="U227" s="9" t="s">
        <v>73</v>
      </c>
      <c r="V227" s="9" t="s">
        <v>868</v>
      </c>
      <c r="W227" s="9" t="s">
        <v>894</v>
      </c>
      <c r="X227" s="12">
        <f t="shared" si="39"/>
        <v>524.05999999999995</v>
      </c>
      <c r="Y227" s="12">
        <f t="shared" si="40"/>
        <v>300</v>
      </c>
      <c r="Z227" s="16">
        <f>VLOOKUP(T227,Taxrate!A:B,2,FALSE)</f>
        <v>0.2</v>
      </c>
      <c r="AA227" s="12">
        <f t="shared" si="41"/>
        <v>104.812</v>
      </c>
      <c r="AB227" s="16">
        <f>VLOOKUP('Sales Dataset'!O227,'Discount Rate'!A:B,2,)</f>
        <v>0.1</v>
      </c>
      <c r="AC227" s="12">
        <f t="shared" si="42"/>
        <v>30</v>
      </c>
      <c r="AD227" s="18">
        <f t="shared" si="43"/>
        <v>299.7</v>
      </c>
    </row>
    <row r="228" spans="1:30" ht="51" customHeight="1" x14ac:dyDescent="0.35">
      <c r="A228" s="9" t="s">
        <v>506</v>
      </c>
      <c r="B228" s="9" t="s">
        <v>507</v>
      </c>
      <c r="C228" s="9" t="s">
        <v>163</v>
      </c>
      <c r="D228" s="20" t="s">
        <v>53</v>
      </c>
      <c r="E228" s="9" t="s">
        <v>909</v>
      </c>
      <c r="F228" s="9" t="s">
        <v>910</v>
      </c>
      <c r="G228" s="8">
        <v>46169</v>
      </c>
      <c r="H228" s="7">
        <f t="shared" si="33"/>
        <v>2026</v>
      </c>
      <c r="I228" s="7" t="str">
        <f t="shared" si="34"/>
        <v>May</v>
      </c>
      <c r="J228" s="8" t="str">
        <f t="shared" si="35"/>
        <v>Wednesday</v>
      </c>
      <c r="K228" s="11">
        <v>0.89594907407407409</v>
      </c>
      <c r="L228" s="14">
        <f t="shared" si="36"/>
        <v>21</v>
      </c>
      <c r="M228" s="7">
        <f t="shared" si="37"/>
        <v>30</v>
      </c>
      <c r="N228" s="7">
        <f t="shared" si="38"/>
        <v>10</v>
      </c>
      <c r="O228" s="9" t="s">
        <v>20</v>
      </c>
      <c r="P228" s="9" t="s">
        <v>21</v>
      </c>
      <c r="Q228" s="9">
        <v>10</v>
      </c>
      <c r="R228" s="12">
        <v>654.79</v>
      </c>
      <c r="S228" s="12">
        <f>VLOOKUP(O228,'Product-cost'!A:B,2,)</f>
        <v>300</v>
      </c>
      <c r="T228" s="9" t="s">
        <v>28</v>
      </c>
      <c r="U228" s="9" t="s">
        <v>206</v>
      </c>
      <c r="V228" s="9" t="s">
        <v>878</v>
      </c>
      <c r="W228" s="9" t="s">
        <v>894</v>
      </c>
      <c r="X228" s="12">
        <f t="shared" si="39"/>
        <v>6547.9</v>
      </c>
      <c r="Y228" s="12">
        <f t="shared" si="40"/>
        <v>3000</v>
      </c>
      <c r="Z228" s="16">
        <f>VLOOKUP(T228,Taxrate!A:B,2,FALSE)</f>
        <v>0.2</v>
      </c>
      <c r="AA228" s="12">
        <f t="shared" si="41"/>
        <v>1309.58</v>
      </c>
      <c r="AB228" s="16">
        <f>VLOOKUP('Sales Dataset'!O228,'Discount Rate'!A:B,2,)</f>
        <v>0.1</v>
      </c>
      <c r="AC228" s="12">
        <f t="shared" si="42"/>
        <v>300</v>
      </c>
      <c r="AD228" s="18">
        <f t="shared" si="43"/>
        <v>2999.7000000000003</v>
      </c>
    </row>
    <row r="229" spans="1:30" ht="51" customHeight="1" x14ac:dyDescent="0.35">
      <c r="A229" s="9" t="s">
        <v>508</v>
      </c>
      <c r="B229" s="9" t="s">
        <v>509</v>
      </c>
      <c r="C229" s="9" t="s">
        <v>141</v>
      </c>
      <c r="D229" s="20" t="s">
        <v>142</v>
      </c>
      <c r="E229" s="9" t="s">
        <v>917</v>
      </c>
      <c r="F229" s="9" t="s">
        <v>918</v>
      </c>
      <c r="G229" s="8">
        <v>45238</v>
      </c>
      <c r="H229" s="7">
        <f t="shared" si="33"/>
        <v>2023</v>
      </c>
      <c r="I229" s="7" t="str">
        <f t="shared" si="34"/>
        <v>November</v>
      </c>
      <c r="J229" s="8" t="str">
        <f t="shared" si="35"/>
        <v>Wednesday</v>
      </c>
      <c r="K229" s="11">
        <v>0.48188657407407409</v>
      </c>
      <c r="L229" s="14">
        <f t="shared" si="36"/>
        <v>11</v>
      </c>
      <c r="M229" s="7">
        <f t="shared" si="37"/>
        <v>33</v>
      </c>
      <c r="N229" s="7">
        <f t="shared" si="38"/>
        <v>55</v>
      </c>
      <c r="O229" s="9" t="s">
        <v>40</v>
      </c>
      <c r="P229" s="9" t="s">
        <v>41</v>
      </c>
      <c r="Q229" s="9">
        <v>14</v>
      </c>
      <c r="R229" s="12">
        <v>186.59</v>
      </c>
      <c r="S229" s="12">
        <f>VLOOKUP(O229,'Product-cost'!A:B,2,)</f>
        <v>150</v>
      </c>
      <c r="T229" s="9" t="s">
        <v>34</v>
      </c>
      <c r="U229" s="9" t="s">
        <v>235</v>
      </c>
      <c r="V229" s="9" t="s">
        <v>881</v>
      </c>
      <c r="W229" s="9" t="s">
        <v>894</v>
      </c>
      <c r="X229" s="12">
        <f t="shared" si="39"/>
        <v>2612.2600000000002</v>
      </c>
      <c r="Y229" s="12">
        <f t="shared" si="40"/>
        <v>2100</v>
      </c>
      <c r="Z229" s="16">
        <f>VLOOKUP(T229,Taxrate!A:B,2,FALSE)</f>
        <v>0.15</v>
      </c>
      <c r="AA229" s="12">
        <f t="shared" si="41"/>
        <v>391.839</v>
      </c>
      <c r="AB229" s="16">
        <f>VLOOKUP('Sales Dataset'!O229,'Discount Rate'!A:B,2,)</f>
        <v>7.0000000000000007E-2</v>
      </c>
      <c r="AC229" s="12">
        <f t="shared" si="42"/>
        <v>147</v>
      </c>
      <c r="AD229" s="18">
        <f t="shared" si="43"/>
        <v>2099.7799999999997</v>
      </c>
    </row>
    <row r="230" spans="1:30" ht="51" customHeight="1" x14ac:dyDescent="0.35">
      <c r="A230" s="9" t="s">
        <v>510</v>
      </c>
      <c r="B230" s="9" t="s">
        <v>511</v>
      </c>
      <c r="C230" s="9" t="s">
        <v>57</v>
      </c>
      <c r="D230" s="20" t="s">
        <v>12</v>
      </c>
      <c r="E230" s="9" t="s">
        <v>901</v>
      </c>
      <c r="F230" s="9" t="s">
        <v>902</v>
      </c>
      <c r="G230" s="8">
        <v>46316</v>
      </c>
      <c r="H230" s="7">
        <f t="shared" si="33"/>
        <v>2026</v>
      </c>
      <c r="I230" s="7" t="str">
        <f t="shared" si="34"/>
        <v>October</v>
      </c>
      <c r="J230" s="8" t="str">
        <f t="shared" si="35"/>
        <v>Wednesday</v>
      </c>
      <c r="K230" s="11">
        <v>0.6849884259259259</v>
      </c>
      <c r="L230" s="14">
        <f t="shared" si="36"/>
        <v>16</v>
      </c>
      <c r="M230" s="7">
        <f t="shared" si="37"/>
        <v>26</v>
      </c>
      <c r="N230" s="7">
        <f t="shared" si="38"/>
        <v>23</v>
      </c>
      <c r="O230" s="9" t="s">
        <v>13</v>
      </c>
      <c r="P230" s="9" t="s">
        <v>14</v>
      </c>
      <c r="Q230" s="9">
        <v>7</v>
      </c>
      <c r="R230" s="12">
        <v>1201.1500000000001</v>
      </c>
      <c r="S230" s="12">
        <f>VLOOKUP(O230,'Product-cost'!A:B,2,)</f>
        <v>600</v>
      </c>
      <c r="T230" s="9" t="s">
        <v>34</v>
      </c>
      <c r="U230" s="9" t="s">
        <v>29</v>
      </c>
      <c r="V230" s="9" t="s">
        <v>870</v>
      </c>
      <c r="W230" s="9" t="s">
        <v>894</v>
      </c>
      <c r="X230" s="12">
        <f t="shared" si="39"/>
        <v>8408.0500000000011</v>
      </c>
      <c r="Y230" s="12">
        <f t="shared" si="40"/>
        <v>4200</v>
      </c>
      <c r="Z230" s="16">
        <f>VLOOKUP(T230,Taxrate!A:B,2,FALSE)</f>
        <v>0.15</v>
      </c>
      <c r="AA230" s="12">
        <f t="shared" si="41"/>
        <v>1261.2075000000002</v>
      </c>
      <c r="AB230" s="16">
        <f>VLOOKUP('Sales Dataset'!O230,'Discount Rate'!A:B,2,)</f>
        <v>0.05</v>
      </c>
      <c r="AC230" s="12">
        <f t="shared" si="42"/>
        <v>210</v>
      </c>
      <c r="AD230" s="18">
        <f t="shared" si="43"/>
        <v>4199.8</v>
      </c>
    </row>
    <row r="231" spans="1:30" ht="51" customHeight="1" x14ac:dyDescent="0.35">
      <c r="A231" s="9" t="s">
        <v>512</v>
      </c>
      <c r="B231" s="9" t="s">
        <v>167</v>
      </c>
      <c r="C231" s="9" t="s">
        <v>60</v>
      </c>
      <c r="D231" s="20" t="s">
        <v>61</v>
      </c>
      <c r="E231" s="9" t="s">
        <v>911</v>
      </c>
      <c r="F231" s="9" t="s">
        <v>912</v>
      </c>
      <c r="G231" s="8">
        <v>46300</v>
      </c>
      <c r="H231" s="7">
        <f t="shared" si="33"/>
        <v>2026</v>
      </c>
      <c r="I231" s="7" t="str">
        <f t="shared" si="34"/>
        <v>October</v>
      </c>
      <c r="J231" s="8" t="str">
        <f t="shared" si="35"/>
        <v>Monday</v>
      </c>
      <c r="K231" s="11">
        <v>0.5083333333333333</v>
      </c>
      <c r="L231" s="14">
        <f t="shared" si="36"/>
        <v>12</v>
      </c>
      <c r="M231" s="7">
        <f t="shared" si="37"/>
        <v>12</v>
      </c>
      <c r="N231" s="7">
        <f t="shared" si="38"/>
        <v>0</v>
      </c>
      <c r="O231" s="9" t="s">
        <v>13</v>
      </c>
      <c r="P231" s="9" t="s">
        <v>14</v>
      </c>
      <c r="Q231" s="9">
        <v>2</v>
      </c>
      <c r="R231" s="12">
        <v>987.51</v>
      </c>
      <c r="S231" s="12">
        <f>VLOOKUP(O231,'Product-cost'!A:B,2,)</f>
        <v>600</v>
      </c>
      <c r="T231" s="9" t="s">
        <v>28</v>
      </c>
      <c r="U231" s="9" t="s">
        <v>62</v>
      </c>
      <c r="V231" s="9" t="s">
        <v>876</v>
      </c>
      <c r="W231" s="9" t="s">
        <v>896</v>
      </c>
      <c r="X231" s="12">
        <f t="shared" si="39"/>
        <v>1975.02</v>
      </c>
      <c r="Y231" s="12">
        <f t="shared" si="40"/>
        <v>1200</v>
      </c>
      <c r="Z231" s="16">
        <f>VLOOKUP(T231,Taxrate!A:B,2,FALSE)</f>
        <v>0.2</v>
      </c>
      <c r="AA231" s="12">
        <f t="shared" si="41"/>
        <v>395.00400000000002</v>
      </c>
      <c r="AB231" s="16">
        <f>VLOOKUP('Sales Dataset'!O231,'Discount Rate'!A:B,2,)</f>
        <v>0.05</v>
      </c>
      <c r="AC231" s="12">
        <f t="shared" si="42"/>
        <v>60</v>
      </c>
      <c r="AD231" s="18">
        <f t="shared" si="43"/>
        <v>1199.75</v>
      </c>
    </row>
    <row r="232" spans="1:30" ht="51" customHeight="1" x14ac:dyDescent="0.35">
      <c r="A232" s="9" t="s">
        <v>513</v>
      </c>
      <c r="B232" s="9" t="s">
        <v>514</v>
      </c>
      <c r="C232" s="9" t="s">
        <v>90</v>
      </c>
      <c r="D232" s="20" t="s">
        <v>91</v>
      </c>
      <c r="E232" s="9" t="s">
        <v>915</v>
      </c>
      <c r="F232" s="9" t="s">
        <v>916</v>
      </c>
      <c r="G232" s="8">
        <v>46209</v>
      </c>
      <c r="H232" s="7">
        <f t="shared" si="33"/>
        <v>2026</v>
      </c>
      <c r="I232" s="7" t="str">
        <f t="shared" si="34"/>
        <v>July</v>
      </c>
      <c r="J232" s="8" t="str">
        <f t="shared" si="35"/>
        <v>Monday</v>
      </c>
      <c r="K232" s="11">
        <v>0.76791666666666669</v>
      </c>
      <c r="L232" s="14">
        <f t="shared" si="36"/>
        <v>18</v>
      </c>
      <c r="M232" s="7">
        <f t="shared" si="37"/>
        <v>25</v>
      </c>
      <c r="N232" s="7">
        <f t="shared" si="38"/>
        <v>48</v>
      </c>
      <c r="O232" s="9" t="s">
        <v>20</v>
      </c>
      <c r="P232" s="9" t="s">
        <v>21</v>
      </c>
      <c r="Q232" s="9">
        <v>13</v>
      </c>
      <c r="R232" s="12">
        <v>533.62</v>
      </c>
      <c r="S232" s="12">
        <f>VLOOKUP(O232,'Product-cost'!A:B,2,)</f>
        <v>300</v>
      </c>
      <c r="T232" s="9" t="s">
        <v>49</v>
      </c>
      <c r="U232" s="9" t="s">
        <v>92</v>
      </c>
      <c r="V232" s="9" t="s">
        <v>869</v>
      </c>
      <c r="W232" s="9" t="s">
        <v>894</v>
      </c>
      <c r="X232" s="12">
        <f t="shared" si="39"/>
        <v>6937.06</v>
      </c>
      <c r="Y232" s="12">
        <f t="shared" si="40"/>
        <v>3900</v>
      </c>
      <c r="Z232" s="16">
        <f>VLOOKUP(T232,Taxrate!A:B,2,FALSE)</f>
        <v>0.12</v>
      </c>
      <c r="AA232" s="12">
        <f t="shared" si="41"/>
        <v>832.44720000000007</v>
      </c>
      <c r="AB232" s="16">
        <f>VLOOKUP('Sales Dataset'!O232,'Discount Rate'!A:B,2,)</f>
        <v>0.1</v>
      </c>
      <c r="AC232" s="12">
        <f t="shared" si="42"/>
        <v>390</v>
      </c>
      <c r="AD232" s="18">
        <f t="shared" si="43"/>
        <v>3899.78</v>
      </c>
    </row>
    <row r="233" spans="1:30" ht="51" customHeight="1" x14ac:dyDescent="0.35">
      <c r="A233" s="9" t="s">
        <v>515</v>
      </c>
      <c r="B233" s="9" t="s">
        <v>516</v>
      </c>
      <c r="C233" s="9" t="s">
        <v>11</v>
      </c>
      <c r="D233" s="20" t="s">
        <v>12</v>
      </c>
      <c r="E233" s="9" t="s">
        <v>901</v>
      </c>
      <c r="F233" s="9" t="s">
        <v>902</v>
      </c>
      <c r="G233" s="8">
        <v>45723</v>
      </c>
      <c r="H233" s="7">
        <f t="shared" si="33"/>
        <v>2025</v>
      </c>
      <c r="I233" s="7" t="str">
        <f t="shared" si="34"/>
        <v>March</v>
      </c>
      <c r="J233" s="8" t="str">
        <f t="shared" si="35"/>
        <v>Friday</v>
      </c>
      <c r="K233" s="11">
        <v>0.38439814814814816</v>
      </c>
      <c r="L233" s="14">
        <f t="shared" si="36"/>
        <v>9</v>
      </c>
      <c r="M233" s="7">
        <f t="shared" si="37"/>
        <v>13</v>
      </c>
      <c r="N233" s="7">
        <f t="shared" si="38"/>
        <v>32</v>
      </c>
      <c r="O233" s="9" t="s">
        <v>66</v>
      </c>
      <c r="P233" s="9" t="s">
        <v>67</v>
      </c>
      <c r="Q233" s="9">
        <v>13</v>
      </c>
      <c r="R233" s="12">
        <v>172.28</v>
      </c>
      <c r="S233" s="12">
        <f>VLOOKUP(O233,'Product-cost'!A:B,2,)</f>
        <v>50</v>
      </c>
      <c r="T233" s="9" t="s">
        <v>45</v>
      </c>
      <c r="U233" s="9" t="s">
        <v>15</v>
      </c>
      <c r="V233" s="9" t="s">
        <v>883</v>
      </c>
      <c r="W233" s="9" t="s">
        <v>894</v>
      </c>
      <c r="X233" s="12">
        <f t="shared" si="39"/>
        <v>2239.64</v>
      </c>
      <c r="Y233" s="12">
        <f t="shared" si="40"/>
        <v>650</v>
      </c>
      <c r="Z233" s="16">
        <f>VLOOKUP(T233,Taxrate!A:B,2,FALSE)</f>
        <v>7.0000000000000007E-2</v>
      </c>
      <c r="AA233" s="12">
        <f t="shared" si="41"/>
        <v>156.7748</v>
      </c>
      <c r="AB233" s="16">
        <f>VLOOKUP('Sales Dataset'!O233,'Discount Rate'!A:B,2,)</f>
        <v>0.03</v>
      </c>
      <c r="AC233" s="12">
        <f t="shared" si="42"/>
        <v>19.5</v>
      </c>
      <c r="AD233" s="18">
        <f t="shared" si="43"/>
        <v>649.9</v>
      </c>
    </row>
    <row r="234" spans="1:30" ht="51" customHeight="1" x14ac:dyDescent="0.35">
      <c r="A234" s="9" t="s">
        <v>517</v>
      </c>
      <c r="B234" s="9" t="s">
        <v>518</v>
      </c>
      <c r="C234" s="9" t="s">
        <v>60</v>
      </c>
      <c r="D234" s="20" t="s">
        <v>61</v>
      </c>
      <c r="E234" s="9" t="s">
        <v>911</v>
      </c>
      <c r="F234" s="9" t="s">
        <v>912</v>
      </c>
      <c r="G234" s="8">
        <v>45381</v>
      </c>
      <c r="H234" s="7">
        <f t="shared" si="33"/>
        <v>2024</v>
      </c>
      <c r="I234" s="7" t="str">
        <f t="shared" si="34"/>
        <v>March</v>
      </c>
      <c r="J234" s="8" t="str">
        <f t="shared" si="35"/>
        <v>Saturday</v>
      </c>
      <c r="K234" s="11">
        <v>0.40141203703703704</v>
      </c>
      <c r="L234" s="14">
        <f t="shared" si="36"/>
        <v>9</v>
      </c>
      <c r="M234" s="7">
        <f t="shared" si="37"/>
        <v>38</v>
      </c>
      <c r="N234" s="7">
        <f t="shared" si="38"/>
        <v>2</v>
      </c>
      <c r="O234" s="9" t="s">
        <v>66</v>
      </c>
      <c r="P234" s="9" t="s">
        <v>67</v>
      </c>
      <c r="Q234" s="9">
        <v>7</v>
      </c>
      <c r="R234" s="12">
        <v>159.08000000000001</v>
      </c>
      <c r="S234" s="12">
        <f>VLOOKUP(O234,'Product-cost'!A:B,2,)</f>
        <v>50</v>
      </c>
      <c r="T234" s="9" t="s">
        <v>49</v>
      </c>
      <c r="U234" s="9" t="s">
        <v>62</v>
      </c>
      <c r="V234" s="9" t="s">
        <v>875</v>
      </c>
      <c r="W234" s="9" t="s">
        <v>894</v>
      </c>
      <c r="X234" s="12">
        <f t="shared" si="39"/>
        <v>1113.5600000000002</v>
      </c>
      <c r="Y234" s="12">
        <f t="shared" si="40"/>
        <v>350</v>
      </c>
      <c r="Z234" s="16">
        <f>VLOOKUP(T234,Taxrate!A:B,2,FALSE)</f>
        <v>0.12</v>
      </c>
      <c r="AA234" s="12">
        <f t="shared" si="41"/>
        <v>133.62720000000002</v>
      </c>
      <c r="AB234" s="16">
        <f>VLOOKUP('Sales Dataset'!O234,'Discount Rate'!A:B,2,)</f>
        <v>0.03</v>
      </c>
      <c r="AC234" s="12">
        <f t="shared" si="42"/>
        <v>10.5</v>
      </c>
      <c r="AD234" s="18">
        <f t="shared" si="43"/>
        <v>349.85</v>
      </c>
    </row>
    <row r="235" spans="1:30" ht="51" customHeight="1" x14ac:dyDescent="0.35">
      <c r="A235" s="9" t="s">
        <v>519</v>
      </c>
      <c r="B235" s="9" t="s">
        <v>520</v>
      </c>
      <c r="C235" s="9" t="s">
        <v>114</v>
      </c>
      <c r="D235" s="20" t="s">
        <v>19</v>
      </c>
      <c r="E235" s="9" t="s">
        <v>903</v>
      </c>
      <c r="F235" s="9" t="s">
        <v>904</v>
      </c>
      <c r="G235" s="8">
        <v>45353</v>
      </c>
      <c r="H235" s="7">
        <f t="shared" si="33"/>
        <v>2024</v>
      </c>
      <c r="I235" s="7" t="str">
        <f t="shared" si="34"/>
        <v>March</v>
      </c>
      <c r="J235" s="8" t="str">
        <f t="shared" si="35"/>
        <v>Saturday</v>
      </c>
      <c r="K235" s="11">
        <v>0.86009259259259263</v>
      </c>
      <c r="L235" s="14">
        <f t="shared" si="36"/>
        <v>20</v>
      </c>
      <c r="M235" s="7">
        <f t="shared" si="37"/>
        <v>38</v>
      </c>
      <c r="N235" s="7">
        <f t="shared" si="38"/>
        <v>32</v>
      </c>
      <c r="O235" s="9" t="s">
        <v>40</v>
      </c>
      <c r="P235" s="9" t="s">
        <v>41</v>
      </c>
      <c r="Q235" s="9">
        <v>10</v>
      </c>
      <c r="R235" s="12">
        <v>179.97</v>
      </c>
      <c r="S235" s="12">
        <f>VLOOKUP(O235,'Product-cost'!A:B,2,)</f>
        <v>150</v>
      </c>
      <c r="T235" s="9" t="s">
        <v>28</v>
      </c>
      <c r="U235" s="9" t="s">
        <v>46</v>
      </c>
      <c r="V235" s="9" t="s">
        <v>872</v>
      </c>
      <c r="W235" s="9" t="s">
        <v>896</v>
      </c>
      <c r="X235" s="12">
        <f t="shared" si="39"/>
        <v>1799.7</v>
      </c>
      <c r="Y235" s="12">
        <f t="shared" si="40"/>
        <v>1500</v>
      </c>
      <c r="Z235" s="16">
        <f>VLOOKUP(T235,Taxrate!A:B,2,FALSE)</f>
        <v>0.2</v>
      </c>
      <c r="AA235" s="12">
        <f t="shared" si="41"/>
        <v>359.94000000000005</v>
      </c>
      <c r="AB235" s="16">
        <f>VLOOKUP('Sales Dataset'!O235,'Discount Rate'!A:B,2,)</f>
        <v>7.0000000000000007E-2</v>
      </c>
      <c r="AC235" s="12">
        <f t="shared" si="42"/>
        <v>105.00000000000001</v>
      </c>
      <c r="AD235" s="18">
        <f t="shared" si="43"/>
        <v>1499.73</v>
      </c>
    </row>
    <row r="236" spans="1:30" ht="51" customHeight="1" x14ac:dyDescent="0.35">
      <c r="A236" s="9" t="s">
        <v>521</v>
      </c>
      <c r="B236" s="9" t="s">
        <v>522</v>
      </c>
      <c r="C236" s="9" t="s">
        <v>163</v>
      </c>
      <c r="D236" s="20" t="s">
        <v>53</v>
      </c>
      <c r="E236" s="9" t="s">
        <v>909</v>
      </c>
      <c r="F236" s="9" t="s">
        <v>910</v>
      </c>
      <c r="G236" s="8">
        <v>46368</v>
      </c>
      <c r="H236" s="7">
        <f t="shared" si="33"/>
        <v>2026</v>
      </c>
      <c r="I236" s="7" t="str">
        <f t="shared" si="34"/>
        <v>December</v>
      </c>
      <c r="J236" s="8" t="str">
        <f t="shared" si="35"/>
        <v>Saturday</v>
      </c>
      <c r="K236" s="11">
        <v>0.39951388888888889</v>
      </c>
      <c r="L236" s="14">
        <f t="shared" si="36"/>
        <v>9</v>
      </c>
      <c r="M236" s="7">
        <f t="shared" si="37"/>
        <v>35</v>
      </c>
      <c r="N236" s="7">
        <f t="shared" si="38"/>
        <v>18</v>
      </c>
      <c r="O236" s="9" t="s">
        <v>40</v>
      </c>
      <c r="P236" s="9" t="s">
        <v>41</v>
      </c>
      <c r="Q236" s="9">
        <v>6</v>
      </c>
      <c r="R236" s="12">
        <v>265.70999999999998</v>
      </c>
      <c r="S236" s="12">
        <f>VLOOKUP(O236,'Product-cost'!A:B,2,)</f>
        <v>150</v>
      </c>
      <c r="T236" s="9" t="s">
        <v>28</v>
      </c>
      <c r="U236" s="9" t="s">
        <v>54</v>
      </c>
      <c r="V236" s="9" t="s">
        <v>868</v>
      </c>
      <c r="W236" s="9" t="s">
        <v>894</v>
      </c>
      <c r="X236" s="12">
        <f t="shared" si="39"/>
        <v>1594.2599999999998</v>
      </c>
      <c r="Y236" s="12">
        <f t="shared" si="40"/>
        <v>900</v>
      </c>
      <c r="Z236" s="16">
        <f>VLOOKUP(T236,Taxrate!A:B,2,FALSE)</f>
        <v>0.2</v>
      </c>
      <c r="AA236" s="12">
        <f t="shared" si="41"/>
        <v>318.85199999999998</v>
      </c>
      <c r="AB236" s="16">
        <f>VLOOKUP('Sales Dataset'!O236,'Discount Rate'!A:B,2,)</f>
        <v>7.0000000000000007E-2</v>
      </c>
      <c r="AC236" s="12">
        <f t="shared" si="42"/>
        <v>63.000000000000007</v>
      </c>
      <c r="AD236" s="18">
        <f t="shared" si="43"/>
        <v>899.7299999999999</v>
      </c>
    </row>
    <row r="237" spans="1:30" ht="51" customHeight="1" x14ac:dyDescent="0.35">
      <c r="A237" s="9" t="s">
        <v>523</v>
      </c>
      <c r="B237" s="9" t="s">
        <v>524</v>
      </c>
      <c r="C237" s="9" t="s">
        <v>114</v>
      </c>
      <c r="D237" s="20" t="s">
        <v>19</v>
      </c>
      <c r="E237" s="9" t="s">
        <v>903</v>
      </c>
      <c r="F237" s="9" t="s">
        <v>904</v>
      </c>
      <c r="G237" s="8">
        <v>45623</v>
      </c>
      <c r="H237" s="7">
        <f t="shared" si="33"/>
        <v>2024</v>
      </c>
      <c r="I237" s="7" t="str">
        <f t="shared" si="34"/>
        <v>November</v>
      </c>
      <c r="J237" s="8" t="str">
        <f t="shared" si="35"/>
        <v>Wednesday</v>
      </c>
      <c r="K237" s="11">
        <v>0.85574074074074069</v>
      </c>
      <c r="L237" s="14">
        <f t="shared" si="36"/>
        <v>20</v>
      </c>
      <c r="M237" s="7">
        <f t="shared" si="37"/>
        <v>32</v>
      </c>
      <c r="N237" s="7">
        <f t="shared" si="38"/>
        <v>16</v>
      </c>
      <c r="O237" s="9" t="s">
        <v>40</v>
      </c>
      <c r="P237" s="9" t="s">
        <v>41</v>
      </c>
      <c r="Q237" s="9">
        <v>10</v>
      </c>
      <c r="R237" s="12">
        <v>224.7</v>
      </c>
      <c r="S237" s="12">
        <f>VLOOKUP(O237,'Product-cost'!A:B,2,)</f>
        <v>150</v>
      </c>
      <c r="T237" s="9" t="s">
        <v>34</v>
      </c>
      <c r="U237" s="9" t="s">
        <v>46</v>
      </c>
      <c r="V237" s="9" t="s">
        <v>874</v>
      </c>
      <c r="W237" s="9" t="s">
        <v>894</v>
      </c>
      <c r="X237" s="12">
        <f t="shared" si="39"/>
        <v>2247</v>
      </c>
      <c r="Y237" s="12">
        <f t="shared" si="40"/>
        <v>1500</v>
      </c>
      <c r="Z237" s="16">
        <f>VLOOKUP(T237,Taxrate!A:B,2,FALSE)</f>
        <v>0.15</v>
      </c>
      <c r="AA237" s="12">
        <f t="shared" si="41"/>
        <v>337.05</v>
      </c>
      <c r="AB237" s="16">
        <f>VLOOKUP('Sales Dataset'!O237,'Discount Rate'!A:B,2,)</f>
        <v>7.0000000000000007E-2</v>
      </c>
      <c r="AC237" s="12">
        <f t="shared" si="42"/>
        <v>105.00000000000001</v>
      </c>
      <c r="AD237" s="18">
        <f t="shared" si="43"/>
        <v>1499.78</v>
      </c>
    </row>
    <row r="238" spans="1:30" ht="51" customHeight="1" x14ac:dyDescent="0.35">
      <c r="A238" s="9" t="s">
        <v>525</v>
      </c>
      <c r="B238" s="9" t="s">
        <v>526</v>
      </c>
      <c r="C238" s="9" t="s">
        <v>11</v>
      </c>
      <c r="D238" s="20" t="s">
        <v>12</v>
      </c>
      <c r="E238" s="9" t="s">
        <v>901</v>
      </c>
      <c r="F238" s="9" t="s">
        <v>902</v>
      </c>
      <c r="G238" s="8">
        <v>45065</v>
      </c>
      <c r="H238" s="7">
        <f t="shared" si="33"/>
        <v>2023</v>
      </c>
      <c r="I238" s="7" t="str">
        <f t="shared" si="34"/>
        <v>May</v>
      </c>
      <c r="J238" s="8" t="str">
        <f t="shared" si="35"/>
        <v>Friday</v>
      </c>
      <c r="K238" s="11">
        <v>0.78488425925925931</v>
      </c>
      <c r="L238" s="14">
        <f t="shared" si="36"/>
        <v>18</v>
      </c>
      <c r="M238" s="7">
        <f t="shared" si="37"/>
        <v>50</v>
      </c>
      <c r="N238" s="7">
        <f t="shared" si="38"/>
        <v>14</v>
      </c>
      <c r="O238" s="9" t="s">
        <v>20</v>
      </c>
      <c r="P238" s="9" t="s">
        <v>21</v>
      </c>
      <c r="Q238" s="9">
        <v>7</v>
      </c>
      <c r="R238" s="12">
        <v>634.95000000000005</v>
      </c>
      <c r="S238" s="12">
        <f>VLOOKUP(O238,'Product-cost'!A:B,2,)</f>
        <v>300</v>
      </c>
      <c r="T238" s="9" t="s">
        <v>45</v>
      </c>
      <c r="U238" s="9" t="s">
        <v>29</v>
      </c>
      <c r="V238" s="9" t="s">
        <v>879</v>
      </c>
      <c r="W238" s="9" t="s">
        <v>894</v>
      </c>
      <c r="X238" s="12">
        <f t="shared" si="39"/>
        <v>4444.6500000000005</v>
      </c>
      <c r="Y238" s="12">
        <f t="shared" si="40"/>
        <v>2100</v>
      </c>
      <c r="Z238" s="16">
        <f>VLOOKUP(T238,Taxrate!A:B,2,FALSE)</f>
        <v>7.0000000000000007E-2</v>
      </c>
      <c r="AA238" s="12">
        <f t="shared" si="41"/>
        <v>311.12550000000005</v>
      </c>
      <c r="AB238" s="16">
        <f>VLOOKUP('Sales Dataset'!O238,'Discount Rate'!A:B,2,)</f>
        <v>0.1</v>
      </c>
      <c r="AC238" s="12">
        <f t="shared" si="42"/>
        <v>210</v>
      </c>
      <c r="AD238" s="18">
        <f t="shared" si="43"/>
        <v>2099.83</v>
      </c>
    </row>
    <row r="239" spans="1:30" ht="51" customHeight="1" x14ac:dyDescent="0.35">
      <c r="A239" s="9" t="s">
        <v>527</v>
      </c>
      <c r="B239" s="9" t="s">
        <v>528</v>
      </c>
      <c r="C239" s="9" t="s">
        <v>65</v>
      </c>
      <c r="D239" s="20" t="s">
        <v>53</v>
      </c>
      <c r="E239" s="9" t="s">
        <v>909</v>
      </c>
      <c r="F239" s="9" t="s">
        <v>910</v>
      </c>
      <c r="G239" s="8">
        <v>45651</v>
      </c>
      <c r="H239" s="7">
        <f t="shared" si="33"/>
        <v>2024</v>
      </c>
      <c r="I239" s="7" t="str">
        <f t="shared" si="34"/>
        <v>December</v>
      </c>
      <c r="J239" s="8" t="str">
        <f t="shared" si="35"/>
        <v>Wednesday</v>
      </c>
      <c r="K239" s="11">
        <v>0.72026620370370376</v>
      </c>
      <c r="L239" s="14">
        <f t="shared" si="36"/>
        <v>17</v>
      </c>
      <c r="M239" s="7">
        <f t="shared" si="37"/>
        <v>17</v>
      </c>
      <c r="N239" s="7">
        <f t="shared" si="38"/>
        <v>11</v>
      </c>
      <c r="O239" s="9" t="s">
        <v>20</v>
      </c>
      <c r="P239" s="9" t="s">
        <v>21</v>
      </c>
      <c r="Q239" s="9">
        <v>4</v>
      </c>
      <c r="R239" s="12">
        <v>552.62</v>
      </c>
      <c r="S239" s="12">
        <f>VLOOKUP(O239,'Product-cost'!A:B,2,)</f>
        <v>300</v>
      </c>
      <c r="T239" s="9" t="s">
        <v>22</v>
      </c>
      <c r="U239" s="9" t="s">
        <v>206</v>
      </c>
      <c r="V239" s="9" t="s">
        <v>869</v>
      </c>
      <c r="W239" s="9" t="s">
        <v>894</v>
      </c>
      <c r="X239" s="12">
        <f t="shared" si="39"/>
        <v>2210.48</v>
      </c>
      <c r="Y239" s="12">
        <f t="shared" si="40"/>
        <v>1200</v>
      </c>
      <c r="Z239" s="16">
        <f>VLOOKUP(T239,Taxrate!A:B,2,FALSE)</f>
        <v>0.1</v>
      </c>
      <c r="AA239" s="12">
        <f t="shared" si="41"/>
        <v>221.048</v>
      </c>
      <c r="AB239" s="16">
        <f>VLOOKUP('Sales Dataset'!O239,'Discount Rate'!A:B,2,)</f>
        <v>0.1</v>
      </c>
      <c r="AC239" s="12">
        <f t="shared" si="42"/>
        <v>120</v>
      </c>
      <c r="AD239" s="18">
        <f t="shared" si="43"/>
        <v>1199.8000000000002</v>
      </c>
    </row>
    <row r="240" spans="1:30" ht="51" customHeight="1" x14ac:dyDescent="0.35">
      <c r="A240" s="9" t="s">
        <v>529</v>
      </c>
      <c r="B240" s="9" t="s">
        <v>455</v>
      </c>
      <c r="C240" s="9" t="s">
        <v>65</v>
      </c>
      <c r="D240" s="20" t="s">
        <v>53</v>
      </c>
      <c r="E240" s="9" t="s">
        <v>909</v>
      </c>
      <c r="F240" s="9" t="s">
        <v>910</v>
      </c>
      <c r="G240" s="8">
        <v>46035</v>
      </c>
      <c r="H240" s="7">
        <f t="shared" si="33"/>
        <v>2026</v>
      </c>
      <c r="I240" s="7" t="str">
        <f t="shared" si="34"/>
        <v>January</v>
      </c>
      <c r="J240" s="8" t="str">
        <f t="shared" si="35"/>
        <v>Tuesday</v>
      </c>
      <c r="K240" s="11">
        <v>0.89609953703703704</v>
      </c>
      <c r="L240" s="14">
        <f t="shared" si="36"/>
        <v>21</v>
      </c>
      <c r="M240" s="7">
        <f t="shared" si="37"/>
        <v>30</v>
      </c>
      <c r="N240" s="7">
        <f t="shared" si="38"/>
        <v>23</v>
      </c>
      <c r="O240" s="9" t="s">
        <v>40</v>
      </c>
      <c r="P240" s="9" t="s">
        <v>41</v>
      </c>
      <c r="Q240" s="9">
        <v>15</v>
      </c>
      <c r="R240" s="12">
        <v>274.67</v>
      </c>
      <c r="S240" s="12">
        <f>VLOOKUP(O240,'Product-cost'!A:B,2,)</f>
        <v>150</v>
      </c>
      <c r="T240" s="9" t="s">
        <v>22</v>
      </c>
      <c r="U240" s="9" t="s">
        <v>68</v>
      </c>
      <c r="V240" s="9" t="s">
        <v>872</v>
      </c>
      <c r="W240" s="9" t="s">
        <v>896</v>
      </c>
      <c r="X240" s="12">
        <f t="shared" si="39"/>
        <v>4120.05</v>
      </c>
      <c r="Y240" s="12">
        <f t="shared" si="40"/>
        <v>2250</v>
      </c>
      <c r="Z240" s="16">
        <f>VLOOKUP(T240,Taxrate!A:B,2,FALSE)</f>
        <v>0.1</v>
      </c>
      <c r="AA240" s="12">
        <f t="shared" si="41"/>
        <v>412.00500000000005</v>
      </c>
      <c r="AB240" s="16">
        <f>VLOOKUP('Sales Dataset'!O240,'Discount Rate'!A:B,2,)</f>
        <v>7.0000000000000007E-2</v>
      </c>
      <c r="AC240" s="12">
        <f t="shared" si="42"/>
        <v>157.50000000000003</v>
      </c>
      <c r="AD240" s="18">
        <f t="shared" si="43"/>
        <v>2249.83</v>
      </c>
    </row>
    <row r="241" spans="1:30" ht="51" customHeight="1" x14ac:dyDescent="0.35">
      <c r="A241" s="9" t="s">
        <v>530</v>
      </c>
      <c r="B241" s="9" t="s">
        <v>531</v>
      </c>
      <c r="C241" s="9" t="s">
        <v>90</v>
      </c>
      <c r="D241" s="20" t="s">
        <v>91</v>
      </c>
      <c r="E241" s="9" t="s">
        <v>915</v>
      </c>
      <c r="F241" s="9" t="s">
        <v>916</v>
      </c>
      <c r="G241" s="8">
        <v>46357</v>
      </c>
      <c r="H241" s="7">
        <f t="shared" si="33"/>
        <v>2026</v>
      </c>
      <c r="I241" s="7" t="str">
        <f t="shared" si="34"/>
        <v>December</v>
      </c>
      <c r="J241" s="8" t="str">
        <f t="shared" si="35"/>
        <v>Tuesday</v>
      </c>
      <c r="K241" s="11">
        <v>0.68223379629629632</v>
      </c>
      <c r="L241" s="14">
        <f t="shared" si="36"/>
        <v>16</v>
      </c>
      <c r="M241" s="7">
        <f t="shared" si="37"/>
        <v>22</v>
      </c>
      <c r="N241" s="7">
        <f t="shared" si="38"/>
        <v>25</v>
      </c>
      <c r="O241" s="9" t="s">
        <v>20</v>
      </c>
      <c r="P241" s="9" t="s">
        <v>21</v>
      </c>
      <c r="Q241" s="9">
        <v>2</v>
      </c>
      <c r="R241" s="12">
        <v>618.02</v>
      </c>
      <c r="S241" s="12">
        <f>VLOOKUP(O241,'Product-cost'!A:B,2,)</f>
        <v>300</v>
      </c>
      <c r="T241" s="9" t="s">
        <v>45</v>
      </c>
      <c r="U241" s="9" t="s">
        <v>92</v>
      </c>
      <c r="V241" s="9" t="s">
        <v>878</v>
      </c>
      <c r="W241" s="9" t="s">
        <v>894</v>
      </c>
      <c r="X241" s="12">
        <f t="shared" si="39"/>
        <v>1236.04</v>
      </c>
      <c r="Y241" s="12">
        <f t="shared" si="40"/>
        <v>600</v>
      </c>
      <c r="Z241" s="16">
        <f>VLOOKUP(T241,Taxrate!A:B,2,FALSE)</f>
        <v>7.0000000000000007E-2</v>
      </c>
      <c r="AA241" s="12">
        <f t="shared" si="41"/>
        <v>86.522800000000004</v>
      </c>
      <c r="AB241" s="16">
        <f>VLOOKUP('Sales Dataset'!O241,'Discount Rate'!A:B,2,)</f>
        <v>0.1</v>
      </c>
      <c r="AC241" s="12">
        <f t="shared" si="42"/>
        <v>60</v>
      </c>
      <c r="AD241" s="18">
        <f t="shared" si="43"/>
        <v>599.82999999999993</v>
      </c>
    </row>
    <row r="242" spans="1:30" ht="51" customHeight="1" x14ac:dyDescent="0.35">
      <c r="A242" s="9" t="s">
        <v>532</v>
      </c>
      <c r="B242" s="9" t="s">
        <v>533</v>
      </c>
      <c r="C242" s="9" t="s">
        <v>18</v>
      </c>
      <c r="D242" s="20" t="s">
        <v>19</v>
      </c>
      <c r="E242" s="9" t="s">
        <v>903</v>
      </c>
      <c r="F242" s="9" t="s">
        <v>904</v>
      </c>
      <c r="G242" s="8">
        <v>45892</v>
      </c>
      <c r="H242" s="7">
        <f t="shared" si="33"/>
        <v>2025</v>
      </c>
      <c r="I242" s="7" t="str">
        <f t="shared" si="34"/>
        <v>August</v>
      </c>
      <c r="J242" s="8" t="str">
        <f t="shared" si="35"/>
        <v>Saturday</v>
      </c>
      <c r="K242" s="11">
        <v>0.54966435185185181</v>
      </c>
      <c r="L242" s="14">
        <f t="shared" si="36"/>
        <v>13</v>
      </c>
      <c r="M242" s="7">
        <f t="shared" si="37"/>
        <v>11</v>
      </c>
      <c r="N242" s="7">
        <f t="shared" si="38"/>
        <v>31</v>
      </c>
      <c r="O242" s="9" t="s">
        <v>66</v>
      </c>
      <c r="P242" s="9" t="s">
        <v>67</v>
      </c>
      <c r="Q242" s="9">
        <v>12</v>
      </c>
      <c r="R242" s="12">
        <v>147.38</v>
      </c>
      <c r="S242" s="12">
        <f>VLOOKUP(O242,'Product-cost'!A:B,2,)</f>
        <v>50</v>
      </c>
      <c r="T242" s="9" t="s">
        <v>34</v>
      </c>
      <c r="U242" s="9" t="s">
        <v>23</v>
      </c>
      <c r="V242" s="9" t="s">
        <v>871</v>
      </c>
      <c r="W242" s="9" t="s">
        <v>894</v>
      </c>
      <c r="X242" s="12">
        <f t="shared" si="39"/>
        <v>1768.56</v>
      </c>
      <c r="Y242" s="12">
        <f t="shared" si="40"/>
        <v>600</v>
      </c>
      <c r="Z242" s="16">
        <f>VLOOKUP(T242,Taxrate!A:B,2,FALSE)</f>
        <v>0.15</v>
      </c>
      <c r="AA242" s="12">
        <f t="shared" si="41"/>
        <v>265.28399999999999</v>
      </c>
      <c r="AB242" s="16">
        <f>VLOOKUP('Sales Dataset'!O242,'Discount Rate'!A:B,2,)</f>
        <v>0.03</v>
      </c>
      <c r="AC242" s="12">
        <f t="shared" si="42"/>
        <v>18</v>
      </c>
      <c r="AD242" s="18">
        <f t="shared" si="43"/>
        <v>599.82000000000005</v>
      </c>
    </row>
    <row r="243" spans="1:30" ht="51" customHeight="1" x14ac:dyDescent="0.35">
      <c r="A243" s="9" t="s">
        <v>534</v>
      </c>
      <c r="B243" s="9" t="s">
        <v>535</v>
      </c>
      <c r="C243" s="9" t="s">
        <v>90</v>
      </c>
      <c r="D243" s="20" t="s">
        <v>91</v>
      </c>
      <c r="E243" s="9" t="s">
        <v>915</v>
      </c>
      <c r="F243" s="9" t="s">
        <v>916</v>
      </c>
      <c r="G243" s="8">
        <v>45445</v>
      </c>
      <c r="H243" s="7">
        <f t="shared" si="33"/>
        <v>2024</v>
      </c>
      <c r="I243" s="7" t="str">
        <f t="shared" si="34"/>
        <v>June</v>
      </c>
      <c r="J243" s="8" t="str">
        <f t="shared" si="35"/>
        <v>Sunday</v>
      </c>
      <c r="K243" s="11">
        <v>0.86607638888888894</v>
      </c>
      <c r="L243" s="14">
        <f t="shared" si="36"/>
        <v>20</v>
      </c>
      <c r="M243" s="7">
        <f t="shared" si="37"/>
        <v>47</v>
      </c>
      <c r="N243" s="7">
        <f t="shared" si="38"/>
        <v>9</v>
      </c>
      <c r="O243" s="9" t="s">
        <v>66</v>
      </c>
      <c r="P243" s="9" t="s">
        <v>67</v>
      </c>
      <c r="Q243" s="9">
        <v>3</v>
      </c>
      <c r="R243" s="12">
        <v>130.09</v>
      </c>
      <c r="S243" s="12">
        <f>VLOOKUP(O243,'Product-cost'!A:B,2,)</f>
        <v>50</v>
      </c>
      <c r="T243" s="9" t="s">
        <v>49</v>
      </c>
      <c r="U243" s="9" t="s">
        <v>92</v>
      </c>
      <c r="V243" s="9" t="s">
        <v>872</v>
      </c>
      <c r="W243" s="9" t="s">
        <v>896</v>
      </c>
      <c r="X243" s="12">
        <f t="shared" si="39"/>
        <v>390.27</v>
      </c>
      <c r="Y243" s="12">
        <f t="shared" si="40"/>
        <v>150</v>
      </c>
      <c r="Z243" s="16">
        <f>VLOOKUP(T243,Taxrate!A:B,2,FALSE)</f>
        <v>0.12</v>
      </c>
      <c r="AA243" s="12">
        <f t="shared" si="41"/>
        <v>46.832399999999993</v>
      </c>
      <c r="AB243" s="16">
        <f>VLOOKUP('Sales Dataset'!O243,'Discount Rate'!A:B,2,)</f>
        <v>0.03</v>
      </c>
      <c r="AC243" s="12">
        <f t="shared" si="42"/>
        <v>4.5</v>
      </c>
      <c r="AD243" s="18">
        <f t="shared" si="43"/>
        <v>149.85</v>
      </c>
    </row>
    <row r="244" spans="1:30" ht="51" customHeight="1" x14ac:dyDescent="0.35">
      <c r="A244" s="9" t="s">
        <v>536</v>
      </c>
      <c r="B244" s="9" t="s">
        <v>128</v>
      </c>
      <c r="C244" s="9" t="s">
        <v>52</v>
      </c>
      <c r="D244" s="20" t="s">
        <v>53</v>
      </c>
      <c r="E244" s="9" t="s">
        <v>909</v>
      </c>
      <c r="F244" s="9" t="s">
        <v>910</v>
      </c>
      <c r="G244" s="8">
        <v>45368</v>
      </c>
      <c r="H244" s="7">
        <f t="shared" si="33"/>
        <v>2024</v>
      </c>
      <c r="I244" s="7" t="str">
        <f t="shared" si="34"/>
        <v>March</v>
      </c>
      <c r="J244" s="8" t="str">
        <f t="shared" si="35"/>
        <v>Sunday</v>
      </c>
      <c r="K244" s="11">
        <v>0.66226851851851853</v>
      </c>
      <c r="L244" s="14">
        <f t="shared" si="36"/>
        <v>15</v>
      </c>
      <c r="M244" s="7">
        <f t="shared" si="37"/>
        <v>53</v>
      </c>
      <c r="N244" s="7">
        <f t="shared" si="38"/>
        <v>40</v>
      </c>
      <c r="O244" s="9" t="s">
        <v>13</v>
      </c>
      <c r="P244" s="9" t="s">
        <v>14</v>
      </c>
      <c r="Q244" s="9">
        <v>6</v>
      </c>
      <c r="R244" s="12">
        <v>980.15</v>
      </c>
      <c r="S244" s="12">
        <f>VLOOKUP(O244,'Product-cost'!A:B,2,)</f>
        <v>600</v>
      </c>
      <c r="T244" s="9" t="s">
        <v>49</v>
      </c>
      <c r="U244" s="9" t="s">
        <v>206</v>
      </c>
      <c r="V244" s="9" t="s">
        <v>870</v>
      </c>
      <c r="W244" s="9" t="s">
        <v>894</v>
      </c>
      <c r="X244" s="12">
        <f t="shared" si="39"/>
        <v>5880.9</v>
      </c>
      <c r="Y244" s="12">
        <f t="shared" si="40"/>
        <v>3600</v>
      </c>
      <c r="Z244" s="16">
        <f>VLOOKUP(T244,Taxrate!A:B,2,FALSE)</f>
        <v>0.12</v>
      </c>
      <c r="AA244" s="12">
        <f t="shared" si="41"/>
        <v>705.70799999999997</v>
      </c>
      <c r="AB244" s="16">
        <f>VLOOKUP('Sales Dataset'!O244,'Discount Rate'!A:B,2,)</f>
        <v>0.05</v>
      </c>
      <c r="AC244" s="12">
        <f t="shared" si="42"/>
        <v>180</v>
      </c>
      <c r="AD244" s="18">
        <f t="shared" si="43"/>
        <v>3599.83</v>
      </c>
    </row>
    <row r="245" spans="1:30" ht="51" customHeight="1" x14ac:dyDescent="0.35">
      <c r="A245" s="9" t="s">
        <v>537</v>
      </c>
      <c r="B245" s="9" t="s">
        <v>64</v>
      </c>
      <c r="C245" s="9" t="s">
        <v>150</v>
      </c>
      <c r="D245" s="20" t="s">
        <v>33</v>
      </c>
      <c r="E245" s="9" t="s">
        <v>905</v>
      </c>
      <c r="F245" s="9" t="s">
        <v>906</v>
      </c>
      <c r="G245" s="8">
        <v>45420</v>
      </c>
      <c r="H245" s="7">
        <f t="shared" si="33"/>
        <v>2024</v>
      </c>
      <c r="I245" s="7" t="str">
        <f t="shared" si="34"/>
        <v>May</v>
      </c>
      <c r="J245" s="8" t="str">
        <f t="shared" si="35"/>
        <v>Wednesday</v>
      </c>
      <c r="K245" s="11">
        <v>0.5718981481481481</v>
      </c>
      <c r="L245" s="14">
        <f t="shared" si="36"/>
        <v>13</v>
      </c>
      <c r="M245" s="7">
        <f t="shared" si="37"/>
        <v>43</v>
      </c>
      <c r="N245" s="7">
        <f t="shared" si="38"/>
        <v>32</v>
      </c>
      <c r="O245" s="9" t="s">
        <v>66</v>
      </c>
      <c r="P245" s="9" t="s">
        <v>67</v>
      </c>
      <c r="Q245" s="9">
        <v>8</v>
      </c>
      <c r="R245" s="12">
        <v>148.58000000000001</v>
      </c>
      <c r="S245" s="12">
        <f>VLOOKUP(O245,'Product-cost'!A:B,2,)</f>
        <v>50</v>
      </c>
      <c r="T245" s="9" t="s">
        <v>22</v>
      </c>
      <c r="U245" s="9" t="s">
        <v>77</v>
      </c>
      <c r="V245" s="9" t="s">
        <v>878</v>
      </c>
      <c r="W245" s="9" t="s">
        <v>894</v>
      </c>
      <c r="X245" s="12">
        <f t="shared" si="39"/>
        <v>1188.6400000000001</v>
      </c>
      <c r="Y245" s="12">
        <f t="shared" si="40"/>
        <v>400</v>
      </c>
      <c r="Z245" s="16">
        <f>VLOOKUP(T245,Taxrate!A:B,2,FALSE)</f>
        <v>0.1</v>
      </c>
      <c r="AA245" s="12">
        <f t="shared" si="41"/>
        <v>118.86400000000002</v>
      </c>
      <c r="AB245" s="16">
        <f>VLOOKUP('Sales Dataset'!O245,'Discount Rate'!A:B,2,)</f>
        <v>0.03</v>
      </c>
      <c r="AC245" s="12">
        <f t="shared" si="42"/>
        <v>12</v>
      </c>
      <c r="AD245" s="18">
        <f t="shared" si="43"/>
        <v>399.87</v>
      </c>
    </row>
    <row r="246" spans="1:30" ht="51" customHeight="1" x14ac:dyDescent="0.35">
      <c r="A246" s="9" t="s">
        <v>538</v>
      </c>
      <c r="B246" s="9" t="s">
        <v>539</v>
      </c>
      <c r="C246" s="9" t="s">
        <v>60</v>
      </c>
      <c r="D246" s="20" t="s">
        <v>61</v>
      </c>
      <c r="E246" s="9" t="s">
        <v>911</v>
      </c>
      <c r="F246" s="9" t="s">
        <v>912</v>
      </c>
      <c r="G246" s="8">
        <v>45394</v>
      </c>
      <c r="H246" s="7">
        <f t="shared" si="33"/>
        <v>2024</v>
      </c>
      <c r="I246" s="7" t="str">
        <f t="shared" si="34"/>
        <v>April</v>
      </c>
      <c r="J246" s="8" t="str">
        <f t="shared" si="35"/>
        <v>Friday</v>
      </c>
      <c r="K246" s="11">
        <v>0.55603009259259262</v>
      </c>
      <c r="L246" s="14">
        <f t="shared" si="36"/>
        <v>13</v>
      </c>
      <c r="M246" s="7">
        <f t="shared" si="37"/>
        <v>20</v>
      </c>
      <c r="N246" s="7">
        <f t="shared" si="38"/>
        <v>41</v>
      </c>
      <c r="O246" s="9" t="s">
        <v>26</v>
      </c>
      <c r="P246" s="9" t="s">
        <v>27</v>
      </c>
      <c r="Q246" s="9">
        <v>10</v>
      </c>
      <c r="R246" s="12">
        <v>374.25</v>
      </c>
      <c r="S246" s="12">
        <f>VLOOKUP(O246,'Product-cost'!A:B,2,)</f>
        <v>200</v>
      </c>
      <c r="T246" s="9" t="s">
        <v>34</v>
      </c>
      <c r="U246" s="9" t="s">
        <v>158</v>
      </c>
      <c r="V246" s="9" t="s">
        <v>881</v>
      </c>
      <c r="W246" s="9" t="s">
        <v>894</v>
      </c>
      <c r="X246" s="12">
        <f t="shared" si="39"/>
        <v>3742.5</v>
      </c>
      <c r="Y246" s="12">
        <f t="shared" si="40"/>
        <v>2000</v>
      </c>
      <c r="Z246" s="16">
        <f>VLOOKUP(T246,Taxrate!A:B,2,FALSE)</f>
        <v>0.15</v>
      </c>
      <c r="AA246" s="12">
        <f t="shared" si="41"/>
        <v>561.375</v>
      </c>
      <c r="AB246" s="16">
        <f>VLOOKUP('Sales Dataset'!O246,'Discount Rate'!A:B,2,)</f>
        <v>0.08</v>
      </c>
      <c r="AC246" s="12">
        <f t="shared" si="42"/>
        <v>160</v>
      </c>
      <c r="AD246" s="18">
        <f t="shared" si="43"/>
        <v>1999.77</v>
      </c>
    </row>
    <row r="247" spans="1:30" ht="51" customHeight="1" x14ac:dyDescent="0.35">
      <c r="A247" s="9" t="s">
        <v>540</v>
      </c>
      <c r="B247" s="9" t="s">
        <v>541</v>
      </c>
      <c r="C247" s="9" t="s">
        <v>117</v>
      </c>
      <c r="D247" s="20" t="s">
        <v>19</v>
      </c>
      <c r="E247" s="9" t="s">
        <v>903</v>
      </c>
      <c r="F247" s="9" t="s">
        <v>904</v>
      </c>
      <c r="G247" s="8">
        <v>45407</v>
      </c>
      <c r="H247" s="7">
        <f t="shared" si="33"/>
        <v>2024</v>
      </c>
      <c r="I247" s="7" t="str">
        <f t="shared" si="34"/>
        <v>April</v>
      </c>
      <c r="J247" s="8" t="str">
        <f t="shared" si="35"/>
        <v>Thursday</v>
      </c>
      <c r="K247" s="11">
        <v>0.82276620370370368</v>
      </c>
      <c r="L247" s="14">
        <f t="shared" si="36"/>
        <v>19</v>
      </c>
      <c r="M247" s="7">
        <f t="shared" si="37"/>
        <v>44</v>
      </c>
      <c r="N247" s="7">
        <f t="shared" si="38"/>
        <v>47</v>
      </c>
      <c r="O247" s="9" t="s">
        <v>13</v>
      </c>
      <c r="P247" s="9" t="s">
        <v>14</v>
      </c>
      <c r="Q247" s="9">
        <v>7</v>
      </c>
      <c r="R247" s="12">
        <v>500</v>
      </c>
      <c r="S247" s="12">
        <f>VLOOKUP(O247,'Product-cost'!A:B,2,)</f>
        <v>600</v>
      </c>
      <c r="T247" s="9" t="s">
        <v>45</v>
      </c>
      <c r="U247" s="9" t="s">
        <v>23</v>
      </c>
      <c r="V247" s="9" t="s">
        <v>879</v>
      </c>
      <c r="W247" s="9" t="s">
        <v>894</v>
      </c>
      <c r="X247" s="12">
        <f t="shared" si="39"/>
        <v>3500</v>
      </c>
      <c r="Y247" s="12">
        <f t="shared" si="40"/>
        <v>4200</v>
      </c>
      <c r="Z247" s="16">
        <f>VLOOKUP(T247,Taxrate!A:B,2,FALSE)</f>
        <v>7.0000000000000007E-2</v>
      </c>
      <c r="AA247" s="12">
        <f t="shared" si="41"/>
        <v>245.00000000000003</v>
      </c>
      <c r="AB247" s="16">
        <f>VLOOKUP('Sales Dataset'!O247,'Discount Rate'!A:B,2,)</f>
        <v>0.05</v>
      </c>
      <c r="AC247" s="12">
        <f t="shared" si="42"/>
        <v>210</v>
      </c>
      <c r="AD247" s="18">
        <f t="shared" si="43"/>
        <v>4199.88</v>
      </c>
    </row>
    <row r="248" spans="1:30" ht="51" customHeight="1" x14ac:dyDescent="0.35">
      <c r="A248" s="9" t="s">
        <v>542</v>
      </c>
      <c r="B248" s="9" t="s">
        <v>543</v>
      </c>
      <c r="C248" s="9" t="s">
        <v>117</v>
      </c>
      <c r="D248" s="20" t="s">
        <v>19</v>
      </c>
      <c r="E248" s="9" t="s">
        <v>903</v>
      </c>
      <c r="F248" s="9" t="s">
        <v>904</v>
      </c>
      <c r="G248" s="8">
        <v>46090</v>
      </c>
      <c r="H248" s="7">
        <f t="shared" si="33"/>
        <v>2026</v>
      </c>
      <c r="I248" s="7" t="str">
        <f t="shared" si="34"/>
        <v>March</v>
      </c>
      <c r="J248" s="8" t="str">
        <f t="shared" si="35"/>
        <v>Monday</v>
      </c>
      <c r="K248" s="11">
        <v>0.50989583333333333</v>
      </c>
      <c r="L248" s="14">
        <f t="shared" si="36"/>
        <v>12</v>
      </c>
      <c r="M248" s="7">
        <f t="shared" si="37"/>
        <v>14</v>
      </c>
      <c r="N248" s="7">
        <f t="shared" si="38"/>
        <v>15</v>
      </c>
      <c r="O248" s="9" t="s">
        <v>26</v>
      </c>
      <c r="P248" s="9" t="s">
        <v>27</v>
      </c>
      <c r="Q248" s="9">
        <v>3</v>
      </c>
      <c r="R248" s="12">
        <v>487.7</v>
      </c>
      <c r="S248" s="12">
        <f>VLOOKUP(O248,'Product-cost'!A:B,2,)</f>
        <v>200</v>
      </c>
      <c r="T248" s="9" t="s">
        <v>45</v>
      </c>
      <c r="U248" s="9" t="s">
        <v>46</v>
      </c>
      <c r="V248" s="9" t="s">
        <v>875</v>
      </c>
      <c r="W248" s="9" t="s">
        <v>894</v>
      </c>
      <c r="X248" s="12">
        <f t="shared" si="39"/>
        <v>1463.1</v>
      </c>
      <c r="Y248" s="12">
        <f t="shared" si="40"/>
        <v>600</v>
      </c>
      <c r="Z248" s="16">
        <f>VLOOKUP(T248,Taxrate!A:B,2,FALSE)</f>
        <v>7.0000000000000007E-2</v>
      </c>
      <c r="AA248" s="12">
        <f t="shared" si="41"/>
        <v>102.417</v>
      </c>
      <c r="AB248" s="16">
        <f>VLOOKUP('Sales Dataset'!O248,'Discount Rate'!A:B,2,)</f>
        <v>0.08</v>
      </c>
      <c r="AC248" s="12">
        <f t="shared" si="42"/>
        <v>48</v>
      </c>
      <c r="AD248" s="18">
        <f t="shared" si="43"/>
        <v>599.84999999999991</v>
      </c>
    </row>
    <row r="249" spans="1:30" ht="51" customHeight="1" x14ac:dyDescent="0.35">
      <c r="A249" s="9" t="s">
        <v>544</v>
      </c>
      <c r="B249" s="9" t="s">
        <v>545</v>
      </c>
      <c r="C249" s="9" t="s">
        <v>126</v>
      </c>
      <c r="D249" s="20" t="s">
        <v>19</v>
      </c>
      <c r="E249" s="9" t="s">
        <v>903</v>
      </c>
      <c r="F249" s="9" t="s">
        <v>904</v>
      </c>
      <c r="G249" s="8">
        <v>46355</v>
      </c>
      <c r="H249" s="7">
        <f t="shared" si="33"/>
        <v>2026</v>
      </c>
      <c r="I249" s="7" t="str">
        <f t="shared" si="34"/>
        <v>November</v>
      </c>
      <c r="J249" s="8" t="str">
        <f t="shared" si="35"/>
        <v>Sunday</v>
      </c>
      <c r="K249" s="11">
        <v>0.7350578703703704</v>
      </c>
      <c r="L249" s="14">
        <f t="shared" si="36"/>
        <v>17</v>
      </c>
      <c r="M249" s="7">
        <f t="shared" si="37"/>
        <v>38</v>
      </c>
      <c r="N249" s="7">
        <f t="shared" si="38"/>
        <v>29</v>
      </c>
      <c r="O249" s="9" t="s">
        <v>40</v>
      </c>
      <c r="P249" s="9" t="s">
        <v>41</v>
      </c>
      <c r="Q249" s="9">
        <v>11</v>
      </c>
      <c r="R249" s="12">
        <v>210.06</v>
      </c>
      <c r="S249" s="12">
        <f>VLOOKUP(O249,'Product-cost'!A:B,2,)</f>
        <v>150</v>
      </c>
      <c r="T249" s="9" t="s">
        <v>22</v>
      </c>
      <c r="U249" s="9" t="s">
        <v>130</v>
      </c>
      <c r="V249" s="9" t="s">
        <v>872</v>
      </c>
      <c r="W249" s="9" t="s">
        <v>896</v>
      </c>
      <c r="X249" s="12">
        <f t="shared" si="39"/>
        <v>2310.66</v>
      </c>
      <c r="Y249" s="12">
        <f t="shared" si="40"/>
        <v>1650</v>
      </c>
      <c r="Z249" s="16">
        <f>VLOOKUP(T249,Taxrate!A:B,2,FALSE)</f>
        <v>0.1</v>
      </c>
      <c r="AA249" s="12">
        <f t="shared" si="41"/>
        <v>231.066</v>
      </c>
      <c r="AB249" s="16">
        <f>VLOOKUP('Sales Dataset'!O249,'Discount Rate'!A:B,2,)</f>
        <v>7.0000000000000007E-2</v>
      </c>
      <c r="AC249" s="12">
        <f t="shared" si="42"/>
        <v>115.50000000000001</v>
      </c>
      <c r="AD249" s="18">
        <f t="shared" si="43"/>
        <v>1649.8300000000002</v>
      </c>
    </row>
    <row r="250" spans="1:30" ht="51" customHeight="1" x14ac:dyDescent="0.35">
      <c r="A250" s="9" t="s">
        <v>546</v>
      </c>
      <c r="B250" s="9" t="s">
        <v>106</v>
      </c>
      <c r="C250" s="9" t="s">
        <v>114</v>
      </c>
      <c r="D250" s="20" t="s">
        <v>19</v>
      </c>
      <c r="E250" s="9" t="s">
        <v>903</v>
      </c>
      <c r="F250" s="9" t="s">
        <v>904</v>
      </c>
      <c r="G250" s="8">
        <v>45424</v>
      </c>
      <c r="H250" s="7">
        <f t="shared" si="33"/>
        <v>2024</v>
      </c>
      <c r="I250" s="7" t="str">
        <f t="shared" si="34"/>
        <v>May</v>
      </c>
      <c r="J250" s="8" t="str">
        <f t="shared" si="35"/>
        <v>Sunday</v>
      </c>
      <c r="K250" s="11">
        <v>0.64861111111111114</v>
      </c>
      <c r="L250" s="14">
        <f t="shared" si="36"/>
        <v>15</v>
      </c>
      <c r="M250" s="7">
        <f t="shared" si="37"/>
        <v>34</v>
      </c>
      <c r="N250" s="7">
        <f t="shared" si="38"/>
        <v>0</v>
      </c>
      <c r="O250" s="9" t="s">
        <v>66</v>
      </c>
      <c r="P250" s="9" t="s">
        <v>67</v>
      </c>
      <c r="Q250" s="9">
        <v>8</v>
      </c>
      <c r="R250" s="12">
        <v>177.44</v>
      </c>
      <c r="S250" s="12">
        <f>VLOOKUP(O250,'Product-cost'!A:B,2,)</f>
        <v>50</v>
      </c>
      <c r="T250" s="9" t="s">
        <v>22</v>
      </c>
      <c r="U250" s="9" t="s">
        <v>23</v>
      </c>
      <c r="V250" s="9" t="s">
        <v>873</v>
      </c>
      <c r="W250" s="9" t="s">
        <v>895</v>
      </c>
      <c r="X250" s="12">
        <f t="shared" si="39"/>
        <v>1419.52</v>
      </c>
      <c r="Y250" s="12">
        <f t="shared" si="40"/>
        <v>400</v>
      </c>
      <c r="Z250" s="16">
        <f>VLOOKUP(T250,Taxrate!A:B,2,FALSE)</f>
        <v>0.1</v>
      </c>
      <c r="AA250" s="12">
        <f t="shared" si="41"/>
        <v>141.952</v>
      </c>
      <c r="AB250" s="16">
        <f>VLOOKUP('Sales Dataset'!O250,'Discount Rate'!A:B,2,)</f>
        <v>0.03</v>
      </c>
      <c r="AC250" s="12">
        <f t="shared" si="42"/>
        <v>12</v>
      </c>
      <c r="AD250" s="18">
        <f t="shared" si="43"/>
        <v>399.87</v>
      </c>
    </row>
    <row r="251" spans="1:30" ht="51" customHeight="1" x14ac:dyDescent="0.35">
      <c r="A251" s="9" t="s">
        <v>547</v>
      </c>
      <c r="B251" s="9" t="s">
        <v>548</v>
      </c>
      <c r="C251" s="9" t="s">
        <v>141</v>
      </c>
      <c r="D251" s="20" t="s">
        <v>142</v>
      </c>
      <c r="E251" s="9" t="s">
        <v>917</v>
      </c>
      <c r="F251" s="9" t="s">
        <v>918</v>
      </c>
      <c r="G251" s="8">
        <v>45378</v>
      </c>
      <c r="H251" s="7">
        <f t="shared" si="33"/>
        <v>2024</v>
      </c>
      <c r="I251" s="7" t="str">
        <f t="shared" si="34"/>
        <v>March</v>
      </c>
      <c r="J251" s="8" t="str">
        <f t="shared" si="35"/>
        <v>Wednesday</v>
      </c>
      <c r="K251" s="11">
        <v>0.39421296296296299</v>
      </c>
      <c r="L251" s="14">
        <f t="shared" si="36"/>
        <v>9</v>
      </c>
      <c r="M251" s="7">
        <f t="shared" si="37"/>
        <v>27</v>
      </c>
      <c r="N251" s="7">
        <f t="shared" si="38"/>
        <v>40</v>
      </c>
      <c r="O251" s="9" t="s">
        <v>20</v>
      </c>
      <c r="P251" s="9" t="s">
        <v>21</v>
      </c>
      <c r="Q251" s="9">
        <v>13</v>
      </c>
      <c r="R251" s="12">
        <v>722.27</v>
      </c>
      <c r="S251" s="12">
        <f>VLOOKUP(O251,'Product-cost'!A:B,2,)</f>
        <v>300</v>
      </c>
      <c r="T251" s="9" t="s">
        <v>22</v>
      </c>
      <c r="U251" s="9" t="s">
        <v>143</v>
      </c>
      <c r="V251" s="9" t="s">
        <v>882</v>
      </c>
      <c r="W251" s="9" t="s">
        <v>895</v>
      </c>
      <c r="X251" s="12">
        <f t="shared" si="39"/>
        <v>9389.51</v>
      </c>
      <c r="Y251" s="12">
        <f t="shared" si="40"/>
        <v>3900</v>
      </c>
      <c r="Z251" s="16">
        <f>VLOOKUP(T251,Taxrate!A:B,2,FALSE)</f>
        <v>0.1</v>
      </c>
      <c r="AA251" s="12">
        <f t="shared" si="41"/>
        <v>938.95100000000002</v>
      </c>
      <c r="AB251" s="16">
        <f>VLOOKUP('Sales Dataset'!O251,'Discount Rate'!A:B,2,)</f>
        <v>0.1</v>
      </c>
      <c r="AC251" s="12">
        <f t="shared" si="42"/>
        <v>390</v>
      </c>
      <c r="AD251" s="18">
        <f t="shared" si="43"/>
        <v>3899.8</v>
      </c>
    </row>
    <row r="252" spans="1:30" ht="51" customHeight="1" x14ac:dyDescent="0.35">
      <c r="A252" s="9" t="s">
        <v>549</v>
      </c>
      <c r="B252" s="9" t="s">
        <v>550</v>
      </c>
      <c r="C252" s="9" t="s">
        <v>126</v>
      </c>
      <c r="D252" s="20" t="s">
        <v>19</v>
      </c>
      <c r="E252" s="9" t="s">
        <v>903</v>
      </c>
      <c r="F252" s="9" t="s">
        <v>904</v>
      </c>
      <c r="G252" s="8">
        <v>45603</v>
      </c>
      <c r="H252" s="7">
        <f t="shared" si="33"/>
        <v>2024</v>
      </c>
      <c r="I252" s="7" t="str">
        <f t="shared" si="34"/>
        <v>November</v>
      </c>
      <c r="J252" s="8" t="str">
        <f t="shared" si="35"/>
        <v>Thursday</v>
      </c>
      <c r="K252" s="11">
        <v>0.4722337962962963</v>
      </c>
      <c r="L252" s="14">
        <f t="shared" si="36"/>
        <v>11</v>
      </c>
      <c r="M252" s="7">
        <f t="shared" si="37"/>
        <v>20</v>
      </c>
      <c r="N252" s="7">
        <f t="shared" si="38"/>
        <v>1</v>
      </c>
      <c r="O252" s="9" t="s">
        <v>20</v>
      </c>
      <c r="P252" s="9" t="s">
        <v>21</v>
      </c>
      <c r="Q252" s="9">
        <v>7</v>
      </c>
      <c r="R252" s="12">
        <v>535.78</v>
      </c>
      <c r="S252" s="12">
        <f>VLOOKUP(O252,'Product-cost'!A:B,2,)</f>
        <v>300</v>
      </c>
      <c r="T252" s="9" t="s">
        <v>45</v>
      </c>
      <c r="U252" s="9" t="s">
        <v>23</v>
      </c>
      <c r="V252" s="9" t="s">
        <v>868</v>
      </c>
      <c r="W252" s="9" t="s">
        <v>894</v>
      </c>
      <c r="X252" s="12">
        <f t="shared" si="39"/>
        <v>3750.46</v>
      </c>
      <c r="Y252" s="12">
        <f t="shared" si="40"/>
        <v>2100</v>
      </c>
      <c r="Z252" s="16">
        <f>VLOOKUP(T252,Taxrate!A:B,2,FALSE)</f>
        <v>7.0000000000000007E-2</v>
      </c>
      <c r="AA252" s="12">
        <f t="shared" si="41"/>
        <v>262.53220000000005</v>
      </c>
      <c r="AB252" s="16">
        <f>VLOOKUP('Sales Dataset'!O252,'Discount Rate'!A:B,2,)</f>
        <v>0.1</v>
      </c>
      <c r="AC252" s="12">
        <f t="shared" si="42"/>
        <v>210</v>
      </c>
      <c r="AD252" s="18">
        <f t="shared" si="43"/>
        <v>2099.83</v>
      </c>
    </row>
    <row r="253" spans="1:30" ht="51" customHeight="1" x14ac:dyDescent="0.35">
      <c r="A253" s="9" t="s">
        <v>551</v>
      </c>
      <c r="B253" s="9" t="s">
        <v>552</v>
      </c>
      <c r="C253" s="9" t="s">
        <v>90</v>
      </c>
      <c r="D253" s="20" t="s">
        <v>91</v>
      </c>
      <c r="E253" s="9" t="s">
        <v>915</v>
      </c>
      <c r="F253" s="9" t="s">
        <v>916</v>
      </c>
      <c r="G253" s="8">
        <v>45947</v>
      </c>
      <c r="H253" s="7">
        <f t="shared" si="33"/>
        <v>2025</v>
      </c>
      <c r="I253" s="7" t="str">
        <f t="shared" si="34"/>
        <v>October</v>
      </c>
      <c r="J253" s="8" t="str">
        <f t="shared" si="35"/>
        <v>Friday</v>
      </c>
      <c r="K253" s="11">
        <v>0.65613425925925928</v>
      </c>
      <c r="L253" s="14">
        <f t="shared" si="36"/>
        <v>15</v>
      </c>
      <c r="M253" s="7">
        <f t="shared" si="37"/>
        <v>44</v>
      </c>
      <c r="N253" s="7">
        <f t="shared" si="38"/>
        <v>50</v>
      </c>
      <c r="O253" s="9" t="s">
        <v>13</v>
      </c>
      <c r="P253" s="9" t="s">
        <v>14</v>
      </c>
      <c r="Q253" s="9">
        <v>14</v>
      </c>
      <c r="R253" s="12">
        <v>873.04</v>
      </c>
      <c r="S253" s="12">
        <f>VLOOKUP(O253,'Product-cost'!A:B,2,)</f>
        <v>600</v>
      </c>
      <c r="T253" s="9" t="s">
        <v>22</v>
      </c>
      <c r="U253" s="9" t="s">
        <v>92</v>
      </c>
      <c r="V253" s="9" t="s">
        <v>873</v>
      </c>
      <c r="W253" s="9" t="s">
        <v>895</v>
      </c>
      <c r="X253" s="12">
        <f t="shared" si="39"/>
        <v>12222.56</v>
      </c>
      <c r="Y253" s="12">
        <f t="shared" si="40"/>
        <v>8400</v>
      </c>
      <c r="Z253" s="16">
        <f>VLOOKUP(T253,Taxrate!A:B,2,FALSE)</f>
        <v>0.1</v>
      </c>
      <c r="AA253" s="12">
        <f t="shared" si="41"/>
        <v>1222.2560000000001</v>
      </c>
      <c r="AB253" s="16">
        <f>VLOOKUP('Sales Dataset'!O253,'Discount Rate'!A:B,2,)</f>
        <v>0.05</v>
      </c>
      <c r="AC253" s="12">
        <f t="shared" si="42"/>
        <v>420</v>
      </c>
      <c r="AD253" s="18">
        <f t="shared" si="43"/>
        <v>8399.85</v>
      </c>
    </row>
    <row r="254" spans="1:30" ht="51" customHeight="1" x14ac:dyDescent="0.35">
      <c r="A254" s="9" t="s">
        <v>553</v>
      </c>
      <c r="B254" s="9" t="s">
        <v>554</v>
      </c>
      <c r="C254" s="9" t="s">
        <v>11</v>
      </c>
      <c r="D254" s="20" t="s">
        <v>12</v>
      </c>
      <c r="E254" s="9" t="s">
        <v>901</v>
      </c>
      <c r="F254" s="9" t="s">
        <v>902</v>
      </c>
      <c r="G254" s="8">
        <v>45715</v>
      </c>
      <c r="H254" s="7">
        <f t="shared" si="33"/>
        <v>2025</v>
      </c>
      <c r="I254" s="7" t="str">
        <f t="shared" si="34"/>
        <v>February</v>
      </c>
      <c r="J254" s="8" t="str">
        <f t="shared" si="35"/>
        <v>Thursday</v>
      </c>
      <c r="K254" s="11">
        <v>0.49099537037037039</v>
      </c>
      <c r="L254" s="14">
        <f t="shared" si="36"/>
        <v>11</v>
      </c>
      <c r="M254" s="7">
        <f t="shared" si="37"/>
        <v>47</v>
      </c>
      <c r="N254" s="7">
        <f t="shared" si="38"/>
        <v>2</v>
      </c>
      <c r="O254" s="9" t="s">
        <v>20</v>
      </c>
      <c r="P254" s="9" t="s">
        <v>21</v>
      </c>
      <c r="Q254" s="9">
        <v>13</v>
      </c>
      <c r="R254" s="12">
        <v>500</v>
      </c>
      <c r="S254" s="12">
        <f>VLOOKUP(O254,'Product-cost'!A:B,2,)</f>
        <v>300</v>
      </c>
      <c r="T254" s="9" t="s">
        <v>28</v>
      </c>
      <c r="U254" s="9" t="s">
        <v>15</v>
      </c>
      <c r="V254" s="9" t="s">
        <v>878</v>
      </c>
      <c r="W254" s="9" t="s">
        <v>894</v>
      </c>
      <c r="X254" s="12">
        <f t="shared" si="39"/>
        <v>6500</v>
      </c>
      <c r="Y254" s="12">
        <f t="shared" si="40"/>
        <v>3900</v>
      </c>
      <c r="Z254" s="16">
        <f>VLOOKUP(T254,Taxrate!A:B,2,FALSE)</f>
        <v>0.2</v>
      </c>
      <c r="AA254" s="12">
        <f t="shared" si="41"/>
        <v>1300</v>
      </c>
      <c r="AB254" s="16">
        <f>VLOOKUP('Sales Dataset'!O254,'Discount Rate'!A:B,2,)</f>
        <v>0.1</v>
      </c>
      <c r="AC254" s="12">
        <f t="shared" si="42"/>
        <v>390</v>
      </c>
      <c r="AD254" s="18">
        <f t="shared" si="43"/>
        <v>3899.7000000000003</v>
      </c>
    </row>
    <row r="255" spans="1:30" ht="51" customHeight="1" x14ac:dyDescent="0.35">
      <c r="A255" s="9" t="s">
        <v>555</v>
      </c>
      <c r="B255" s="9" t="s">
        <v>285</v>
      </c>
      <c r="C255" s="9" t="s">
        <v>114</v>
      </c>
      <c r="D255" s="20" t="s">
        <v>19</v>
      </c>
      <c r="E255" s="9" t="s">
        <v>903</v>
      </c>
      <c r="F255" s="9" t="s">
        <v>904</v>
      </c>
      <c r="G255" s="8">
        <v>45328</v>
      </c>
      <c r="H255" s="7">
        <f t="shared" si="33"/>
        <v>2024</v>
      </c>
      <c r="I255" s="7" t="str">
        <f t="shared" si="34"/>
        <v>February</v>
      </c>
      <c r="J255" s="8" t="str">
        <f t="shared" si="35"/>
        <v>Tuesday</v>
      </c>
      <c r="K255" s="11">
        <v>0.76333333333333331</v>
      </c>
      <c r="L255" s="14">
        <f t="shared" si="36"/>
        <v>18</v>
      </c>
      <c r="M255" s="7">
        <f t="shared" si="37"/>
        <v>19</v>
      </c>
      <c r="N255" s="7">
        <f t="shared" si="38"/>
        <v>12</v>
      </c>
      <c r="O255" s="9" t="s">
        <v>26</v>
      </c>
      <c r="P255" s="9" t="s">
        <v>27</v>
      </c>
      <c r="Q255" s="9">
        <v>14</v>
      </c>
      <c r="R255" s="12">
        <v>514.65</v>
      </c>
      <c r="S255" s="12">
        <f>VLOOKUP(O255,'Product-cost'!A:B,2,)</f>
        <v>200</v>
      </c>
      <c r="T255" s="9" t="s">
        <v>28</v>
      </c>
      <c r="U255" s="9" t="s">
        <v>23</v>
      </c>
      <c r="V255" s="9" t="s">
        <v>872</v>
      </c>
      <c r="W255" s="9" t="s">
        <v>896</v>
      </c>
      <c r="X255" s="12">
        <f t="shared" si="39"/>
        <v>7205.0999999999995</v>
      </c>
      <c r="Y255" s="12">
        <f t="shared" si="40"/>
        <v>2800</v>
      </c>
      <c r="Z255" s="16">
        <f>VLOOKUP(T255,Taxrate!A:B,2,FALSE)</f>
        <v>0.2</v>
      </c>
      <c r="AA255" s="12">
        <f t="shared" si="41"/>
        <v>1441.02</v>
      </c>
      <c r="AB255" s="16">
        <f>VLOOKUP('Sales Dataset'!O255,'Discount Rate'!A:B,2,)</f>
        <v>0.08</v>
      </c>
      <c r="AC255" s="12">
        <f t="shared" si="42"/>
        <v>224</v>
      </c>
      <c r="AD255" s="18">
        <f t="shared" si="43"/>
        <v>2799.7200000000003</v>
      </c>
    </row>
    <row r="256" spans="1:30" ht="51" customHeight="1" x14ac:dyDescent="0.35">
      <c r="A256" s="9" t="s">
        <v>556</v>
      </c>
      <c r="B256" s="9" t="s">
        <v>557</v>
      </c>
      <c r="C256" s="9" t="s">
        <v>150</v>
      </c>
      <c r="D256" s="20" t="s">
        <v>33</v>
      </c>
      <c r="E256" s="9" t="s">
        <v>905</v>
      </c>
      <c r="F256" s="9" t="s">
        <v>906</v>
      </c>
      <c r="G256" s="8">
        <v>46306</v>
      </c>
      <c r="H256" s="7">
        <f t="shared" si="33"/>
        <v>2026</v>
      </c>
      <c r="I256" s="7" t="str">
        <f t="shared" si="34"/>
        <v>October</v>
      </c>
      <c r="J256" s="8" t="str">
        <f t="shared" si="35"/>
        <v>Sunday</v>
      </c>
      <c r="K256" s="11">
        <v>0.57575231481481481</v>
      </c>
      <c r="L256" s="14">
        <f t="shared" si="36"/>
        <v>13</v>
      </c>
      <c r="M256" s="7">
        <f t="shared" si="37"/>
        <v>49</v>
      </c>
      <c r="N256" s="7">
        <f t="shared" si="38"/>
        <v>5</v>
      </c>
      <c r="O256" s="9" t="s">
        <v>20</v>
      </c>
      <c r="P256" s="9" t="s">
        <v>21</v>
      </c>
      <c r="Q256" s="9">
        <v>2</v>
      </c>
      <c r="R256" s="12">
        <v>581.53</v>
      </c>
      <c r="S256" s="12">
        <f>VLOOKUP(O256,'Product-cost'!A:B,2,)</f>
        <v>300</v>
      </c>
      <c r="T256" s="9" t="s">
        <v>45</v>
      </c>
      <c r="U256" s="9" t="s">
        <v>35</v>
      </c>
      <c r="V256" s="9" t="s">
        <v>872</v>
      </c>
      <c r="W256" s="9" t="s">
        <v>896</v>
      </c>
      <c r="X256" s="12">
        <f t="shared" si="39"/>
        <v>1163.06</v>
      </c>
      <c r="Y256" s="12">
        <f t="shared" si="40"/>
        <v>600</v>
      </c>
      <c r="Z256" s="16">
        <f>VLOOKUP(T256,Taxrate!A:B,2,FALSE)</f>
        <v>7.0000000000000007E-2</v>
      </c>
      <c r="AA256" s="12">
        <f t="shared" si="41"/>
        <v>81.414200000000008</v>
      </c>
      <c r="AB256" s="16">
        <f>VLOOKUP('Sales Dataset'!O256,'Discount Rate'!A:B,2,)</f>
        <v>0.1</v>
      </c>
      <c r="AC256" s="12">
        <f t="shared" si="42"/>
        <v>60</v>
      </c>
      <c r="AD256" s="18">
        <f t="shared" si="43"/>
        <v>599.82999999999993</v>
      </c>
    </row>
    <row r="257" spans="1:30" ht="51" customHeight="1" x14ac:dyDescent="0.35">
      <c r="A257" s="9" t="s">
        <v>558</v>
      </c>
      <c r="B257" s="9" t="s">
        <v>559</v>
      </c>
      <c r="C257" s="9" t="s">
        <v>32</v>
      </c>
      <c r="D257" s="20" t="s">
        <v>33</v>
      </c>
      <c r="E257" s="9" t="s">
        <v>905</v>
      </c>
      <c r="F257" s="9" t="s">
        <v>906</v>
      </c>
      <c r="G257" s="8">
        <v>45322</v>
      </c>
      <c r="H257" s="7">
        <f t="shared" si="33"/>
        <v>2024</v>
      </c>
      <c r="I257" s="7" t="str">
        <f t="shared" si="34"/>
        <v>January</v>
      </c>
      <c r="J257" s="8" t="str">
        <f t="shared" si="35"/>
        <v>Wednesday</v>
      </c>
      <c r="K257" s="11">
        <v>0.80858796296296298</v>
      </c>
      <c r="L257" s="14">
        <f t="shared" si="36"/>
        <v>19</v>
      </c>
      <c r="M257" s="7">
        <f t="shared" si="37"/>
        <v>24</v>
      </c>
      <c r="N257" s="7">
        <f t="shared" si="38"/>
        <v>22</v>
      </c>
      <c r="O257" s="9" t="s">
        <v>20</v>
      </c>
      <c r="P257" s="9" t="s">
        <v>21</v>
      </c>
      <c r="Q257" s="9">
        <v>1</v>
      </c>
      <c r="R257" s="12">
        <v>611.25</v>
      </c>
      <c r="S257" s="12">
        <f>VLOOKUP(O257,'Product-cost'!A:B,2,)</f>
        <v>300</v>
      </c>
      <c r="T257" s="9" t="s">
        <v>22</v>
      </c>
      <c r="U257" s="9" t="s">
        <v>35</v>
      </c>
      <c r="V257" s="9" t="s">
        <v>869</v>
      </c>
      <c r="W257" s="9" t="s">
        <v>894</v>
      </c>
      <c r="X257" s="12">
        <f t="shared" si="39"/>
        <v>611.25</v>
      </c>
      <c r="Y257" s="12">
        <f t="shared" si="40"/>
        <v>300</v>
      </c>
      <c r="Z257" s="16">
        <f>VLOOKUP(T257,Taxrate!A:B,2,FALSE)</f>
        <v>0.1</v>
      </c>
      <c r="AA257" s="12">
        <f t="shared" si="41"/>
        <v>61.125</v>
      </c>
      <c r="AB257" s="16">
        <f>VLOOKUP('Sales Dataset'!O257,'Discount Rate'!A:B,2,)</f>
        <v>0.1</v>
      </c>
      <c r="AC257" s="12">
        <f t="shared" si="42"/>
        <v>30</v>
      </c>
      <c r="AD257" s="18">
        <f t="shared" si="43"/>
        <v>299.79999999999995</v>
      </c>
    </row>
    <row r="258" spans="1:30" ht="51" customHeight="1" x14ac:dyDescent="0.35">
      <c r="A258" s="9" t="s">
        <v>560</v>
      </c>
      <c r="B258" s="9" t="s">
        <v>561</v>
      </c>
      <c r="C258" s="9" t="s">
        <v>57</v>
      </c>
      <c r="D258" s="20" t="s">
        <v>12</v>
      </c>
      <c r="E258" s="9" t="s">
        <v>901</v>
      </c>
      <c r="F258" s="9" t="s">
        <v>902</v>
      </c>
      <c r="G258" s="8">
        <v>45068</v>
      </c>
      <c r="H258" s="7">
        <f t="shared" si="33"/>
        <v>2023</v>
      </c>
      <c r="I258" s="7" t="str">
        <f t="shared" si="34"/>
        <v>May</v>
      </c>
      <c r="J258" s="8" t="str">
        <f t="shared" si="35"/>
        <v>Monday</v>
      </c>
      <c r="K258" s="11">
        <v>0.63810185185185186</v>
      </c>
      <c r="L258" s="14">
        <f t="shared" si="36"/>
        <v>15</v>
      </c>
      <c r="M258" s="7">
        <f t="shared" si="37"/>
        <v>18</v>
      </c>
      <c r="N258" s="7">
        <f t="shared" si="38"/>
        <v>52</v>
      </c>
      <c r="O258" s="9" t="s">
        <v>26</v>
      </c>
      <c r="P258" s="9" t="s">
        <v>27</v>
      </c>
      <c r="Q258" s="9">
        <v>8</v>
      </c>
      <c r="R258" s="12">
        <v>500</v>
      </c>
      <c r="S258" s="12">
        <f>VLOOKUP(O258,'Product-cost'!A:B,2,)</f>
        <v>200</v>
      </c>
      <c r="T258" s="9" t="s">
        <v>49</v>
      </c>
      <c r="U258" s="9" t="s">
        <v>29</v>
      </c>
      <c r="V258" s="9" t="s">
        <v>869</v>
      </c>
      <c r="W258" s="9" t="s">
        <v>894</v>
      </c>
      <c r="X258" s="12">
        <f t="shared" si="39"/>
        <v>4000</v>
      </c>
      <c r="Y258" s="12">
        <f t="shared" si="40"/>
        <v>1600</v>
      </c>
      <c r="Z258" s="16">
        <f>VLOOKUP(T258,Taxrate!A:B,2,FALSE)</f>
        <v>0.12</v>
      </c>
      <c r="AA258" s="12">
        <f t="shared" si="41"/>
        <v>480</v>
      </c>
      <c r="AB258" s="16">
        <f>VLOOKUP('Sales Dataset'!O258,'Discount Rate'!A:B,2,)</f>
        <v>0.08</v>
      </c>
      <c r="AC258" s="12">
        <f t="shared" si="42"/>
        <v>128</v>
      </c>
      <c r="AD258" s="18">
        <f t="shared" si="43"/>
        <v>1599.8000000000002</v>
      </c>
    </row>
    <row r="259" spans="1:30" ht="51" customHeight="1" x14ac:dyDescent="0.35">
      <c r="A259" s="9" t="s">
        <v>562</v>
      </c>
      <c r="B259" s="9" t="s">
        <v>563</v>
      </c>
      <c r="C259" s="9" t="s">
        <v>57</v>
      </c>
      <c r="D259" s="20" t="s">
        <v>12</v>
      </c>
      <c r="E259" s="9" t="s">
        <v>901</v>
      </c>
      <c r="F259" s="9" t="s">
        <v>902</v>
      </c>
      <c r="G259" s="8">
        <v>45315</v>
      </c>
      <c r="H259" s="7">
        <f t="shared" ref="H259:H322" si="44">YEAR(G259)</f>
        <v>2024</v>
      </c>
      <c r="I259" s="7" t="str">
        <f t="shared" ref="I259:I322" si="45">TEXT(G259,"mmmm")</f>
        <v>January</v>
      </c>
      <c r="J259" s="8" t="str">
        <f t="shared" ref="J259:J322" si="46">TEXT(G259,"dddd")</f>
        <v>Wednesday</v>
      </c>
      <c r="K259" s="11">
        <v>0.85774305555555552</v>
      </c>
      <c r="L259" s="14">
        <f t="shared" ref="L259:L322" si="47">HOUR(K259)</f>
        <v>20</v>
      </c>
      <c r="M259" s="7">
        <f t="shared" ref="M259:M322" si="48">MINUTE(K259)</f>
        <v>35</v>
      </c>
      <c r="N259" s="7">
        <f t="shared" ref="N259:N322" si="49">SECOND(K259)</f>
        <v>9</v>
      </c>
      <c r="O259" s="9" t="s">
        <v>40</v>
      </c>
      <c r="P259" s="9" t="s">
        <v>41</v>
      </c>
      <c r="Q259" s="9">
        <v>7</v>
      </c>
      <c r="R259" s="12">
        <v>188.15</v>
      </c>
      <c r="S259" s="12">
        <f>VLOOKUP(O259,'Product-cost'!A:B,2,)</f>
        <v>150</v>
      </c>
      <c r="T259" s="9" t="s">
        <v>49</v>
      </c>
      <c r="U259" s="9" t="s">
        <v>15</v>
      </c>
      <c r="V259" s="9" t="s">
        <v>877</v>
      </c>
      <c r="W259" s="9" t="s">
        <v>894</v>
      </c>
      <c r="X259" s="12">
        <f t="shared" ref="X259:X322" si="50">R259*Q259</f>
        <v>1317.05</v>
      </c>
      <c r="Y259" s="12">
        <f t="shared" ref="Y259:Y322" si="51">S259*Q259</f>
        <v>1050</v>
      </c>
      <c r="Z259" s="16">
        <f>VLOOKUP(T259,Taxrate!A:B,2,FALSE)</f>
        <v>0.12</v>
      </c>
      <c r="AA259" s="12">
        <f t="shared" ref="AA259:AA322" si="52">X259*Z259</f>
        <v>158.04599999999999</v>
      </c>
      <c r="AB259" s="16">
        <f>VLOOKUP('Sales Dataset'!O259,'Discount Rate'!A:B,2,)</f>
        <v>7.0000000000000007E-2</v>
      </c>
      <c r="AC259" s="12">
        <f t="shared" ref="AC259:AC322" si="53">Y259*AB259</f>
        <v>73.5</v>
      </c>
      <c r="AD259" s="18">
        <f t="shared" ref="AD259:AD322" si="54">Y259-AB259-Z259</f>
        <v>1049.8100000000002</v>
      </c>
    </row>
    <row r="260" spans="1:30" ht="51" customHeight="1" x14ac:dyDescent="0.35">
      <c r="A260" s="9" t="s">
        <v>564</v>
      </c>
      <c r="B260" s="9" t="s">
        <v>565</v>
      </c>
      <c r="C260" s="9" t="s">
        <v>38</v>
      </c>
      <c r="D260" s="20" t="s">
        <v>39</v>
      </c>
      <c r="E260" s="9" t="s">
        <v>907</v>
      </c>
      <c r="F260" s="9" t="s">
        <v>908</v>
      </c>
      <c r="G260" s="8">
        <v>46211</v>
      </c>
      <c r="H260" s="7">
        <f t="shared" si="44"/>
        <v>2026</v>
      </c>
      <c r="I260" s="7" t="str">
        <f t="shared" si="45"/>
        <v>July</v>
      </c>
      <c r="J260" s="8" t="str">
        <f t="shared" si="46"/>
        <v>Wednesday</v>
      </c>
      <c r="K260" s="11">
        <v>0.77190972222222221</v>
      </c>
      <c r="L260" s="14">
        <f t="shared" si="47"/>
        <v>18</v>
      </c>
      <c r="M260" s="7">
        <f t="shared" si="48"/>
        <v>31</v>
      </c>
      <c r="N260" s="7">
        <f t="shared" si="49"/>
        <v>33</v>
      </c>
      <c r="O260" s="9" t="s">
        <v>40</v>
      </c>
      <c r="P260" s="9" t="s">
        <v>41</v>
      </c>
      <c r="Q260" s="9">
        <v>5</v>
      </c>
      <c r="R260" s="12">
        <v>500</v>
      </c>
      <c r="S260" s="12">
        <f>VLOOKUP(O260,'Product-cost'!A:B,2,)</f>
        <v>150</v>
      </c>
      <c r="T260" s="9" t="s">
        <v>28</v>
      </c>
      <c r="U260" s="9" t="s">
        <v>80</v>
      </c>
      <c r="V260" s="9" t="s">
        <v>873</v>
      </c>
      <c r="W260" s="9" t="s">
        <v>895</v>
      </c>
      <c r="X260" s="12">
        <f t="shared" si="50"/>
        <v>2500</v>
      </c>
      <c r="Y260" s="12">
        <f t="shared" si="51"/>
        <v>750</v>
      </c>
      <c r="Z260" s="16">
        <f>VLOOKUP(T260,Taxrate!A:B,2,FALSE)</f>
        <v>0.2</v>
      </c>
      <c r="AA260" s="12">
        <f t="shared" si="52"/>
        <v>500</v>
      </c>
      <c r="AB260" s="16">
        <f>VLOOKUP('Sales Dataset'!O260,'Discount Rate'!A:B,2,)</f>
        <v>7.0000000000000007E-2</v>
      </c>
      <c r="AC260" s="12">
        <f t="shared" si="53"/>
        <v>52.500000000000007</v>
      </c>
      <c r="AD260" s="18">
        <f t="shared" si="54"/>
        <v>749.7299999999999</v>
      </c>
    </row>
    <row r="261" spans="1:30" ht="51" customHeight="1" x14ac:dyDescent="0.35">
      <c r="A261" s="9" t="s">
        <v>566</v>
      </c>
      <c r="B261" s="9" t="s">
        <v>567</v>
      </c>
      <c r="C261" s="9" t="s">
        <v>38</v>
      </c>
      <c r="D261" s="20" t="s">
        <v>39</v>
      </c>
      <c r="E261" s="9" t="s">
        <v>907</v>
      </c>
      <c r="F261" s="9" t="s">
        <v>908</v>
      </c>
      <c r="G261" s="8">
        <v>46069</v>
      </c>
      <c r="H261" s="7">
        <f t="shared" si="44"/>
        <v>2026</v>
      </c>
      <c r="I261" s="7" t="str">
        <f t="shared" si="45"/>
        <v>February</v>
      </c>
      <c r="J261" s="8" t="str">
        <f t="shared" si="46"/>
        <v>Monday</v>
      </c>
      <c r="K261" s="11">
        <v>0.89155092592592589</v>
      </c>
      <c r="L261" s="14">
        <f t="shared" si="47"/>
        <v>21</v>
      </c>
      <c r="M261" s="7">
        <f t="shared" si="48"/>
        <v>23</v>
      </c>
      <c r="N261" s="7">
        <f t="shared" si="49"/>
        <v>50</v>
      </c>
      <c r="O261" s="9" t="s">
        <v>13</v>
      </c>
      <c r="P261" s="9" t="s">
        <v>14</v>
      </c>
      <c r="Q261" s="9">
        <v>5</v>
      </c>
      <c r="R261" s="12">
        <v>1167.1500000000001</v>
      </c>
      <c r="S261" s="12">
        <f>VLOOKUP(O261,'Product-cost'!A:B,2,)</f>
        <v>600</v>
      </c>
      <c r="T261" s="9" t="s">
        <v>22</v>
      </c>
      <c r="U261" s="9" t="s">
        <v>42</v>
      </c>
      <c r="V261" s="9" t="s">
        <v>870</v>
      </c>
      <c r="W261" s="9" t="s">
        <v>894</v>
      </c>
      <c r="X261" s="12">
        <f t="shared" si="50"/>
        <v>5835.75</v>
      </c>
      <c r="Y261" s="12">
        <f t="shared" si="51"/>
        <v>3000</v>
      </c>
      <c r="Z261" s="16">
        <f>VLOOKUP(T261,Taxrate!A:B,2,FALSE)</f>
        <v>0.1</v>
      </c>
      <c r="AA261" s="12">
        <f t="shared" si="52"/>
        <v>583.57500000000005</v>
      </c>
      <c r="AB261" s="16">
        <f>VLOOKUP('Sales Dataset'!O261,'Discount Rate'!A:B,2,)</f>
        <v>0.05</v>
      </c>
      <c r="AC261" s="12">
        <f t="shared" si="53"/>
        <v>150</v>
      </c>
      <c r="AD261" s="18">
        <f t="shared" si="54"/>
        <v>2999.85</v>
      </c>
    </row>
    <row r="262" spans="1:30" ht="51" customHeight="1" x14ac:dyDescent="0.35">
      <c r="A262" s="9" t="s">
        <v>568</v>
      </c>
      <c r="B262" s="9" t="s">
        <v>531</v>
      </c>
      <c r="C262" s="9" t="s">
        <v>18</v>
      </c>
      <c r="D262" s="20" t="s">
        <v>19</v>
      </c>
      <c r="E262" s="9" t="s">
        <v>903</v>
      </c>
      <c r="F262" s="9" t="s">
        <v>904</v>
      </c>
      <c r="G262" s="8">
        <v>46070</v>
      </c>
      <c r="H262" s="7">
        <f t="shared" si="44"/>
        <v>2026</v>
      </c>
      <c r="I262" s="7" t="str">
        <f t="shared" si="45"/>
        <v>February</v>
      </c>
      <c r="J262" s="8" t="str">
        <f t="shared" si="46"/>
        <v>Tuesday</v>
      </c>
      <c r="K262" s="11">
        <v>0.79640046296296296</v>
      </c>
      <c r="L262" s="14">
        <f t="shared" si="47"/>
        <v>19</v>
      </c>
      <c r="M262" s="7">
        <f t="shared" si="48"/>
        <v>6</v>
      </c>
      <c r="N262" s="7">
        <f t="shared" si="49"/>
        <v>49</v>
      </c>
      <c r="O262" s="9" t="s">
        <v>40</v>
      </c>
      <c r="P262" s="9" t="s">
        <v>41</v>
      </c>
      <c r="Q262" s="9">
        <v>8</v>
      </c>
      <c r="R262" s="12">
        <v>222.98</v>
      </c>
      <c r="S262" s="12">
        <f>VLOOKUP(O262,'Product-cost'!A:B,2,)</f>
        <v>150</v>
      </c>
      <c r="T262" s="9" t="s">
        <v>45</v>
      </c>
      <c r="U262" s="9" t="s">
        <v>46</v>
      </c>
      <c r="V262" s="9" t="s">
        <v>878</v>
      </c>
      <c r="W262" s="9" t="s">
        <v>894</v>
      </c>
      <c r="X262" s="12">
        <f t="shared" si="50"/>
        <v>1783.84</v>
      </c>
      <c r="Y262" s="12">
        <f t="shared" si="51"/>
        <v>1200</v>
      </c>
      <c r="Z262" s="16">
        <f>VLOOKUP(T262,Taxrate!A:B,2,FALSE)</f>
        <v>7.0000000000000007E-2</v>
      </c>
      <c r="AA262" s="12">
        <f t="shared" si="52"/>
        <v>124.86880000000001</v>
      </c>
      <c r="AB262" s="16">
        <f>VLOOKUP('Sales Dataset'!O262,'Discount Rate'!A:B,2,)</f>
        <v>7.0000000000000007E-2</v>
      </c>
      <c r="AC262" s="12">
        <f t="shared" si="53"/>
        <v>84.000000000000014</v>
      </c>
      <c r="AD262" s="18">
        <f t="shared" si="54"/>
        <v>1199.8600000000001</v>
      </c>
    </row>
    <row r="263" spans="1:30" ht="51" customHeight="1" x14ac:dyDescent="0.35">
      <c r="A263" s="9" t="s">
        <v>569</v>
      </c>
      <c r="B263" s="9" t="s">
        <v>570</v>
      </c>
      <c r="C263" s="9" t="s">
        <v>76</v>
      </c>
      <c r="D263" s="20" t="s">
        <v>33</v>
      </c>
      <c r="E263" s="9" t="s">
        <v>905</v>
      </c>
      <c r="F263" s="9" t="s">
        <v>906</v>
      </c>
      <c r="G263" s="8">
        <v>45591</v>
      </c>
      <c r="H263" s="7">
        <f t="shared" si="44"/>
        <v>2024</v>
      </c>
      <c r="I263" s="7" t="str">
        <f t="shared" si="45"/>
        <v>October</v>
      </c>
      <c r="J263" s="8" t="str">
        <f t="shared" si="46"/>
        <v>Saturday</v>
      </c>
      <c r="K263" s="11">
        <v>0.61712962962962958</v>
      </c>
      <c r="L263" s="14">
        <f t="shared" si="47"/>
        <v>14</v>
      </c>
      <c r="M263" s="7">
        <f t="shared" si="48"/>
        <v>48</v>
      </c>
      <c r="N263" s="7">
        <f t="shared" si="49"/>
        <v>40</v>
      </c>
      <c r="O263" s="9" t="s">
        <v>66</v>
      </c>
      <c r="P263" s="9" t="s">
        <v>67</v>
      </c>
      <c r="Q263" s="9">
        <v>6</v>
      </c>
      <c r="R263" s="12">
        <v>162.24</v>
      </c>
      <c r="S263" s="12">
        <f>VLOOKUP(O263,'Product-cost'!A:B,2,)</f>
        <v>50</v>
      </c>
      <c r="T263" s="9" t="s">
        <v>28</v>
      </c>
      <c r="U263" s="9" t="s">
        <v>35</v>
      </c>
      <c r="V263" s="9" t="s">
        <v>869</v>
      </c>
      <c r="W263" s="9" t="s">
        <v>894</v>
      </c>
      <c r="X263" s="12">
        <f t="shared" si="50"/>
        <v>973.44</v>
      </c>
      <c r="Y263" s="12">
        <f t="shared" si="51"/>
        <v>300</v>
      </c>
      <c r="Z263" s="16">
        <f>VLOOKUP(T263,Taxrate!A:B,2,FALSE)</f>
        <v>0.2</v>
      </c>
      <c r="AA263" s="12">
        <f t="shared" si="52"/>
        <v>194.68800000000002</v>
      </c>
      <c r="AB263" s="16">
        <f>VLOOKUP('Sales Dataset'!O263,'Discount Rate'!A:B,2,)</f>
        <v>0.03</v>
      </c>
      <c r="AC263" s="12">
        <f t="shared" si="53"/>
        <v>9</v>
      </c>
      <c r="AD263" s="18">
        <f t="shared" si="54"/>
        <v>299.77000000000004</v>
      </c>
    </row>
    <row r="264" spans="1:30" ht="51" customHeight="1" x14ac:dyDescent="0.35">
      <c r="A264" s="9" t="s">
        <v>571</v>
      </c>
      <c r="B264" s="9" t="s">
        <v>572</v>
      </c>
      <c r="C264" s="9" t="s">
        <v>38</v>
      </c>
      <c r="D264" s="20" t="s">
        <v>39</v>
      </c>
      <c r="E264" s="9" t="s">
        <v>907</v>
      </c>
      <c r="F264" s="9" t="s">
        <v>908</v>
      </c>
      <c r="G264" s="8">
        <v>46147</v>
      </c>
      <c r="H264" s="7">
        <f t="shared" si="44"/>
        <v>2026</v>
      </c>
      <c r="I264" s="7" t="str">
        <f t="shared" si="45"/>
        <v>May</v>
      </c>
      <c r="J264" s="8" t="str">
        <f t="shared" si="46"/>
        <v>Tuesday</v>
      </c>
      <c r="K264" s="11">
        <v>0.67287037037037034</v>
      </c>
      <c r="L264" s="14">
        <f t="shared" si="47"/>
        <v>16</v>
      </c>
      <c r="M264" s="7">
        <f t="shared" si="48"/>
        <v>8</v>
      </c>
      <c r="N264" s="7">
        <f t="shared" si="49"/>
        <v>56</v>
      </c>
      <c r="O264" s="9" t="s">
        <v>26</v>
      </c>
      <c r="P264" s="9" t="s">
        <v>27</v>
      </c>
      <c r="Q264" s="9">
        <v>7</v>
      </c>
      <c r="R264" s="12">
        <v>362.96</v>
      </c>
      <c r="S264" s="12">
        <f>VLOOKUP(O264,'Product-cost'!A:B,2,)</f>
        <v>200</v>
      </c>
      <c r="T264" s="9" t="s">
        <v>22</v>
      </c>
      <c r="U264" s="9" t="s">
        <v>42</v>
      </c>
      <c r="V264" s="9" t="s">
        <v>872</v>
      </c>
      <c r="W264" s="9" t="s">
        <v>896</v>
      </c>
      <c r="X264" s="12">
        <f t="shared" si="50"/>
        <v>2540.7199999999998</v>
      </c>
      <c r="Y264" s="12">
        <f t="shared" si="51"/>
        <v>1400</v>
      </c>
      <c r="Z264" s="16">
        <f>VLOOKUP(T264,Taxrate!A:B,2,FALSE)</f>
        <v>0.1</v>
      </c>
      <c r="AA264" s="12">
        <f t="shared" si="52"/>
        <v>254.072</v>
      </c>
      <c r="AB264" s="16">
        <f>VLOOKUP('Sales Dataset'!O264,'Discount Rate'!A:B,2,)</f>
        <v>0.08</v>
      </c>
      <c r="AC264" s="12">
        <f t="shared" si="53"/>
        <v>112</v>
      </c>
      <c r="AD264" s="18">
        <f t="shared" si="54"/>
        <v>1399.8200000000002</v>
      </c>
    </row>
    <row r="265" spans="1:30" ht="51" customHeight="1" x14ac:dyDescent="0.35">
      <c r="A265" s="9" t="s">
        <v>573</v>
      </c>
      <c r="B265" s="9" t="s">
        <v>574</v>
      </c>
      <c r="C265" s="9" t="s">
        <v>117</v>
      </c>
      <c r="D265" s="20" t="s">
        <v>19</v>
      </c>
      <c r="E265" s="9" t="s">
        <v>903</v>
      </c>
      <c r="F265" s="9" t="s">
        <v>904</v>
      </c>
      <c r="G265" s="8">
        <v>45004</v>
      </c>
      <c r="H265" s="7">
        <f t="shared" si="44"/>
        <v>2023</v>
      </c>
      <c r="I265" s="7" t="str">
        <f t="shared" si="45"/>
        <v>March</v>
      </c>
      <c r="J265" s="8" t="str">
        <f t="shared" si="46"/>
        <v>Sunday</v>
      </c>
      <c r="K265" s="11">
        <v>0.54800925925925925</v>
      </c>
      <c r="L265" s="14">
        <f t="shared" si="47"/>
        <v>13</v>
      </c>
      <c r="M265" s="7">
        <f t="shared" si="48"/>
        <v>9</v>
      </c>
      <c r="N265" s="7">
        <f t="shared" si="49"/>
        <v>8</v>
      </c>
      <c r="O265" s="9" t="s">
        <v>26</v>
      </c>
      <c r="P265" s="9" t="s">
        <v>27</v>
      </c>
      <c r="Q265" s="9">
        <v>10</v>
      </c>
      <c r="R265" s="12">
        <v>371.25</v>
      </c>
      <c r="S265" s="12">
        <f>VLOOKUP(O265,'Product-cost'!A:B,2,)</f>
        <v>200</v>
      </c>
      <c r="T265" s="9" t="s">
        <v>22</v>
      </c>
      <c r="U265" s="9" t="s">
        <v>46</v>
      </c>
      <c r="V265" s="9" t="s">
        <v>883</v>
      </c>
      <c r="W265" s="9" t="s">
        <v>894</v>
      </c>
      <c r="X265" s="12">
        <f t="shared" si="50"/>
        <v>3712.5</v>
      </c>
      <c r="Y265" s="12">
        <f t="shared" si="51"/>
        <v>2000</v>
      </c>
      <c r="Z265" s="16">
        <f>VLOOKUP(T265,Taxrate!A:B,2,FALSE)</f>
        <v>0.1</v>
      </c>
      <c r="AA265" s="12">
        <f t="shared" si="52"/>
        <v>371.25</v>
      </c>
      <c r="AB265" s="16">
        <f>VLOOKUP('Sales Dataset'!O265,'Discount Rate'!A:B,2,)</f>
        <v>0.08</v>
      </c>
      <c r="AC265" s="12">
        <f t="shared" si="53"/>
        <v>160</v>
      </c>
      <c r="AD265" s="18">
        <f t="shared" si="54"/>
        <v>1999.8200000000002</v>
      </c>
    </row>
    <row r="266" spans="1:30" ht="51" customHeight="1" x14ac:dyDescent="0.35">
      <c r="A266" s="9" t="s">
        <v>575</v>
      </c>
      <c r="B266" s="9" t="s">
        <v>576</v>
      </c>
      <c r="C266" s="9" t="s">
        <v>150</v>
      </c>
      <c r="D266" s="20" t="s">
        <v>33</v>
      </c>
      <c r="E266" s="9" t="s">
        <v>905</v>
      </c>
      <c r="F266" s="9" t="s">
        <v>906</v>
      </c>
      <c r="G266" s="8">
        <v>46117</v>
      </c>
      <c r="H266" s="7">
        <f t="shared" si="44"/>
        <v>2026</v>
      </c>
      <c r="I266" s="7" t="str">
        <f t="shared" si="45"/>
        <v>April</v>
      </c>
      <c r="J266" s="8" t="str">
        <f t="shared" si="46"/>
        <v>Sunday</v>
      </c>
      <c r="K266" s="11">
        <v>0.36586805555555557</v>
      </c>
      <c r="L266" s="14">
        <f t="shared" si="47"/>
        <v>8</v>
      </c>
      <c r="M266" s="7">
        <f t="shared" si="48"/>
        <v>46</v>
      </c>
      <c r="N266" s="7">
        <f t="shared" si="49"/>
        <v>51</v>
      </c>
      <c r="O266" s="9" t="s">
        <v>40</v>
      </c>
      <c r="P266" s="9" t="s">
        <v>41</v>
      </c>
      <c r="Q266" s="9">
        <v>13</v>
      </c>
      <c r="R266" s="12">
        <v>500</v>
      </c>
      <c r="S266" s="12">
        <f>VLOOKUP(O266,'Product-cost'!A:B,2,)</f>
        <v>150</v>
      </c>
      <c r="T266" s="9" t="s">
        <v>22</v>
      </c>
      <c r="U266" s="9" t="s">
        <v>77</v>
      </c>
      <c r="V266" s="9" t="s">
        <v>870</v>
      </c>
      <c r="W266" s="9" t="s">
        <v>894</v>
      </c>
      <c r="X266" s="12">
        <f t="shared" si="50"/>
        <v>6500</v>
      </c>
      <c r="Y266" s="12">
        <f t="shared" si="51"/>
        <v>1950</v>
      </c>
      <c r="Z266" s="16">
        <f>VLOOKUP(T266,Taxrate!A:B,2,FALSE)</f>
        <v>0.1</v>
      </c>
      <c r="AA266" s="12">
        <f t="shared" si="52"/>
        <v>650</v>
      </c>
      <c r="AB266" s="16">
        <f>VLOOKUP('Sales Dataset'!O266,'Discount Rate'!A:B,2,)</f>
        <v>7.0000000000000007E-2</v>
      </c>
      <c r="AC266" s="12">
        <f t="shared" si="53"/>
        <v>136.5</v>
      </c>
      <c r="AD266" s="18">
        <f t="shared" si="54"/>
        <v>1949.8300000000002</v>
      </c>
    </row>
    <row r="267" spans="1:30" ht="51" customHeight="1" x14ac:dyDescent="0.35">
      <c r="A267" s="9" t="s">
        <v>577</v>
      </c>
      <c r="B267" s="9" t="s">
        <v>578</v>
      </c>
      <c r="C267" s="9" t="s">
        <v>369</v>
      </c>
      <c r="D267" s="20" t="s">
        <v>39</v>
      </c>
      <c r="E267" s="9" t="s">
        <v>907</v>
      </c>
      <c r="F267" s="9" t="s">
        <v>908</v>
      </c>
      <c r="G267" s="8">
        <v>46221</v>
      </c>
      <c r="H267" s="7">
        <f t="shared" si="44"/>
        <v>2026</v>
      </c>
      <c r="I267" s="7" t="str">
        <f t="shared" si="45"/>
        <v>July</v>
      </c>
      <c r="J267" s="8" t="str">
        <f t="shared" si="46"/>
        <v>Saturday</v>
      </c>
      <c r="K267" s="11">
        <v>0.34690972222222222</v>
      </c>
      <c r="L267" s="14">
        <f t="shared" si="47"/>
        <v>8</v>
      </c>
      <c r="M267" s="7">
        <f t="shared" si="48"/>
        <v>19</v>
      </c>
      <c r="N267" s="7">
        <f t="shared" si="49"/>
        <v>33</v>
      </c>
      <c r="O267" s="9" t="s">
        <v>13</v>
      </c>
      <c r="P267" s="9" t="s">
        <v>14</v>
      </c>
      <c r="Q267" s="9">
        <v>10</v>
      </c>
      <c r="R267" s="12">
        <v>1051.2</v>
      </c>
      <c r="S267" s="12">
        <f>VLOOKUP(O267,'Product-cost'!A:B,2,)</f>
        <v>600</v>
      </c>
      <c r="T267" s="9" t="s">
        <v>28</v>
      </c>
      <c r="U267" s="9" t="s">
        <v>80</v>
      </c>
      <c r="V267" s="9" t="s">
        <v>874</v>
      </c>
      <c r="W267" s="9" t="s">
        <v>894</v>
      </c>
      <c r="X267" s="12">
        <f t="shared" si="50"/>
        <v>10512</v>
      </c>
      <c r="Y267" s="12">
        <f t="shared" si="51"/>
        <v>6000</v>
      </c>
      <c r="Z267" s="16">
        <f>VLOOKUP(T267,Taxrate!A:B,2,FALSE)</f>
        <v>0.2</v>
      </c>
      <c r="AA267" s="12">
        <f t="shared" si="52"/>
        <v>2102.4</v>
      </c>
      <c r="AB267" s="16">
        <f>VLOOKUP('Sales Dataset'!O267,'Discount Rate'!A:B,2,)</f>
        <v>0.05</v>
      </c>
      <c r="AC267" s="12">
        <f t="shared" si="53"/>
        <v>300</v>
      </c>
      <c r="AD267" s="18">
        <f t="shared" si="54"/>
        <v>5999.75</v>
      </c>
    </row>
    <row r="268" spans="1:30" ht="51" customHeight="1" x14ac:dyDescent="0.35">
      <c r="A268" s="9" t="s">
        <v>579</v>
      </c>
      <c r="B268" s="9" t="s">
        <v>580</v>
      </c>
      <c r="C268" s="9" t="s">
        <v>107</v>
      </c>
      <c r="D268" s="20" t="s">
        <v>53</v>
      </c>
      <c r="E268" s="9" t="s">
        <v>909</v>
      </c>
      <c r="F268" s="9" t="s">
        <v>910</v>
      </c>
      <c r="G268" s="8">
        <v>45230</v>
      </c>
      <c r="H268" s="7">
        <f t="shared" si="44"/>
        <v>2023</v>
      </c>
      <c r="I268" s="7" t="str">
        <f t="shared" si="45"/>
        <v>October</v>
      </c>
      <c r="J268" s="8" t="str">
        <f t="shared" si="46"/>
        <v>Tuesday</v>
      </c>
      <c r="K268" s="11">
        <v>0.54548611111111112</v>
      </c>
      <c r="L268" s="14">
        <f t="shared" si="47"/>
        <v>13</v>
      </c>
      <c r="M268" s="7">
        <f t="shared" si="48"/>
        <v>5</v>
      </c>
      <c r="N268" s="7">
        <f t="shared" si="49"/>
        <v>30</v>
      </c>
      <c r="O268" s="9" t="s">
        <v>40</v>
      </c>
      <c r="P268" s="9" t="s">
        <v>41</v>
      </c>
      <c r="Q268" s="9">
        <v>9</v>
      </c>
      <c r="R268" s="12">
        <v>185.36</v>
      </c>
      <c r="S268" s="12">
        <f>VLOOKUP(O268,'Product-cost'!A:B,2,)</f>
        <v>150</v>
      </c>
      <c r="T268" s="9" t="s">
        <v>49</v>
      </c>
      <c r="U268" s="9" t="s">
        <v>54</v>
      </c>
      <c r="V268" s="9" t="s">
        <v>875</v>
      </c>
      <c r="W268" s="9" t="s">
        <v>894</v>
      </c>
      <c r="X268" s="12">
        <f t="shared" si="50"/>
        <v>1668.2400000000002</v>
      </c>
      <c r="Y268" s="12">
        <f t="shared" si="51"/>
        <v>1350</v>
      </c>
      <c r="Z268" s="16">
        <f>VLOOKUP(T268,Taxrate!A:B,2,FALSE)</f>
        <v>0.12</v>
      </c>
      <c r="AA268" s="12">
        <f t="shared" si="52"/>
        <v>200.18880000000001</v>
      </c>
      <c r="AB268" s="16">
        <f>VLOOKUP('Sales Dataset'!O268,'Discount Rate'!A:B,2,)</f>
        <v>7.0000000000000007E-2</v>
      </c>
      <c r="AC268" s="12">
        <f t="shared" si="53"/>
        <v>94.500000000000014</v>
      </c>
      <c r="AD268" s="18">
        <f t="shared" si="54"/>
        <v>1349.8100000000002</v>
      </c>
    </row>
    <row r="269" spans="1:30" ht="51" customHeight="1" x14ac:dyDescent="0.35">
      <c r="A269" s="9" t="s">
        <v>581</v>
      </c>
      <c r="B269" s="9" t="s">
        <v>582</v>
      </c>
      <c r="C269" s="9" t="s">
        <v>57</v>
      </c>
      <c r="D269" s="20" t="s">
        <v>12</v>
      </c>
      <c r="E269" s="9" t="s">
        <v>901</v>
      </c>
      <c r="F269" s="9" t="s">
        <v>902</v>
      </c>
      <c r="G269" s="8">
        <v>45601</v>
      </c>
      <c r="H269" s="7">
        <f t="shared" si="44"/>
        <v>2024</v>
      </c>
      <c r="I269" s="7" t="str">
        <f t="shared" si="45"/>
        <v>November</v>
      </c>
      <c r="J269" s="8" t="str">
        <f t="shared" si="46"/>
        <v>Tuesday</v>
      </c>
      <c r="K269" s="11">
        <v>0.53434027777777782</v>
      </c>
      <c r="L269" s="14">
        <f t="shared" si="47"/>
        <v>12</v>
      </c>
      <c r="M269" s="7">
        <f t="shared" si="48"/>
        <v>49</v>
      </c>
      <c r="N269" s="7">
        <f t="shared" si="49"/>
        <v>27</v>
      </c>
      <c r="O269" s="9" t="s">
        <v>26</v>
      </c>
      <c r="P269" s="9" t="s">
        <v>27</v>
      </c>
      <c r="Q269" s="9">
        <v>10</v>
      </c>
      <c r="R269" s="12">
        <v>500</v>
      </c>
      <c r="S269" s="12">
        <f>VLOOKUP(O269,'Product-cost'!A:B,2,)</f>
        <v>200</v>
      </c>
      <c r="T269" s="9" t="s">
        <v>34</v>
      </c>
      <c r="U269" s="9" t="s">
        <v>29</v>
      </c>
      <c r="V269" s="9" t="s">
        <v>868</v>
      </c>
      <c r="W269" s="9" t="s">
        <v>894</v>
      </c>
      <c r="X269" s="12">
        <f t="shared" si="50"/>
        <v>5000</v>
      </c>
      <c r="Y269" s="12">
        <f t="shared" si="51"/>
        <v>2000</v>
      </c>
      <c r="Z269" s="16">
        <f>VLOOKUP(T269,Taxrate!A:B,2,FALSE)</f>
        <v>0.15</v>
      </c>
      <c r="AA269" s="12">
        <f t="shared" si="52"/>
        <v>750</v>
      </c>
      <c r="AB269" s="16">
        <f>VLOOKUP('Sales Dataset'!O269,'Discount Rate'!A:B,2,)</f>
        <v>0.08</v>
      </c>
      <c r="AC269" s="12">
        <f t="shared" si="53"/>
        <v>160</v>
      </c>
      <c r="AD269" s="18">
        <f t="shared" si="54"/>
        <v>1999.77</v>
      </c>
    </row>
    <row r="270" spans="1:30" ht="51" customHeight="1" x14ac:dyDescent="0.35">
      <c r="A270" s="9" t="s">
        <v>583</v>
      </c>
      <c r="B270" s="9" t="s">
        <v>584</v>
      </c>
      <c r="C270" s="9" t="s">
        <v>126</v>
      </c>
      <c r="D270" s="20" t="s">
        <v>19</v>
      </c>
      <c r="E270" s="9" t="s">
        <v>903</v>
      </c>
      <c r="F270" s="9" t="s">
        <v>904</v>
      </c>
      <c r="G270" s="8">
        <v>45829</v>
      </c>
      <c r="H270" s="7">
        <f t="shared" si="44"/>
        <v>2025</v>
      </c>
      <c r="I270" s="7" t="str">
        <f t="shared" si="45"/>
        <v>June</v>
      </c>
      <c r="J270" s="8" t="str">
        <f t="shared" si="46"/>
        <v>Saturday</v>
      </c>
      <c r="K270" s="11">
        <v>0.8848611111111111</v>
      </c>
      <c r="L270" s="14">
        <f t="shared" si="47"/>
        <v>21</v>
      </c>
      <c r="M270" s="7">
        <f t="shared" si="48"/>
        <v>14</v>
      </c>
      <c r="N270" s="7">
        <f t="shared" si="49"/>
        <v>12</v>
      </c>
      <c r="O270" s="9" t="s">
        <v>26</v>
      </c>
      <c r="P270" s="9" t="s">
        <v>27</v>
      </c>
      <c r="Q270" s="9">
        <v>12</v>
      </c>
      <c r="R270" s="12">
        <v>342.47</v>
      </c>
      <c r="S270" s="12">
        <f>VLOOKUP(O270,'Product-cost'!A:B,2,)</f>
        <v>200</v>
      </c>
      <c r="T270" s="9" t="s">
        <v>45</v>
      </c>
      <c r="U270" s="9" t="s">
        <v>130</v>
      </c>
      <c r="V270" s="9" t="s">
        <v>872</v>
      </c>
      <c r="W270" s="9" t="s">
        <v>896</v>
      </c>
      <c r="X270" s="12">
        <f t="shared" si="50"/>
        <v>4109.6400000000003</v>
      </c>
      <c r="Y270" s="12">
        <f t="shared" si="51"/>
        <v>2400</v>
      </c>
      <c r="Z270" s="16">
        <f>VLOOKUP(T270,Taxrate!A:B,2,FALSE)</f>
        <v>7.0000000000000007E-2</v>
      </c>
      <c r="AA270" s="12">
        <f t="shared" si="52"/>
        <v>287.67480000000006</v>
      </c>
      <c r="AB270" s="16">
        <f>VLOOKUP('Sales Dataset'!O270,'Discount Rate'!A:B,2,)</f>
        <v>0.08</v>
      </c>
      <c r="AC270" s="12">
        <f t="shared" si="53"/>
        <v>192</v>
      </c>
      <c r="AD270" s="18">
        <f t="shared" si="54"/>
        <v>2399.85</v>
      </c>
    </row>
    <row r="271" spans="1:30" ht="51" customHeight="1" x14ac:dyDescent="0.35">
      <c r="A271" s="9" t="s">
        <v>585</v>
      </c>
      <c r="B271" s="9" t="s">
        <v>586</v>
      </c>
      <c r="C271" s="9" t="s">
        <v>65</v>
      </c>
      <c r="D271" s="20" t="s">
        <v>53</v>
      </c>
      <c r="E271" s="9" t="s">
        <v>909</v>
      </c>
      <c r="F271" s="9" t="s">
        <v>910</v>
      </c>
      <c r="G271" s="8">
        <v>45576</v>
      </c>
      <c r="H271" s="7">
        <f t="shared" si="44"/>
        <v>2024</v>
      </c>
      <c r="I271" s="7" t="str">
        <f t="shared" si="45"/>
        <v>October</v>
      </c>
      <c r="J271" s="8" t="str">
        <f t="shared" si="46"/>
        <v>Friday</v>
      </c>
      <c r="K271" s="11">
        <v>0.81542824074074072</v>
      </c>
      <c r="L271" s="14">
        <f t="shared" si="47"/>
        <v>19</v>
      </c>
      <c r="M271" s="7">
        <f t="shared" si="48"/>
        <v>34</v>
      </c>
      <c r="N271" s="7">
        <f t="shared" si="49"/>
        <v>13</v>
      </c>
      <c r="O271" s="9" t="s">
        <v>20</v>
      </c>
      <c r="P271" s="9" t="s">
        <v>21</v>
      </c>
      <c r="Q271" s="9">
        <v>13</v>
      </c>
      <c r="R271" s="12">
        <v>624.91</v>
      </c>
      <c r="S271" s="12">
        <f>VLOOKUP(O271,'Product-cost'!A:B,2,)</f>
        <v>300</v>
      </c>
      <c r="T271" s="9" t="s">
        <v>28</v>
      </c>
      <c r="U271" s="9" t="s">
        <v>68</v>
      </c>
      <c r="V271" s="9" t="s">
        <v>872</v>
      </c>
      <c r="W271" s="9" t="s">
        <v>896</v>
      </c>
      <c r="X271" s="12">
        <f t="shared" si="50"/>
        <v>8123.83</v>
      </c>
      <c r="Y271" s="12">
        <f t="shared" si="51"/>
        <v>3900</v>
      </c>
      <c r="Z271" s="16">
        <f>VLOOKUP(T271,Taxrate!A:B,2,FALSE)</f>
        <v>0.2</v>
      </c>
      <c r="AA271" s="12">
        <f t="shared" si="52"/>
        <v>1624.7660000000001</v>
      </c>
      <c r="AB271" s="16">
        <f>VLOOKUP('Sales Dataset'!O271,'Discount Rate'!A:B,2,)</f>
        <v>0.1</v>
      </c>
      <c r="AC271" s="12">
        <f t="shared" si="53"/>
        <v>390</v>
      </c>
      <c r="AD271" s="18">
        <f t="shared" si="54"/>
        <v>3899.7000000000003</v>
      </c>
    </row>
    <row r="272" spans="1:30" ht="51" customHeight="1" x14ac:dyDescent="0.35">
      <c r="A272" s="9" t="s">
        <v>587</v>
      </c>
      <c r="B272" s="9" t="s">
        <v>588</v>
      </c>
      <c r="C272" s="9" t="s">
        <v>83</v>
      </c>
      <c r="D272" s="20" t="s">
        <v>84</v>
      </c>
      <c r="E272" s="9" t="s">
        <v>913</v>
      </c>
      <c r="F272" s="9" t="s">
        <v>914</v>
      </c>
      <c r="G272" s="8">
        <v>45035</v>
      </c>
      <c r="H272" s="7">
        <f t="shared" si="44"/>
        <v>2023</v>
      </c>
      <c r="I272" s="7" t="str">
        <f t="shared" si="45"/>
        <v>April</v>
      </c>
      <c r="J272" s="8" t="str">
        <f t="shared" si="46"/>
        <v>Wednesday</v>
      </c>
      <c r="K272" s="11">
        <v>0.75004629629629627</v>
      </c>
      <c r="L272" s="14">
        <f t="shared" si="47"/>
        <v>18</v>
      </c>
      <c r="M272" s="7">
        <f t="shared" si="48"/>
        <v>0</v>
      </c>
      <c r="N272" s="7">
        <f t="shared" si="49"/>
        <v>4</v>
      </c>
      <c r="O272" s="9" t="s">
        <v>66</v>
      </c>
      <c r="P272" s="9" t="s">
        <v>67</v>
      </c>
      <c r="Q272" s="9">
        <v>11</v>
      </c>
      <c r="R272" s="12">
        <v>169.51</v>
      </c>
      <c r="S272" s="12">
        <f>VLOOKUP(O272,'Product-cost'!A:B,2,)</f>
        <v>50</v>
      </c>
      <c r="T272" s="9" t="s">
        <v>45</v>
      </c>
      <c r="U272" s="9" t="s">
        <v>102</v>
      </c>
      <c r="V272" s="9" t="s">
        <v>871</v>
      </c>
      <c r="W272" s="9" t="s">
        <v>894</v>
      </c>
      <c r="X272" s="12">
        <f t="shared" si="50"/>
        <v>1864.61</v>
      </c>
      <c r="Y272" s="12">
        <f t="shared" si="51"/>
        <v>550</v>
      </c>
      <c r="Z272" s="16">
        <f>VLOOKUP(T272,Taxrate!A:B,2,FALSE)</f>
        <v>7.0000000000000007E-2</v>
      </c>
      <c r="AA272" s="12">
        <f t="shared" si="52"/>
        <v>130.52270000000001</v>
      </c>
      <c r="AB272" s="16">
        <f>VLOOKUP('Sales Dataset'!O272,'Discount Rate'!A:B,2,)</f>
        <v>0.03</v>
      </c>
      <c r="AC272" s="12">
        <f t="shared" si="53"/>
        <v>16.5</v>
      </c>
      <c r="AD272" s="18">
        <f t="shared" si="54"/>
        <v>549.9</v>
      </c>
    </row>
    <row r="273" spans="1:30" ht="51" customHeight="1" x14ac:dyDescent="0.35">
      <c r="A273" s="9" t="s">
        <v>589</v>
      </c>
      <c r="B273" s="9" t="s">
        <v>590</v>
      </c>
      <c r="C273" s="9" t="s">
        <v>65</v>
      </c>
      <c r="D273" s="20" t="s">
        <v>53</v>
      </c>
      <c r="E273" s="9" t="s">
        <v>909</v>
      </c>
      <c r="F273" s="9" t="s">
        <v>910</v>
      </c>
      <c r="G273" s="8">
        <v>45308</v>
      </c>
      <c r="H273" s="7">
        <f t="shared" si="44"/>
        <v>2024</v>
      </c>
      <c r="I273" s="7" t="str">
        <f t="shared" si="45"/>
        <v>January</v>
      </c>
      <c r="J273" s="8" t="str">
        <f t="shared" si="46"/>
        <v>Wednesday</v>
      </c>
      <c r="K273" s="11">
        <v>0.68721064814814814</v>
      </c>
      <c r="L273" s="14">
        <f t="shared" si="47"/>
        <v>16</v>
      </c>
      <c r="M273" s="7">
        <f t="shared" si="48"/>
        <v>29</v>
      </c>
      <c r="N273" s="7">
        <f t="shared" si="49"/>
        <v>35</v>
      </c>
      <c r="O273" s="9" t="s">
        <v>13</v>
      </c>
      <c r="P273" s="9" t="s">
        <v>14</v>
      </c>
      <c r="Q273" s="9">
        <v>7</v>
      </c>
      <c r="R273" s="12">
        <v>952.46</v>
      </c>
      <c r="S273" s="12">
        <f>VLOOKUP(O273,'Product-cost'!A:B,2,)</f>
        <v>600</v>
      </c>
      <c r="T273" s="9" t="s">
        <v>34</v>
      </c>
      <c r="U273" s="9" t="s">
        <v>68</v>
      </c>
      <c r="V273" s="9" t="s">
        <v>869</v>
      </c>
      <c r="W273" s="9" t="s">
        <v>894</v>
      </c>
      <c r="X273" s="12">
        <f t="shared" si="50"/>
        <v>6667.22</v>
      </c>
      <c r="Y273" s="12">
        <f t="shared" si="51"/>
        <v>4200</v>
      </c>
      <c r="Z273" s="16">
        <f>VLOOKUP(T273,Taxrate!A:B,2,FALSE)</f>
        <v>0.15</v>
      </c>
      <c r="AA273" s="12">
        <f t="shared" si="52"/>
        <v>1000.083</v>
      </c>
      <c r="AB273" s="16">
        <f>VLOOKUP('Sales Dataset'!O273,'Discount Rate'!A:B,2,)</f>
        <v>0.05</v>
      </c>
      <c r="AC273" s="12">
        <f t="shared" si="53"/>
        <v>210</v>
      </c>
      <c r="AD273" s="18">
        <f t="shared" si="54"/>
        <v>4199.8</v>
      </c>
    </row>
    <row r="274" spans="1:30" ht="51" customHeight="1" x14ac:dyDescent="0.35">
      <c r="A274" s="9" t="s">
        <v>591</v>
      </c>
      <c r="B274" s="9" t="s">
        <v>592</v>
      </c>
      <c r="C274" s="9" t="s">
        <v>172</v>
      </c>
      <c r="D274" s="20" t="s">
        <v>142</v>
      </c>
      <c r="E274" s="9" t="s">
        <v>917</v>
      </c>
      <c r="F274" s="9" t="s">
        <v>918</v>
      </c>
      <c r="G274" s="8">
        <v>46149</v>
      </c>
      <c r="H274" s="7">
        <f t="shared" si="44"/>
        <v>2026</v>
      </c>
      <c r="I274" s="7" t="str">
        <f t="shared" si="45"/>
        <v>May</v>
      </c>
      <c r="J274" s="8" t="str">
        <f t="shared" si="46"/>
        <v>Thursday</v>
      </c>
      <c r="K274" s="11">
        <v>0.62282407407407403</v>
      </c>
      <c r="L274" s="14">
        <f t="shared" si="47"/>
        <v>14</v>
      </c>
      <c r="M274" s="7">
        <f t="shared" si="48"/>
        <v>56</v>
      </c>
      <c r="N274" s="7">
        <f t="shared" si="49"/>
        <v>52</v>
      </c>
      <c r="O274" s="9" t="s">
        <v>13</v>
      </c>
      <c r="P274" s="9" t="s">
        <v>14</v>
      </c>
      <c r="Q274" s="9">
        <v>5</v>
      </c>
      <c r="R274" s="12">
        <v>970.89</v>
      </c>
      <c r="S274" s="12">
        <f>VLOOKUP(O274,'Product-cost'!A:B,2,)</f>
        <v>600</v>
      </c>
      <c r="T274" s="9" t="s">
        <v>34</v>
      </c>
      <c r="U274" s="9" t="s">
        <v>235</v>
      </c>
      <c r="V274" s="9" t="s">
        <v>871</v>
      </c>
      <c r="W274" s="9" t="s">
        <v>894</v>
      </c>
      <c r="X274" s="12">
        <f t="shared" si="50"/>
        <v>4854.45</v>
      </c>
      <c r="Y274" s="12">
        <f t="shared" si="51"/>
        <v>3000</v>
      </c>
      <c r="Z274" s="16">
        <f>VLOOKUP(T274,Taxrate!A:B,2,FALSE)</f>
        <v>0.15</v>
      </c>
      <c r="AA274" s="12">
        <f t="shared" si="52"/>
        <v>728.1674999999999</v>
      </c>
      <c r="AB274" s="16">
        <f>VLOOKUP('Sales Dataset'!O274,'Discount Rate'!A:B,2,)</f>
        <v>0.05</v>
      </c>
      <c r="AC274" s="12">
        <f t="shared" si="53"/>
        <v>150</v>
      </c>
      <c r="AD274" s="18">
        <f t="shared" si="54"/>
        <v>2999.7999999999997</v>
      </c>
    </row>
    <row r="275" spans="1:30" ht="51" customHeight="1" x14ac:dyDescent="0.35">
      <c r="A275" s="9" t="s">
        <v>593</v>
      </c>
      <c r="B275" s="9" t="s">
        <v>594</v>
      </c>
      <c r="C275" s="9" t="s">
        <v>83</v>
      </c>
      <c r="D275" s="20" t="s">
        <v>84</v>
      </c>
      <c r="E275" s="9" t="s">
        <v>913</v>
      </c>
      <c r="F275" s="9" t="s">
        <v>914</v>
      </c>
      <c r="G275" s="8">
        <v>45876</v>
      </c>
      <c r="H275" s="7">
        <f t="shared" si="44"/>
        <v>2025</v>
      </c>
      <c r="I275" s="7" t="str">
        <f t="shared" si="45"/>
        <v>August</v>
      </c>
      <c r="J275" s="8" t="str">
        <f t="shared" si="46"/>
        <v>Thursday</v>
      </c>
      <c r="K275" s="11">
        <v>0.48689814814814814</v>
      </c>
      <c r="L275" s="14">
        <f t="shared" si="47"/>
        <v>11</v>
      </c>
      <c r="M275" s="7">
        <f t="shared" si="48"/>
        <v>41</v>
      </c>
      <c r="N275" s="7">
        <f t="shared" si="49"/>
        <v>8</v>
      </c>
      <c r="O275" s="9" t="s">
        <v>40</v>
      </c>
      <c r="P275" s="9" t="s">
        <v>41</v>
      </c>
      <c r="Q275" s="9">
        <v>13</v>
      </c>
      <c r="R275" s="12">
        <v>191.19</v>
      </c>
      <c r="S275" s="12">
        <f>VLOOKUP(O275,'Product-cost'!A:B,2,)</f>
        <v>150</v>
      </c>
      <c r="T275" s="9" t="s">
        <v>49</v>
      </c>
      <c r="U275" s="9" t="s">
        <v>102</v>
      </c>
      <c r="V275" s="9" t="s">
        <v>876</v>
      </c>
      <c r="W275" s="9" t="s">
        <v>896</v>
      </c>
      <c r="X275" s="12">
        <f t="shared" si="50"/>
        <v>2485.4699999999998</v>
      </c>
      <c r="Y275" s="12">
        <f t="shared" si="51"/>
        <v>1950</v>
      </c>
      <c r="Z275" s="16">
        <f>VLOOKUP(T275,Taxrate!A:B,2,FALSE)</f>
        <v>0.12</v>
      </c>
      <c r="AA275" s="12">
        <f t="shared" si="52"/>
        <v>298.25639999999999</v>
      </c>
      <c r="AB275" s="16">
        <f>VLOOKUP('Sales Dataset'!O275,'Discount Rate'!A:B,2,)</f>
        <v>7.0000000000000007E-2</v>
      </c>
      <c r="AC275" s="12">
        <f t="shared" si="53"/>
        <v>136.5</v>
      </c>
      <c r="AD275" s="18">
        <f t="shared" si="54"/>
        <v>1949.8100000000002</v>
      </c>
    </row>
    <row r="276" spans="1:30" ht="51" customHeight="1" x14ac:dyDescent="0.35">
      <c r="A276" s="9" t="s">
        <v>595</v>
      </c>
      <c r="B276" s="9" t="s">
        <v>213</v>
      </c>
      <c r="C276" s="9" t="s">
        <v>57</v>
      </c>
      <c r="D276" s="20" t="s">
        <v>12</v>
      </c>
      <c r="E276" s="9" t="s">
        <v>901</v>
      </c>
      <c r="F276" s="9" t="s">
        <v>902</v>
      </c>
      <c r="G276" s="8">
        <v>45304</v>
      </c>
      <c r="H276" s="7">
        <f t="shared" si="44"/>
        <v>2024</v>
      </c>
      <c r="I276" s="7" t="str">
        <f t="shared" si="45"/>
        <v>January</v>
      </c>
      <c r="J276" s="8" t="str">
        <f t="shared" si="46"/>
        <v>Saturday</v>
      </c>
      <c r="K276" s="11">
        <v>0.91399305555555554</v>
      </c>
      <c r="L276" s="14">
        <f t="shared" si="47"/>
        <v>21</v>
      </c>
      <c r="M276" s="7">
        <f t="shared" si="48"/>
        <v>56</v>
      </c>
      <c r="N276" s="7">
        <f t="shared" si="49"/>
        <v>9</v>
      </c>
      <c r="O276" s="9" t="s">
        <v>13</v>
      </c>
      <c r="P276" s="9" t="s">
        <v>14</v>
      </c>
      <c r="Q276" s="9">
        <v>15</v>
      </c>
      <c r="R276" s="12">
        <v>1280.5999999999999</v>
      </c>
      <c r="S276" s="12">
        <f>VLOOKUP(O276,'Product-cost'!A:B,2,)</f>
        <v>600</v>
      </c>
      <c r="T276" s="9" t="s">
        <v>22</v>
      </c>
      <c r="U276" s="9" t="s">
        <v>29</v>
      </c>
      <c r="V276" s="9" t="s">
        <v>872</v>
      </c>
      <c r="W276" s="9" t="s">
        <v>896</v>
      </c>
      <c r="X276" s="12">
        <f t="shared" si="50"/>
        <v>19209</v>
      </c>
      <c r="Y276" s="12">
        <f t="shared" si="51"/>
        <v>9000</v>
      </c>
      <c r="Z276" s="16">
        <f>VLOOKUP(T276,Taxrate!A:B,2,FALSE)</f>
        <v>0.1</v>
      </c>
      <c r="AA276" s="12">
        <f t="shared" si="52"/>
        <v>1920.9</v>
      </c>
      <c r="AB276" s="16">
        <f>VLOOKUP('Sales Dataset'!O276,'Discount Rate'!A:B,2,)</f>
        <v>0.05</v>
      </c>
      <c r="AC276" s="12">
        <f t="shared" si="53"/>
        <v>450</v>
      </c>
      <c r="AD276" s="18">
        <f t="shared" si="54"/>
        <v>8999.85</v>
      </c>
    </row>
    <row r="277" spans="1:30" ht="51" customHeight="1" x14ac:dyDescent="0.35">
      <c r="A277" s="9" t="s">
        <v>596</v>
      </c>
      <c r="B277" s="9" t="s">
        <v>597</v>
      </c>
      <c r="C277" s="9" t="s">
        <v>83</v>
      </c>
      <c r="D277" s="20" t="s">
        <v>84</v>
      </c>
      <c r="E277" s="9" t="s">
        <v>913</v>
      </c>
      <c r="F277" s="9" t="s">
        <v>914</v>
      </c>
      <c r="G277" s="8">
        <v>45473</v>
      </c>
      <c r="H277" s="7">
        <f t="shared" si="44"/>
        <v>2024</v>
      </c>
      <c r="I277" s="7" t="str">
        <f t="shared" si="45"/>
        <v>June</v>
      </c>
      <c r="J277" s="8" t="str">
        <f t="shared" si="46"/>
        <v>Sunday</v>
      </c>
      <c r="K277" s="11">
        <v>0.71821759259259255</v>
      </c>
      <c r="L277" s="14">
        <f t="shared" si="47"/>
        <v>17</v>
      </c>
      <c r="M277" s="7">
        <f t="shared" si="48"/>
        <v>14</v>
      </c>
      <c r="N277" s="7">
        <f t="shared" si="49"/>
        <v>14</v>
      </c>
      <c r="O277" s="9" t="s">
        <v>13</v>
      </c>
      <c r="P277" s="9" t="s">
        <v>14</v>
      </c>
      <c r="Q277" s="9">
        <v>12</v>
      </c>
      <c r="R277" s="12">
        <v>867.04</v>
      </c>
      <c r="S277" s="12">
        <f>VLOOKUP(O277,'Product-cost'!A:B,2,)</f>
        <v>600</v>
      </c>
      <c r="T277" s="9" t="s">
        <v>49</v>
      </c>
      <c r="U277" s="9" t="s">
        <v>85</v>
      </c>
      <c r="V277" s="9" t="s">
        <v>879</v>
      </c>
      <c r="W277" s="9" t="s">
        <v>894</v>
      </c>
      <c r="X277" s="12">
        <f t="shared" si="50"/>
        <v>10404.48</v>
      </c>
      <c r="Y277" s="12">
        <f t="shared" si="51"/>
        <v>7200</v>
      </c>
      <c r="Z277" s="16">
        <f>VLOOKUP(T277,Taxrate!A:B,2,FALSE)</f>
        <v>0.12</v>
      </c>
      <c r="AA277" s="12">
        <f t="shared" si="52"/>
        <v>1248.5375999999999</v>
      </c>
      <c r="AB277" s="16">
        <f>VLOOKUP('Sales Dataset'!O277,'Discount Rate'!A:B,2,)</f>
        <v>0.05</v>
      </c>
      <c r="AC277" s="12">
        <f t="shared" si="53"/>
        <v>360</v>
      </c>
      <c r="AD277" s="18">
        <f t="shared" si="54"/>
        <v>7199.83</v>
      </c>
    </row>
    <row r="278" spans="1:30" ht="51" customHeight="1" x14ac:dyDescent="0.35">
      <c r="A278" s="9" t="s">
        <v>598</v>
      </c>
      <c r="B278" s="9" t="s">
        <v>599</v>
      </c>
      <c r="C278" s="9" t="s">
        <v>90</v>
      </c>
      <c r="D278" s="20" t="s">
        <v>91</v>
      </c>
      <c r="E278" s="9" t="s">
        <v>915</v>
      </c>
      <c r="F278" s="9" t="s">
        <v>916</v>
      </c>
      <c r="G278" s="8">
        <v>45450</v>
      </c>
      <c r="H278" s="7">
        <f t="shared" si="44"/>
        <v>2024</v>
      </c>
      <c r="I278" s="7" t="str">
        <f t="shared" si="45"/>
        <v>June</v>
      </c>
      <c r="J278" s="8" t="str">
        <f t="shared" si="46"/>
        <v>Friday</v>
      </c>
      <c r="K278" s="11">
        <v>0.49145833333333333</v>
      </c>
      <c r="L278" s="14">
        <f t="shared" si="47"/>
        <v>11</v>
      </c>
      <c r="M278" s="7">
        <f t="shared" si="48"/>
        <v>47</v>
      </c>
      <c r="N278" s="7">
        <f t="shared" si="49"/>
        <v>42</v>
      </c>
      <c r="O278" s="9" t="s">
        <v>20</v>
      </c>
      <c r="P278" s="9" t="s">
        <v>21</v>
      </c>
      <c r="Q278" s="9">
        <v>2</v>
      </c>
      <c r="R278" s="12">
        <v>766.41</v>
      </c>
      <c r="S278" s="12">
        <f>VLOOKUP(O278,'Product-cost'!A:B,2,)</f>
        <v>300</v>
      </c>
      <c r="T278" s="9" t="s">
        <v>34</v>
      </c>
      <c r="U278" s="9" t="s">
        <v>95</v>
      </c>
      <c r="V278" s="9" t="s">
        <v>874</v>
      </c>
      <c r="W278" s="9" t="s">
        <v>894</v>
      </c>
      <c r="X278" s="12">
        <f t="shared" si="50"/>
        <v>1532.82</v>
      </c>
      <c r="Y278" s="12">
        <f t="shared" si="51"/>
        <v>600</v>
      </c>
      <c r="Z278" s="16">
        <f>VLOOKUP(T278,Taxrate!A:B,2,FALSE)</f>
        <v>0.15</v>
      </c>
      <c r="AA278" s="12">
        <f t="shared" si="52"/>
        <v>229.92299999999997</v>
      </c>
      <c r="AB278" s="16">
        <f>VLOOKUP('Sales Dataset'!O278,'Discount Rate'!A:B,2,)</f>
        <v>0.1</v>
      </c>
      <c r="AC278" s="12">
        <f t="shared" si="53"/>
        <v>60</v>
      </c>
      <c r="AD278" s="18">
        <f t="shared" si="54"/>
        <v>599.75</v>
      </c>
    </row>
    <row r="279" spans="1:30" ht="51" customHeight="1" x14ac:dyDescent="0.35">
      <c r="A279" s="9" t="s">
        <v>600</v>
      </c>
      <c r="B279" s="9" t="s">
        <v>601</v>
      </c>
      <c r="C279" s="9" t="s">
        <v>141</v>
      </c>
      <c r="D279" s="20" t="s">
        <v>142</v>
      </c>
      <c r="E279" s="9" t="s">
        <v>917</v>
      </c>
      <c r="F279" s="9" t="s">
        <v>918</v>
      </c>
      <c r="G279" s="8">
        <v>45734</v>
      </c>
      <c r="H279" s="7">
        <f t="shared" si="44"/>
        <v>2025</v>
      </c>
      <c r="I279" s="7" t="str">
        <f t="shared" si="45"/>
        <v>March</v>
      </c>
      <c r="J279" s="8" t="str">
        <f t="shared" si="46"/>
        <v>Tuesday</v>
      </c>
      <c r="K279" s="11">
        <v>0.67115740740740737</v>
      </c>
      <c r="L279" s="14">
        <f t="shared" si="47"/>
        <v>16</v>
      </c>
      <c r="M279" s="7">
        <f t="shared" si="48"/>
        <v>6</v>
      </c>
      <c r="N279" s="7">
        <f t="shared" si="49"/>
        <v>28</v>
      </c>
      <c r="O279" s="9" t="s">
        <v>66</v>
      </c>
      <c r="P279" s="9" t="s">
        <v>67</v>
      </c>
      <c r="Q279" s="9">
        <v>1</v>
      </c>
      <c r="R279" s="12">
        <v>138.43</v>
      </c>
      <c r="S279" s="12">
        <f>VLOOKUP(O279,'Product-cost'!A:B,2,)</f>
        <v>50</v>
      </c>
      <c r="T279" s="9" t="s">
        <v>49</v>
      </c>
      <c r="U279" s="9" t="s">
        <v>143</v>
      </c>
      <c r="V279" s="9" t="s">
        <v>881</v>
      </c>
      <c r="W279" s="9" t="s">
        <v>894</v>
      </c>
      <c r="X279" s="12">
        <f t="shared" si="50"/>
        <v>138.43</v>
      </c>
      <c r="Y279" s="12">
        <f t="shared" si="51"/>
        <v>50</v>
      </c>
      <c r="Z279" s="16">
        <f>VLOOKUP(T279,Taxrate!A:B,2,FALSE)</f>
        <v>0.12</v>
      </c>
      <c r="AA279" s="12">
        <f t="shared" si="52"/>
        <v>16.611599999999999</v>
      </c>
      <c r="AB279" s="16">
        <f>VLOOKUP('Sales Dataset'!O279,'Discount Rate'!A:B,2,)</f>
        <v>0.03</v>
      </c>
      <c r="AC279" s="12">
        <f t="shared" si="53"/>
        <v>1.5</v>
      </c>
      <c r="AD279" s="18">
        <f t="shared" si="54"/>
        <v>49.85</v>
      </c>
    </row>
    <row r="280" spans="1:30" ht="51" customHeight="1" x14ac:dyDescent="0.35">
      <c r="A280" s="9" t="s">
        <v>602</v>
      </c>
      <c r="B280" s="9" t="s">
        <v>503</v>
      </c>
      <c r="C280" s="9" t="s">
        <v>141</v>
      </c>
      <c r="D280" s="20" t="s">
        <v>142</v>
      </c>
      <c r="E280" s="9" t="s">
        <v>917</v>
      </c>
      <c r="F280" s="9" t="s">
        <v>918</v>
      </c>
      <c r="G280" s="8">
        <v>45512</v>
      </c>
      <c r="H280" s="7">
        <f t="shared" si="44"/>
        <v>2024</v>
      </c>
      <c r="I280" s="7" t="str">
        <f t="shared" si="45"/>
        <v>August</v>
      </c>
      <c r="J280" s="8" t="str">
        <f t="shared" si="46"/>
        <v>Thursday</v>
      </c>
      <c r="K280" s="11">
        <v>0.43562499999999998</v>
      </c>
      <c r="L280" s="14">
        <f t="shared" si="47"/>
        <v>10</v>
      </c>
      <c r="M280" s="7">
        <f t="shared" si="48"/>
        <v>27</v>
      </c>
      <c r="N280" s="7">
        <f t="shared" si="49"/>
        <v>18</v>
      </c>
      <c r="O280" s="9" t="s">
        <v>40</v>
      </c>
      <c r="P280" s="9" t="s">
        <v>41</v>
      </c>
      <c r="Q280" s="9">
        <v>12</v>
      </c>
      <c r="R280" s="12">
        <v>191.65</v>
      </c>
      <c r="S280" s="12">
        <f>VLOOKUP(O280,'Product-cost'!A:B,2,)</f>
        <v>150</v>
      </c>
      <c r="T280" s="9" t="s">
        <v>34</v>
      </c>
      <c r="U280" s="9" t="s">
        <v>143</v>
      </c>
      <c r="V280" s="9" t="s">
        <v>876</v>
      </c>
      <c r="W280" s="9" t="s">
        <v>896</v>
      </c>
      <c r="X280" s="12">
        <f t="shared" si="50"/>
        <v>2299.8000000000002</v>
      </c>
      <c r="Y280" s="12">
        <f t="shared" si="51"/>
        <v>1800</v>
      </c>
      <c r="Z280" s="16">
        <f>VLOOKUP(T280,Taxrate!A:B,2,FALSE)</f>
        <v>0.15</v>
      </c>
      <c r="AA280" s="12">
        <f t="shared" si="52"/>
        <v>344.97</v>
      </c>
      <c r="AB280" s="16">
        <f>VLOOKUP('Sales Dataset'!O280,'Discount Rate'!A:B,2,)</f>
        <v>7.0000000000000007E-2</v>
      </c>
      <c r="AC280" s="12">
        <f t="shared" si="53"/>
        <v>126.00000000000001</v>
      </c>
      <c r="AD280" s="18">
        <f t="shared" si="54"/>
        <v>1799.78</v>
      </c>
    </row>
    <row r="281" spans="1:30" ht="51" customHeight="1" x14ac:dyDescent="0.35">
      <c r="A281" s="9" t="s">
        <v>603</v>
      </c>
      <c r="B281" s="9" t="s">
        <v>604</v>
      </c>
      <c r="C281" s="9" t="s">
        <v>150</v>
      </c>
      <c r="D281" s="20" t="s">
        <v>33</v>
      </c>
      <c r="E281" s="9" t="s">
        <v>905</v>
      </c>
      <c r="F281" s="9" t="s">
        <v>906</v>
      </c>
      <c r="G281" s="8">
        <v>45858</v>
      </c>
      <c r="H281" s="7">
        <f t="shared" si="44"/>
        <v>2025</v>
      </c>
      <c r="I281" s="7" t="str">
        <f t="shared" si="45"/>
        <v>July</v>
      </c>
      <c r="J281" s="8" t="str">
        <f t="shared" si="46"/>
        <v>Sunday</v>
      </c>
      <c r="K281" s="11">
        <v>0.5143981481481481</v>
      </c>
      <c r="L281" s="14">
        <f t="shared" si="47"/>
        <v>12</v>
      </c>
      <c r="M281" s="7">
        <f t="shared" si="48"/>
        <v>20</v>
      </c>
      <c r="N281" s="7">
        <f t="shared" si="49"/>
        <v>44</v>
      </c>
      <c r="O281" s="9" t="s">
        <v>20</v>
      </c>
      <c r="P281" s="9" t="s">
        <v>21</v>
      </c>
      <c r="Q281" s="9">
        <v>2</v>
      </c>
      <c r="R281" s="12">
        <v>500</v>
      </c>
      <c r="S281" s="12">
        <f>VLOOKUP(O281,'Product-cost'!A:B,2,)</f>
        <v>300</v>
      </c>
      <c r="T281" s="9" t="s">
        <v>34</v>
      </c>
      <c r="U281" s="9" t="s">
        <v>77</v>
      </c>
      <c r="V281" s="9" t="s">
        <v>881</v>
      </c>
      <c r="W281" s="9" t="s">
        <v>894</v>
      </c>
      <c r="X281" s="12">
        <f t="shared" si="50"/>
        <v>1000</v>
      </c>
      <c r="Y281" s="12">
        <f t="shared" si="51"/>
        <v>600</v>
      </c>
      <c r="Z281" s="16">
        <f>VLOOKUP(T281,Taxrate!A:B,2,FALSE)</f>
        <v>0.15</v>
      </c>
      <c r="AA281" s="12">
        <f t="shared" si="52"/>
        <v>150</v>
      </c>
      <c r="AB281" s="16">
        <f>VLOOKUP('Sales Dataset'!O281,'Discount Rate'!A:B,2,)</f>
        <v>0.1</v>
      </c>
      <c r="AC281" s="12">
        <f t="shared" si="53"/>
        <v>60</v>
      </c>
      <c r="AD281" s="18">
        <f t="shared" si="54"/>
        <v>599.75</v>
      </c>
    </row>
    <row r="282" spans="1:30" ht="51" customHeight="1" x14ac:dyDescent="0.35">
      <c r="A282" s="9" t="s">
        <v>605</v>
      </c>
      <c r="B282" s="9" t="s">
        <v>606</v>
      </c>
      <c r="C282" s="9" t="s">
        <v>52</v>
      </c>
      <c r="D282" s="20" t="s">
        <v>53</v>
      </c>
      <c r="E282" s="9" t="s">
        <v>909</v>
      </c>
      <c r="F282" s="9" t="s">
        <v>910</v>
      </c>
      <c r="G282" s="8">
        <v>46115</v>
      </c>
      <c r="H282" s="7">
        <f t="shared" si="44"/>
        <v>2026</v>
      </c>
      <c r="I282" s="7" t="str">
        <f t="shared" si="45"/>
        <v>April</v>
      </c>
      <c r="J282" s="8" t="str">
        <f t="shared" si="46"/>
        <v>Friday</v>
      </c>
      <c r="K282" s="11">
        <v>0.45496527777777779</v>
      </c>
      <c r="L282" s="14">
        <f t="shared" si="47"/>
        <v>10</v>
      </c>
      <c r="M282" s="7">
        <f t="shared" si="48"/>
        <v>55</v>
      </c>
      <c r="N282" s="7">
        <f t="shared" si="49"/>
        <v>9</v>
      </c>
      <c r="O282" s="9" t="s">
        <v>20</v>
      </c>
      <c r="P282" s="9" t="s">
        <v>21</v>
      </c>
      <c r="Q282" s="9">
        <v>1</v>
      </c>
      <c r="R282" s="12">
        <v>572.86</v>
      </c>
      <c r="S282" s="12">
        <f>VLOOKUP(O282,'Product-cost'!A:B,2,)</f>
        <v>300</v>
      </c>
      <c r="T282" s="9" t="s">
        <v>34</v>
      </c>
      <c r="U282" s="9" t="s">
        <v>68</v>
      </c>
      <c r="V282" s="9" t="s">
        <v>872</v>
      </c>
      <c r="W282" s="9" t="s">
        <v>896</v>
      </c>
      <c r="X282" s="12">
        <f t="shared" si="50"/>
        <v>572.86</v>
      </c>
      <c r="Y282" s="12">
        <f t="shared" si="51"/>
        <v>300</v>
      </c>
      <c r="Z282" s="16">
        <f>VLOOKUP(T282,Taxrate!A:B,2,FALSE)</f>
        <v>0.15</v>
      </c>
      <c r="AA282" s="12">
        <f t="shared" si="52"/>
        <v>85.929000000000002</v>
      </c>
      <c r="AB282" s="16">
        <f>VLOOKUP('Sales Dataset'!O282,'Discount Rate'!A:B,2,)</f>
        <v>0.1</v>
      </c>
      <c r="AC282" s="12">
        <f t="shared" si="53"/>
        <v>30</v>
      </c>
      <c r="AD282" s="18">
        <f t="shared" si="54"/>
        <v>299.75</v>
      </c>
    </row>
    <row r="283" spans="1:30" ht="51" customHeight="1" x14ac:dyDescent="0.35">
      <c r="A283" s="9" t="s">
        <v>607</v>
      </c>
      <c r="B283" s="9" t="s">
        <v>608</v>
      </c>
      <c r="C283" s="9" t="s">
        <v>65</v>
      </c>
      <c r="D283" s="20" t="s">
        <v>53</v>
      </c>
      <c r="E283" s="9" t="s">
        <v>909</v>
      </c>
      <c r="F283" s="9" t="s">
        <v>910</v>
      </c>
      <c r="G283" s="8">
        <v>46172</v>
      </c>
      <c r="H283" s="7">
        <f t="shared" si="44"/>
        <v>2026</v>
      </c>
      <c r="I283" s="7" t="str">
        <f t="shared" si="45"/>
        <v>May</v>
      </c>
      <c r="J283" s="8" t="str">
        <f t="shared" si="46"/>
        <v>Saturday</v>
      </c>
      <c r="K283" s="11">
        <v>0.46778935185185183</v>
      </c>
      <c r="L283" s="14">
        <f t="shared" si="47"/>
        <v>11</v>
      </c>
      <c r="M283" s="7">
        <f t="shared" si="48"/>
        <v>13</v>
      </c>
      <c r="N283" s="7">
        <f t="shared" si="49"/>
        <v>37</v>
      </c>
      <c r="O283" s="9" t="s">
        <v>66</v>
      </c>
      <c r="P283" s="9" t="s">
        <v>67</v>
      </c>
      <c r="Q283" s="9">
        <v>8</v>
      </c>
      <c r="R283" s="12">
        <v>500</v>
      </c>
      <c r="S283" s="12">
        <f>VLOOKUP(O283,'Product-cost'!A:B,2,)</f>
        <v>50</v>
      </c>
      <c r="T283" s="9" t="s">
        <v>49</v>
      </c>
      <c r="U283" s="9" t="s">
        <v>68</v>
      </c>
      <c r="V283" s="9" t="s">
        <v>872</v>
      </c>
      <c r="W283" s="9" t="s">
        <v>896</v>
      </c>
      <c r="X283" s="12">
        <f t="shared" si="50"/>
        <v>4000</v>
      </c>
      <c r="Y283" s="12">
        <f t="shared" si="51"/>
        <v>400</v>
      </c>
      <c r="Z283" s="16">
        <f>VLOOKUP(T283,Taxrate!A:B,2,FALSE)</f>
        <v>0.12</v>
      </c>
      <c r="AA283" s="12">
        <f t="shared" si="52"/>
        <v>480</v>
      </c>
      <c r="AB283" s="16">
        <f>VLOOKUP('Sales Dataset'!O283,'Discount Rate'!A:B,2,)</f>
        <v>0.03</v>
      </c>
      <c r="AC283" s="12">
        <f t="shared" si="53"/>
        <v>12</v>
      </c>
      <c r="AD283" s="18">
        <f t="shared" si="54"/>
        <v>399.85</v>
      </c>
    </row>
    <row r="284" spans="1:30" ht="51" customHeight="1" x14ac:dyDescent="0.35">
      <c r="A284" s="9" t="s">
        <v>609</v>
      </c>
      <c r="B284" s="9" t="s">
        <v>330</v>
      </c>
      <c r="C284" s="9" t="s">
        <v>117</v>
      </c>
      <c r="D284" s="20" t="s">
        <v>19</v>
      </c>
      <c r="E284" s="9" t="s">
        <v>903</v>
      </c>
      <c r="F284" s="9" t="s">
        <v>904</v>
      </c>
      <c r="G284" s="8">
        <v>46293</v>
      </c>
      <c r="H284" s="7">
        <f t="shared" si="44"/>
        <v>2026</v>
      </c>
      <c r="I284" s="7" t="str">
        <f t="shared" si="45"/>
        <v>September</v>
      </c>
      <c r="J284" s="8" t="str">
        <f t="shared" si="46"/>
        <v>Monday</v>
      </c>
      <c r="K284" s="11">
        <v>0.58200231481481479</v>
      </c>
      <c r="L284" s="14">
        <f t="shared" si="47"/>
        <v>13</v>
      </c>
      <c r="M284" s="7">
        <f t="shared" si="48"/>
        <v>58</v>
      </c>
      <c r="N284" s="7">
        <f t="shared" si="49"/>
        <v>5</v>
      </c>
      <c r="O284" s="9" t="s">
        <v>13</v>
      </c>
      <c r="P284" s="9" t="s">
        <v>14</v>
      </c>
      <c r="Q284" s="9">
        <v>3</v>
      </c>
      <c r="R284" s="12">
        <v>942.19</v>
      </c>
      <c r="S284" s="12">
        <f>VLOOKUP(O284,'Product-cost'!A:B,2,)</f>
        <v>600</v>
      </c>
      <c r="T284" s="9" t="s">
        <v>49</v>
      </c>
      <c r="U284" s="9" t="s">
        <v>46</v>
      </c>
      <c r="V284" s="9" t="s">
        <v>869</v>
      </c>
      <c r="W284" s="9" t="s">
        <v>894</v>
      </c>
      <c r="X284" s="12">
        <f t="shared" si="50"/>
        <v>2826.57</v>
      </c>
      <c r="Y284" s="12">
        <f t="shared" si="51"/>
        <v>1800</v>
      </c>
      <c r="Z284" s="16">
        <f>VLOOKUP(T284,Taxrate!A:B,2,FALSE)</f>
        <v>0.12</v>
      </c>
      <c r="AA284" s="12">
        <f t="shared" si="52"/>
        <v>339.1884</v>
      </c>
      <c r="AB284" s="16">
        <f>VLOOKUP('Sales Dataset'!O284,'Discount Rate'!A:B,2,)</f>
        <v>0.05</v>
      </c>
      <c r="AC284" s="12">
        <f t="shared" si="53"/>
        <v>90</v>
      </c>
      <c r="AD284" s="18">
        <f t="shared" si="54"/>
        <v>1799.8300000000002</v>
      </c>
    </row>
    <row r="285" spans="1:30" ht="51" customHeight="1" x14ac:dyDescent="0.35">
      <c r="A285" s="9" t="s">
        <v>610</v>
      </c>
      <c r="B285" s="9" t="s">
        <v>611</v>
      </c>
      <c r="C285" s="9" t="s">
        <v>141</v>
      </c>
      <c r="D285" s="20" t="s">
        <v>142</v>
      </c>
      <c r="E285" s="9" t="s">
        <v>917</v>
      </c>
      <c r="F285" s="9" t="s">
        <v>918</v>
      </c>
      <c r="G285" s="8">
        <v>45802</v>
      </c>
      <c r="H285" s="7">
        <f t="shared" si="44"/>
        <v>2025</v>
      </c>
      <c r="I285" s="7" t="str">
        <f t="shared" si="45"/>
        <v>May</v>
      </c>
      <c r="J285" s="8" t="str">
        <f t="shared" si="46"/>
        <v>Sunday</v>
      </c>
      <c r="K285" s="11">
        <v>0.5209259259259259</v>
      </c>
      <c r="L285" s="14">
        <f t="shared" si="47"/>
        <v>12</v>
      </c>
      <c r="M285" s="7">
        <f t="shared" si="48"/>
        <v>30</v>
      </c>
      <c r="N285" s="7">
        <f t="shared" si="49"/>
        <v>8</v>
      </c>
      <c r="O285" s="9" t="s">
        <v>13</v>
      </c>
      <c r="P285" s="9" t="s">
        <v>14</v>
      </c>
      <c r="Q285" s="9">
        <v>5</v>
      </c>
      <c r="R285" s="12">
        <v>1006.88</v>
      </c>
      <c r="S285" s="12">
        <f>VLOOKUP(O285,'Product-cost'!A:B,2,)</f>
        <v>600</v>
      </c>
      <c r="T285" s="9" t="s">
        <v>28</v>
      </c>
      <c r="U285" s="9" t="s">
        <v>235</v>
      </c>
      <c r="V285" s="9" t="s">
        <v>881</v>
      </c>
      <c r="W285" s="9" t="s">
        <v>894</v>
      </c>
      <c r="X285" s="12">
        <f t="shared" si="50"/>
        <v>5034.3999999999996</v>
      </c>
      <c r="Y285" s="12">
        <f t="shared" si="51"/>
        <v>3000</v>
      </c>
      <c r="Z285" s="16">
        <f>VLOOKUP(T285,Taxrate!A:B,2,FALSE)</f>
        <v>0.2</v>
      </c>
      <c r="AA285" s="12">
        <f t="shared" si="52"/>
        <v>1006.88</v>
      </c>
      <c r="AB285" s="16">
        <f>VLOOKUP('Sales Dataset'!O285,'Discount Rate'!A:B,2,)</f>
        <v>0.05</v>
      </c>
      <c r="AC285" s="12">
        <f t="shared" si="53"/>
        <v>150</v>
      </c>
      <c r="AD285" s="18">
        <f t="shared" si="54"/>
        <v>2999.75</v>
      </c>
    </row>
    <row r="286" spans="1:30" ht="51" customHeight="1" x14ac:dyDescent="0.35">
      <c r="A286" s="9" t="s">
        <v>612</v>
      </c>
      <c r="B286" s="9" t="s">
        <v>559</v>
      </c>
      <c r="C286" s="9" t="s">
        <v>107</v>
      </c>
      <c r="D286" s="20" t="s">
        <v>53</v>
      </c>
      <c r="E286" s="9" t="s">
        <v>909</v>
      </c>
      <c r="F286" s="9" t="s">
        <v>910</v>
      </c>
      <c r="G286" s="8">
        <v>46173</v>
      </c>
      <c r="H286" s="7">
        <f t="shared" si="44"/>
        <v>2026</v>
      </c>
      <c r="I286" s="7" t="str">
        <f t="shared" si="45"/>
        <v>May</v>
      </c>
      <c r="J286" s="8" t="str">
        <f t="shared" si="46"/>
        <v>Sunday</v>
      </c>
      <c r="K286" s="11">
        <v>0.52333333333333332</v>
      </c>
      <c r="L286" s="14">
        <f t="shared" si="47"/>
        <v>12</v>
      </c>
      <c r="M286" s="7">
        <f t="shared" si="48"/>
        <v>33</v>
      </c>
      <c r="N286" s="7">
        <f t="shared" si="49"/>
        <v>36</v>
      </c>
      <c r="O286" s="9" t="s">
        <v>40</v>
      </c>
      <c r="P286" s="9" t="s">
        <v>41</v>
      </c>
      <c r="Q286" s="9">
        <v>3</v>
      </c>
      <c r="R286" s="12">
        <v>230.6</v>
      </c>
      <c r="S286" s="12">
        <f>VLOOKUP(O286,'Product-cost'!A:B,2,)</f>
        <v>150</v>
      </c>
      <c r="T286" s="9" t="s">
        <v>34</v>
      </c>
      <c r="U286" s="9" t="s">
        <v>54</v>
      </c>
      <c r="V286" s="9" t="s">
        <v>872</v>
      </c>
      <c r="W286" s="9" t="s">
        <v>896</v>
      </c>
      <c r="X286" s="12">
        <f t="shared" si="50"/>
        <v>691.8</v>
      </c>
      <c r="Y286" s="12">
        <f t="shared" si="51"/>
        <v>450</v>
      </c>
      <c r="Z286" s="16">
        <f>VLOOKUP(T286,Taxrate!A:B,2,FALSE)</f>
        <v>0.15</v>
      </c>
      <c r="AA286" s="12">
        <f t="shared" si="52"/>
        <v>103.77</v>
      </c>
      <c r="AB286" s="16">
        <f>VLOOKUP('Sales Dataset'!O286,'Discount Rate'!A:B,2,)</f>
        <v>7.0000000000000007E-2</v>
      </c>
      <c r="AC286" s="12">
        <f t="shared" si="53"/>
        <v>31.500000000000004</v>
      </c>
      <c r="AD286" s="18">
        <f t="shared" si="54"/>
        <v>449.78000000000003</v>
      </c>
    </row>
    <row r="287" spans="1:30" ht="51" customHeight="1" x14ac:dyDescent="0.35">
      <c r="A287" s="9" t="s">
        <v>613</v>
      </c>
      <c r="B287" s="9" t="s">
        <v>614</v>
      </c>
      <c r="C287" s="9" t="s">
        <v>11</v>
      </c>
      <c r="D287" s="20" t="s">
        <v>12</v>
      </c>
      <c r="E287" s="9" t="s">
        <v>901</v>
      </c>
      <c r="F287" s="9" t="s">
        <v>902</v>
      </c>
      <c r="G287" s="8">
        <v>46187</v>
      </c>
      <c r="H287" s="7">
        <f t="shared" si="44"/>
        <v>2026</v>
      </c>
      <c r="I287" s="7" t="str">
        <f t="shared" si="45"/>
        <v>June</v>
      </c>
      <c r="J287" s="8" t="str">
        <f t="shared" si="46"/>
        <v>Sunday</v>
      </c>
      <c r="K287" s="11">
        <v>0.58496527777777774</v>
      </c>
      <c r="L287" s="14">
        <f t="shared" si="47"/>
        <v>14</v>
      </c>
      <c r="M287" s="7">
        <f t="shared" si="48"/>
        <v>2</v>
      </c>
      <c r="N287" s="7">
        <f t="shared" si="49"/>
        <v>21</v>
      </c>
      <c r="O287" s="9" t="s">
        <v>26</v>
      </c>
      <c r="P287" s="9" t="s">
        <v>27</v>
      </c>
      <c r="Q287" s="9">
        <v>11</v>
      </c>
      <c r="R287" s="12">
        <v>448.12</v>
      </c>
      <c r="S287" s="12">
        <f>VLOOKUP(O287,'Product-cost'!A:B,2,)</f>
        <v>200</v>
      </c>
      <c r="T287" s="9" t="s">
        <v>22</v>
      </c>
      <c r="U287" s="9" t="s">
        <v>15</v>
      </c>
      <c r="V287" s="9" t="s">
        <v>878</v>
      </c>
      <c r="W287" s="9" t="s">
        <v>894</v>
      </c>
      <c r="X287" s="12">
        <f t="shared" si="50"/>
        <v>4929.32</v>
      </c>
      <c r="Y287" s="12">
        <f t="shared" si="51"/>
        <v>2200</v>
      </c>
      <c r="Z287" s="16">
        <f>VLOOKUP(T287,Taxrate!A:B,2,FALSE)</f>
        <v>0.1</v>
      </c>
      <c r="AA287" s="12">
        <f t="shared" si="52"/>
        <v>492.93200000000002</v>
      </c>
      <c r="AB287" s="16">
        <f>VLOOKUP('Sales Dataset'!O287,'Discount Rate'!A:B,2,)</f>
        <v>0.08</v>
      </c>
      <c r="AC287" s="12">
        <f t="shared" si="53"/>
        <v>176</v>
      </c>
      <c r="AD287" s="18">
        <f t="shared" si="54"/>
        <v>2199.8200000000002</v>
      </c>
    </row>
    <row r="288" spans="1:30" ht="51" customHeight="1" x14ac:dyDescent="0.35">
      <c r="A288" s="9" t="s">
        <v>615</v>
      </c>
      <c r="B288" s="9" t="s">
        <v>324</v>
      </c>
      <c r="C288" s="9" t="s">
        <v>150</v>
      </c>
      <c r="D288" s="20" t="s">
        <v>33</v>
      </c>
      <c r="E288" s="9" t="s">
        <v>905</v>
      </c>
      <c r="F288" s="9" t="s">
        <v>906</v>
      </c>
      <c r="G288" s="8">
        <v>45286</v>
      </c>
      <c r="H288" s="7">
        <f t="shared" si="44"/>
        <v>2023</v>
      </c>
      <c r="I288" s="7" t="str">
        <f t="shared" si="45"/>
        <v>December</v>
      </c>
      <c r="J288" s="8" t="str">
        <f t="shared" si="46"/>
        <v>Tuesday</v>
      </c>
      <c r="K288" s="11">
        <v>0.57871527777777776</v>
      </c>
      <c r="L288" s="14">
        <f t="shared" si="47"/>
        <v>13</v>
      </c>
      <c r="M288" s="7">
        <f t="shared" si="48"/>
        <v>53</v>
      </c>
      <c r="N288" s="7">
        <f t="shared" si="49"/>
        <v>21</v>
      </c>
      <c r="O288" s="9" t="s">
        <v>66</v>
      </c>
      <c r="P288" s="9" t="s">
        <v>67</v>
      </c>
      <c r="Q288" s="9">
        <v>13</v>
      </c>
      <c r="R288" s="12">
        <v>500</v>
      </c>
      <c r="S288" s="12">
        <f>VLOOKUP(O288,'Product-cost'!A:B,2,)</f>
        <v>50</v>
      </c>
      <c r="T288" s="9" t="s">
        <v>28</v>
      </c>
      <c r="U288" s="9" t="s">
        <v>77</v>
      </c>
      <c r="V288" s="9" t="s">
        <v>878</v>
      </c>
      <c r="W288" s="9" t="s">
        <v>894</v>
      </c>
      <c r="X288" s="12">
        <f t="shared" si="50"/>
        <v>6500</v>
      </c>
      <c r="Y288" s="12">
        <f t="shared" si="51"/>
        <v>650</v>
      </c>
      <c r="Z288" s="16">
        <f>VLOOKUP(T288,Taxrate!A:B,2,FALSE)</f>
        <v>0.2</v>
      </c>
      <c r="AA288" s="12">
        <f t="shared" si="52"/>
        <v>1300</v>
      </c>
      <c r="AB288" s="16">
        <f>VLOOKUP('Sales Dataset'!O288,'Discount Rate'!A:B,2,)</f>
        <v>0.03</v>
      </c>
      <c r="AC288" s="12">
        <f t="shared" si="53"/>
        <v>19.5</v>
      </c>
      <c r="AD288" s="18">
        <f t="shared" si="54"/>
        <v>649.77</v>
      </c>
    </row>
    <row r="289" spans="1:30" ht="51" customHeight="1" x14ac:dyDescent="0.35">
      <c r="A289" s="9" t="s">
        <v>616</v>
      </c>
      <c r="B289" s="9" t="s">
        <v>471</v>
      </c>
      <c r="C289" s="9" t="s">
        <v>114</v>
      </c>
      <c r="D289" s="20" t="s">
        <v>19</v>
      </c>
      <c r="E289" s="9" t="s">
        <v>903</v>
      </c>
      <c r="F289" s="9" t="s">
        <v>904</v>
      </c>
      <c r="G289" s="8">
        <v>46084</v>
      </c>
      <c r="H289" s="7">
        <f t="shared" si="44"/>
        <v>2026</v>
      </c>
      <c r="I289" s="7" t="str">
        <f t="shared" si="45"/>
        <v>March</v>
      </c>
      <c r="J289" s="8" t="str">
        <f t="shared" si="46"/>
        <v>Tuesday</v>
      </c>
      <c r="K289" s="11">
        <v>0.69028935185185181</v>
      </c>
      <c r="L289" s="14">
        <f t="shared" si="47"/>
        <v>16</v>
      </c>
      <c r="M289" s="7">
        <f t="shared" si="48"/>
        <v>34</v>
      </c>
      <c r="N289" s="7">
        <f t="shared" si="49"/>
        <v>1</v>
      </c>
      <c r="O289" s="9" t="s">
        <v>20</v>
      </c>
      <c r="P289" s="9" t="s">
        <v>21</v>
      </c>
      <c r="Q289" s="9">
        <v>6</v>
      </c>
      <c r="R289" s="12">
        <v>746.41</v>
      </c>
      <c r="S289" s="12">
        <f>VLOOKUP(O289,'Product-cost'!A:B,2,)</f>
        <v>300</v>
      </c>
      <c r="T289" s="9" t="s">
        <v>22</v>
      </c>
      <c r="U289" s="9" t="s">
        <v>46</v>
      </c>
      <c r="V289" s="9" t="s">
        <v>878</v>
      </c>
      <c r="W289" s="9" t="s">
        <v>894</v>
      </c>
      <c r="X289" s="12">
        <f t="shared" si="50"/>
        <v>4478.46</v>
      </c>
      <c r="Y289" s="12">
        <f t="shared" si="51"/>
        <v>1800</v>
      </c>
      <c r="Z289" s="16">
        <f>VLOOKUP(T289,Taxrate!A:B,2,FALSE)</f>
        <v>0.1</v>
      </c>
      <c r="AA289" s="12">
        <f t="shared" si="52"/>
        <v>447.846</v>
      </c>
      <c r="AB289" s="16">
        <f>VLOOKUP('Sales Dataset'!O289,'Discount Rate'!A:B,2,)</f>
        <v>0.1</v>
      </c>
      <c r="AC289" s="12">
        <f t="shared" si="53"/>
        <v>180</v>
      </c>
      <c r="AD289" s="18">
        <f t="shared" si="54"/>
        <v>1799.8000000000002</v>
      </c>
    </row>
    <row r="290" spans="1:30" ht="51" customHeight="1" x14ac:dyDescent="0.35">
      <c r="A290" s="9" t="s">
        <v>617</v>
      </c>
      <c r="B290" s="9" t="s">
        <v>618</v>
      </c>
      <c r="C290" s="9" t="s">
        <v>83</v>
      </c>
      <c r="D290" s="20" t="s">
        <v>84</v>
      </c>
      <c r="E290" s="9" t="s">
        <v>913</v>
      </c>
      <c r="F290" s="9" t="s">
        <v>914</v>
      </c>
      <c r="G290" s="8">
        <v>45310</v>
      </c>
      <c r="H290" s="7">
        <f t="shared" si="44"/>
        <v>2024</v>
      </c>
      <c r="I290" s="7" t="str">
        <f t="shared" si="45"/>
        <v>January</v>
      </c>
      <c r="J290" s="8" t="str">
        <f t="shared" si="46"/>
        <v>Friday</v>
      </c>
      <c r="K290" s="11">
        <v>0.91027777777777774</v>
      </c>
      <c r="L290" s="14">
        <f t="shared" si="47"/>
        <v>21</v>
      </c>
      <c r="M290" s="7">
        <f t="shared" si="48"/>
        <v>50</v>
      </c>
      <c r="N290" s="7">
        <f t="shared" si="49"/>
        <v>48</v>
      </c>
      <c r="O290" s="9" t="s">
        <v>26</v>
      </c>
      <c r="P290" s="9" t="s">
        <v>27</v>
      </c>
      <c r="Q290" s="9">
        <v>6</v>
      </c>
      <c r="R290" s="12">
        <v>374.3</v>
      </c>
      <c r="S290" s="12">
        <f>VLOOKUP(O290,'Product-cost'!A:B,2,)</f>
        <v>200</v>
      </c>
      <c r="T290" s="9" t="s">
        <v>45</v>
      </c>
      <c r="U290" s="9" t="s">
        <v>102</v>
      </c>
      <c r="V290" s="9" t="s">
        <v>872</v>
      </c>
      <c r="W290" s="9" t="s">
        <v>896</v>
      </c>
      <c r="X290" s="12">
        <f t="shared" si="50"/>
        <v>2245.8000000000002</v>
      </c>
      <c r="Y290" s="12">
        <f t="shared" si="51"/>
        <v>1200</v>
      </c>
      <c r="Z290" s="16">
        <f>VLOOKUP(T290,Taxrate!A:B,2,FALSE)</f>
        <v>7.0000000000000007E-2</v>
      </c>
      <c r="AA290" s="12">
        <f t="shared" si="52"/>
        <v>157.20600000000002</v>
      </c>
      <c r="AB290" s="16">
        <f>VLOOKUP('Sales Dataset'!O290,'Discount Rate'!A:B,2,)</f>
        <v>0.08</v>
      </c>
      <c r="AC290" s="12">
        <f t="shared" si="53"/>
        <v>96</v>
      </c>
      <c r="AD290" s="18">
        <f t="shared" si="54"/>
        <v>1199.8500000000001</v>
      </c>
    </row>
    <row r="291" spans="1:30" ht="51" customHeight="1" x14ac:dyDescent="0.35">
      <c r="A291" s="9" t="s">
        <v>619</v>
      </c>
      <c r="B291" s="9" t="s">
        <v>473</v>
      </c>
      <c r="C291" s="9" t="s">
        <v>38</v>
      </c>
      <c r="D291" s="20" t="s">
        <v>39</v>
      </c>
      <c r="E291" s="9" t="s">
        <v>907</v>
      </c>
      <c r="F291" s="9" t="s">
        <v>908</v>
      </c>
      <c r="G291" s="8">
        <v>45176</v>
      </c>
      <c r="H291" s="7">
        <f t="shared" si="44"/>
        <v>2023</v>
      </c>
      <c r="I291" s="7" t="str">
        <f t="shared" si="45"/>
        <v>September</v>
      </c>
      <c r="J291" s="8" t="str">
        <f t="shared" si="46"/>
        <v>Thursday</v>
      </c>
      <c r="K291" s="11">
        <v>0.66795138888888894</v>
      </c>
      <c r="L291" s="14">
        <f t="shared" si="47"/>
        <v>16</v>
      </c>
      <c r="M291" s="7">
        <f t="shared" si="48"/>
        <v>1</v>
      </c>
      <c r="N291" s="7">
        <f t="shared" si="49"/>
        <v>51</v>
      </c>
      <c r="O291" s="9" t="s">
        <v>66</v>
      </c>
      <c r="P291" s="9" t="s">
        <v>67</v>
      </c>
      <c r="Q291" s="9">
        <v>3</v>
      </c>
      <c r="R291" s="12">
        <v>189.27</v>
      </c>
      <c r="S291" s="12">
        <f>VLOOKUP(O291,'Product-cost'!A:B,2,)</f>
        <v>50</v>
      </c>
      <c r="T291" s="9" t="s">
        <v>49</v>
      </c>
      <c r="U291" s="9" t="s">
        <v>73</v>
      </c>
      <c r="V291" s="9" t="s">
        <v>870</v>
      </c>
      <c r="W291" s="9" t="s">
        <v>894</v>
      </c>
      <c r="X291" s="12">
        <f t="shared" si="50"/>
        <v>567.81000000000006</v>
      </c>
      <c r="Y291" s="12">
        <f t="shared" si="51"/>
        <v>150</v>
      </c>
      <c r="Z291" s="16">
        <f>VLOOKUP(T291,Taxrate!A:B,2,FALSE)</f>
        <v>0.12</v>
      </c>
      <c r="AA291" s="12">
        <f t="shared" si="52"/>
        <v>68.137200000000007</v>
      </c>
      <c r="AB291" s="16">
        <f>VLOOKUP('Sales Dataset'!O291,'Discount Rate'!A:B,2,)</f>
        <v>0.03</v>
      </c>
      <c r="AC291" s="12">
        <f t="shared" si="53"/>
        <v>4.5</v>
      </c>
      <c r="AD291" s="18">
        <f t="shared" si="54"/>
        <v>149.85</v>
      </c>
    </row>
    <row r="292" spans="1:30" ht="51" customHeight="1" x14ac:dyDescent="0.35">
      <c r="A292" s="9" t="s">
        <v>620</v>
      </c>
      <c r="B292" s="9" t="s">
        <v>621</v>
      </c>
      <c r="C292" s="9" t="s">
        <v>163</v>
      </c>
      <c r="D292" s="20" t="s">
        <v>53</v>
      </c>
      <c r="E292" s="9" t="s">
        <v>909</v>
      </c>
      <c r="F292" s="9" t="s">
        <v>910</v>
      </c>
      <c r="G292" s="8">
        <v>45867</v>
      </c>
      <c r="H292" s="7">
        <f t="shared" si="44"/>
        <v>2025</v>
      </c>
      <c r="I292" s="7" t="str">
        <f t="shared" si="45"/>
        <v>July</v>
      </c>
      <c r="J292" s="8" t="str">
        <f t="shared" si="46"/>
        <v>Tuesday</v>
      </c>
      <c r="K292" s="11">
        <v>0.83024305555555555</v>
      </c>
      <c r="L292" s="14">
        <f t="shared" si="47"/>
        <v>19</v>
      </c>
      <c r="M292" s="7">
        <f t="shared" si="48"/>
        <v>55</v>
      </c>
      <c r="N292" s="7">
        <f t="shared" si="49"/>
        <v>33</v>
      </c>
      <c r="O292" s="9" t="s">
        <v>13</v>
      </c>
      <c r="P292" s="9" t="s">
        <v>14</v>
      </c>
      <c r="Q292" s="9">
        <v>7</v>
      </c>
      <c r="R292" s="12">
        <v>1143.53</v>
      </c>
      <c r="S292" s="12">
        <f>VLOOKUP(O292,'Product-cost'!A:B,2,)</f>
        <v>600</v>
      </c>
      <c r="T292" s="9" t="s">
        <v>49</v>
      </c>
      <c r="U292" s="9" t="s">
        <v>54</v>
      </c>
      <c r="V292" s="9" t="s">
        <v>870</v>
      </c>
      <c r="W292" s="9" t="s">
        <v>894</v>
      </c>
      <c r="X292" s="12">
        <f t="shared" si="50"/>
        <v>8004.71</v>
      </c>
      <c r="Y292" s="12">
        <f t="shared" si="51"/>
        <v>4200</v>
      </c>
      <c r="Z292" s="16">
        <f>VLOOKUP(T292,Taxrate!A:B,2,FALSE)</f>
        <v>0.12</v>
      </c>
      <c r="AA292" s="12">
        <f t="shared" si="52"/>
        <v>960.5652</v>
      </c>
      <c r="AB292" s="16">
        <f>VLOOKUP('Sales Dataset'!O292,'Discount Rate'!A:B,2,)</f>
        <v>0.05</v>
      </c>
      <c r="AC292" s="12">
        <f t="shared" si="53"/>
        <v>210</v>
      </c>
      <c r="AD292" s="18">
        <f t="shared" si="54"/>
        <v>4199.83</v>
      </c>
    </row>
    <row r="293" spans="1:30" ht="51" customHeight="1" x14ac:dyDescent="0.35">
      <c r="A293" s="9" t="s">
        <v>622</v>
      </c>
      <c r="B293" s="9" t="s">
        <v>623</v>
      </c>
      <c r="C293" s="9" t="s">
        <v>107</v>
      </c>
      <c r="D293" s="20" t="s">
        <v>53</v>
      </c>
      <c r="E293" s="9" t="s">
        <v>909</v>
      </c>
      <c r="F293" s="9" t="s">
        <v>910</v>
      </c>
      <c r="G293" s="8">
        <v>45584</v>
      </c>
      <c r="H293" s="7">
        <f t="shared" si="44"/>
        <v>2024</v>
      </c>
      <c r="I293" s="7" t="str">
        <f t="shared" si="45"/>
        <v>October</v>
      </c>
      <c r="J293" s="8" t="str">
        <f t="shared" si="46"/>
        <v>Saturday</v>
      </c>
      <c r="K293" s="11">
        <v>0.4710300925925926</v>
      </c>
      <c r="L293" s="14">
        <f t="shared" si="47"/>
        <v>11</v>
      </c>
      <c r="M293" s="7">
        <f t="shared" si="48"/>
        <v>18</v>
      </c>
      <c r="N293" s="7">
        <f t="shared" si="49"/>
        <v>17</v>
      </c>
      <c r="O293" s="9" t="s">
        <v>40</v>
      </c>
      <c r="P293" s="9" t="s">
        <v>41</v>
      </c>
      <c r="Q293" s="9">
        <v>8</v>
      </c>
      <c r="R293" s="12">
        <v>205.99</v>
      </c>
      <c r="S293" s="12">
        <f>VLOOKUP(O293,'Product-cost'!A:B,2,)</f>
        <v>150</v>
      </c>
      <c r="T293" s="9" t="s">
        <v>28</v>
      </c>
      <c r="U293" s="9" t="s">
        <v>206</v>
      </c>
      <c r="V293" s="9" t="s">
        <v>872</v>
      </c>
      <c r="W293" s="9" t="s">
        <v>896</v>
      </c>
      <c r="X293" s="12">
        <f t="shared" si="50"/>
        <v>1647.92</v>
      </c>
      <c r="Y293" s="12">
        <f t="shared" si="51"/>
        <v>1200</v>
      </c>
      <c r="Z293" s="16">
        <f>VLOOKUP(T293,Taxrate!A:B,2,FALSE)</f>
        <v>0.2</v>
      </c>
      <c r="AA293" s="12">
        <f t="shared" si="52"/>
        <v>329.58400000000006</v>
      </c>
      <c r="AB293" s="16">
        <f>VLOOKUP('Sales Dataset'!O293,'Discount Rate'!A:B,2,)</f>
        <v>7.0000000000000007E-2</v>
      </c>
      <c r="AC293" s="12">
        <f t="shared" si="53"/>
        <v>84.000000000000014</v>
      </c>
      <c r="AD293" s="18">
        <f t="shared" si="54"/>
        <v>1199.73</v>
      </c>
    </row>
    <row r="294" spans="1:30" ht="51" customHeight="1" x14ac:dyDescent="0.35">
      <c r="A294" s="9" t="s">
        <v>624</v>
      </c>
      <c r="B294" s="9" t="s">
        <v>625</v>
      </c>
      <c r="C294" s="9" t="s">
        <v>117</v>
      </c>
      <c r="D294" s="20" t="s">
        <v>19</v>
      </c>
      <c r="E294" s="9" t="s">
        <v>903</v>
      </c>
      <c r="F294" s="9" t="s">
        <v>904</v>
      </c>
      <c r="G294" s="8">
        <v>45359</v>
      </c>
      <c r="H294" s="7">
        <f t="shared" si="44"/>
        <v>2024</v>
      </c>
      <c r="I294" s="7" t="str">
        <f t="shared" si="45"/>
        <v>March</v>
      </c>
      <c r="J294" s="8" t="str">
        <f t="shared" si="46"/>
        <v>Friday</v>
      </c>
      <c r="K294" s="11">
        <v>0.41966435185185186</v>
      </c>
      <c r="L294" s="14">
        <f t="shared" si="47"/>
        <v>10</v>
      </c>
      <c r="M294" s="7">
        <f t="shared" si="48"/>
        <v>4</v>
      </c>
      <c r="N294" s="7">
        <f t="shared" si="49"/>
        <v>19</v>
      </c>
      <c r="O294" s="9" t="s">
        <v>40</v>
      </c>
      <c r="P294" s="9" t="s">
        <v>41</v>
      </c>
      <c r="Q294" s="9">
        <v>9</v>
      </c>
      <c r="R294" s="12">
        <v>190.31</v>
      </c>
      <c r="S294" s="12">
        <f>VLOOKUP(O294,'Product-cost'!A:B,2,)</f>
        <v>150</v>
      </c>
      <c r="T294" s="9" t="s">
        <v>34</v>
      </c>
      <c r="U294" s="9" t="s">
        <v>23</v>
      </c>
      <c r="V294" s="9" t="s">
        <v>883</v>
      </c>
      <c r="W294" s="9" t="s">
        <v>894</v>
      </c>
      <c r="X294" s="12">
        <f t="shared" si="50"/>
        <v>1712.79</v>
      </c>
      <c r="Y294" s="12">
        <f t="shared" si="51"/>
        <v>1350</v>
      </c>
      <c r="Z294" s="16">
        <f>VLOOKUP(T294,Taxrate!A:B,2,FALSE)</f>
        <v>0.15</v>
      </c>
      <c r="AA294" s="12">
        <f t="shared" si="52"/>
        <v>256.91849999999999</v>
      </c>
      <c r="AB294" s="16">
        <f>VLOOKUP('Sales Dataset'!O294,'Discount Rate'!A:B,2,)</f>
        <v>7.0000000000000007E-2</v>
      </c>
      <c r="AC294" s="12">
        <f t="shared" si="53"/>
        <v>94.500000000000014</v>
      </c>
      <c r="AD294" s="18">
        <f t="shared" si="54"/>
        <v>1349.78</v>
      </c>
    </row>
    <row r="295" spans="1:30" ht="51" customHeight="1" x14ac:dyDescent="0.35">
      <c r="A295" s="9" t="s">
        <v>626</v>
      </c>
      <c r="B295" s="9" t="s">
        <v>627</v>
      </c>
      <c r="C295" s="9" t="s">
        <v>126</v>
      </c>
      <c r="D295" s="20" t="s">
        <v>19</v>
      </c>
      <c r="E295" s="9" t="s">
        <v>903</v>
      </c>
      <c r="F295" s="9" t="s">
        <v>904</v>
      </c>
      <c r="G295" s="8">
        <v>45301</v>
      </c>
      <c r="H295" s="7">
        <f t="shared" si="44"/>
        <v>2024</v>
      </c>
      <c r="I295" s="7" t="str">
        <f t="shared" si="45"/>
        <v>January</v>
      </c>
      <c r="J295" s="8" t="str">
        <f t="shared" si="46"/>
        <v>Wednesday</v>
      </c>
      <c r="K295" s="11">
        <v>0.88385416666666672</v>
      </c>
      <c r="L295" s="14">
        <f t="shared" si="47"/>
        <v>21</v>
      </c>
      <c r="M295" s="7">
        <f t="shared" si="48"/>
        <v>12</v>
      </c>
      <c r="N295" s="7">
        <f t="shared" si="49"/>
        <v>45</v>
      </c>
      <c r="O295" s="9" t="s">
        <v>40</v>
      </c>
      <c r="P295" s="9" t="s">
        <v>41</v>
      </c>
      <c r="Q295" s="9">
        <v>7</v>
      </c>
      <c r="R295" s="12">
        <v>260.08999999999997</v>
      </c>
      <c r="S295" s="12">
        <f>VLOOKUP(O295,'Product-cost'!A:B,2,)</f>
        <v>150</v>
      </c>
      <c r="T295" s="9" t="s">
        <v>49</v>
      </c>
      <c r="U295" s="9" t="s">
        <v>23</v>
      </c>
      <c r="V295" s="9" t="s">
        <v>872</v>
      </c>
      <c r="W295" s="9" t="s">
        <v>896</v>
      </c>
      <c r="X295" s="12">
        <f t="shared" si="50"/>
        <v>1820.6299999999999</v>
      </c>
      <c r="Y295" s="12">
        <f t="shared" si="51"/>
        <v>1050</v>
      </c>
      <c r="Z295" s="16">
        <f>VLOOKUP(T295,Taxrate!A:B,2,FALSE)</f>
        <v>0.12</v>
      </c>
      <c r="AA295" s="12">
        <f t="shared" si="52"/>
        <v>218.47559999999999</v>
      </c>
      <c r="AB295" s="16">
        <f>VLOOKUP('Sales Dataset'!O295,'Discount Rate'!A:B,2,)</f>
        <v>7.0000000000000007E-2</v>
      </c>
      <c r="AC295" s="12">
        <f t="shared" si="53"/>
        <v>73.5</v>
      </c>
      <c r="AD295" s="18">
        <f t="shared" si="54"/>
        <v>1049.8100000000002</v>
      </c>
    </row>
    <row r="296" spans="1:30" ht="51" customHeight="1" x14ac:dyDescent="0.35">
      <c r="A296" s="9" t="s">
        <v>628</v>
      </c>
      <c r="B296" s="9" t="s">
        <v>629</v>
      </c>
      <c r="C296" s="9" t="s">
        <v>126</v>
      </c>
      <c r="D296" s="20" t="s">
        <v>19</v>
      </c>
      <c r="E296" s="9" t="s">
        <v>903</v>
      </c>
      <c r="F296" s="9" t="s">
        <v>904</v>
      </c>
      <c r="G296" s="8">
        <v>45401</v>
      </c>
      <c r="H296" s="7">
        <f t="shared" si="44"/>
        <v>2024</v>
      </c>
      <c r="I296" s="7" t="str">
        <f t="shared" si="45"/>
        <v>April</v>
      </c>
      <c r="J296" s="8" t="str">
        <f t="shared" si="46"/>
        <v>Friday</v>
      </c>
      <c r="K296" s="11">
        <v>0.45552083333333332</v>
      </c>
      <c r="L296" s="14">
        <f t="shared" si="47"/>
        <v>10</v>
      </c>
      <c r="M296" s="7">
        <f t="shared" si="48"/>
        <v>55</v>
      </c>
      <c r="N296" s="7">
        <f t="shared" si="49"/>
        <v>57</v>
      </c>
      <c r="O296" s="9" t="s">
        <v>40</v>
      </c>
      <c r="P296" s="9" t="s">
        <v>41</v>
      </c>
      <c r="Q296" s="9">
        <v>6</v>
      </c>
      <c r="R296" s="12">
        <v>252.96</v>
      </c>
      <c r="S296" s="12">
        <f>VLOOKUP(O296,'Product-cost'!A:B,2,)</f>
        <v>150</v>
      </c>
      <c r="T296" s="9" t="s">
        <v>22</v>
      </c>
      <c r="U296" s="9" t="s">
        <v>23</v>
      </c>
      <c r="V296" s="9" t="s">
        <v>872</v>
      </c>
      <c r="W296" s="9" t="s">
        <v>896</v>
      </c>
      <c r="X296" s="12">
        <f t="shared" si="50"/>
        <v>1517.76</v>
      </c>
      <c r="Y296" s="12">
        <f t="shared" si="51"/>
        <v>900</v>
      </c>
      <c r="Z296" s="16">
        <f>VLOOKUP(T296,Taxrate!A:B,2,FALSE)</f>
        <v>0.1</v>
      </c>
      <c r="AA296" s="12">
        <f t="shared" si="52"/>
        <v>151.77600000000001</v>
      </c>
      <c r="AB296" s="16">
        <f>VLOOKUP('Sales Dataset'!O296,'Discount Rate'!A:B,2,)</f>
        <v>7.0000000000000007E-2</v>
      </c>
      <c r="AC296" s="12">
        <f t="shared" si="53"/>
        <v>63.000000000000007</v>
      </c>
      <c r="AD296" s="18">
        <f t="shared" si="54"/>
        <v>899.82999999999993</v>
      </c>
    </row>
    <row r="297" spans="1:30" ht="51" customHeight="1" x14ac:dyDescent="0.35">
      <c r="A297" s="9" t="s">
        <v>630</v>
      </c>
      <c r="B297" s="9" t="s">
        <v>180</v>
      </c>
      <c r="C297" s="9" t="s">
        <v>52</v>
      </c>
      <c r="D297" s="20" t="s">
        <v>53</v>
      </c>
      <c r="E297" s="9" t="s">
        <v>909</v>
      </c>
      <c r="F297" s="9" t="s">
        <v>910</v>
      </c>
      <c r="G297" s="8">
        <v>45640</v>
      </c>
      <c r="H297" s="7">
        <f t="shared" si="44"/>
        <v>2024</v>
      </c>
      <c r="I297" s="7" t="str">
        <f t="shared" si="45"/>
        <v>December</v>
      </c>
      <c r="J297" s="8" t="str">
        <f t="shared" si="46"/>
        <v>Saturday</v>
      </c>
      <c r="K297" s="11">
        <v>0.67112268518518514</v>
      </c>
      <c r="L297" s="14">
        <f t="shared" si="47"/>
        <v>16</v>
      </c>
      <c r="M297" s="7">
        <f t="shared" si="48"/>
        <v>6</v>
      </c>
      <c r="N297" s="7">
        <f t="shared" si="49"/>
        <v>25</v>
      </c>
      <c r="O297" s="9" t="s">
        <v>13</v>
      </c>
      <c r="P297" s="9" t="s">
        <v>14</v>
      </c>
      <c r="Q297" s="9">
        <v>11</v>
      </c>
      <c r="R297" s="12">
        <v>500</v>
      </c>
      <c r="S297" s="12">
        <f>VLOOKUP(O297,'Product-cost'!A:B,2,)</f>
        <v>600</v>
      </c>
      <c r="T297" s="9" t="s">
        <v>22</v>
      </c>
      <c r="U297" s="9" t="s">
        <v>68</v>
      </c>
      <c r="V297" s="9" t="s">
        <v>871</v>
      </c>
      <c r="W297" s="9" t="s">
        <v>894</v>
      </c>
      <c r="X297" s="12">
        <f t="shared" si="50"/>
        <v>5500</v>
      </c>
      <c r="Y297" s="12">
        <f t="shared" si="51"/>
        <v>6600</v>
      </c>
      <c r="Z297" s="16">
        <f>VLOOKUP(T297,Taxrate!A:B,2,FALSE)</f>
        <v>0.1</v>
      </c>
      <c r="AA297" s="12">
        <f t="shared" si="52"/>
        <v>550</v>
      </c>
      <c r="AB297" s="16">
        <f>VLOOKUP('Sales Dataset'!O297,'Discount Rate'!A:B,2,)</f>
        <v>0.05</v>
      </c>
      <c r="AC297" s="12">
        <f t="shared" si="53"/>
        <v>330</v>
      </c>
      <c r="AD297" s="18">
        <f t="shared" si="54"/>
        <v>6599.8499999999995</v>
      </c>
    </row>
    <row r="298" spans="1:30" ht="51" customHeight="1" x14ac:dyDescent="0.35">
      <c r="A298" s="9" t="s">
        <v>631</v>
      </c>
      <c r="B298" s="9" t="s">
        <v>317</v>
      </c>
      <c r="C298" s="9" t="s">
        <v>163</v>
      </c>
      <c r="D298" s="20" t="s">
        <v>53</v>
      </c>
      <c r="E298" s="9" t="s">
        <v>909</v>
      </c>
      <c r="F298" s="9" t="s">
        <v>910</v>
      </c>
      <c r="G298" s="8">
        <v>45936</v>
      </c>
      <c r="H298" s="7">
        <f t="shared" si="44"/>
        <v>2025</v>
      </c>
      <c r="I298" s="7" t="str">
        <f t="shared" si="45"/>
        <v>October</v>
      </c>
      <c r="J298" s="8" t="str">
        <f t="shared" si="46"/>
        <v>Monday</v>
      </c>
      <c r="K298" s="11">
        <v>0.69739583333333333</v>
      </c>
      <c r="L298" s="14">
        <f t="shared" si="47"/>
        <v>16</v>
      </c>
      <c r="M298" s="7">
        <f t="shared" si="48"/>
        <v>44</v>
      </c>
      <c r="N298" s="7">
        <f t="shared" si="49"/>
        <v>15</v>
      </c>
      <c r="O298" s="9" t="s">
        <v>20</v>
      </c>
      <c r="P298" s="9" t="s">
        <v>21</v>
      </c>
      <c r="Q298" s="9">
        <v>2</v>
      </c>
      <c r="R298" s="12">
        <v>693.57</v>
      </c>
      <c r="S298" s="12">
        <f>VLOOKUP(O298,'Product-cost'!A:B,2,)</f>
        <v>300</v>
      </c>
      <c r="T298" s="9" t="s">
        <v>34</v>
      </c>
      <c r="U298" s="9" t="s">
        <v>206</v>
      </c>
      <c r="V298" s="9" t="s">
        <v>870</v>
      </c>
      <c r="W298" s="9" t="s">
        <v>894</v>
      </c>
      <c r="X298" s="12">
        <f t="shared" si="50"/>
        <v>1387.14</v>
      </c>
      <c r="Y298" s="12">
        <f t="shared" si="51"/>
        <v>600</v>
      </c>
      <c r="Z298" s="16">
        <f>VLOOKUP(T298,Taxrate!A:B,2,FALSE)</f>
        <v>0.15</v>
      </c>
      <c r="AA298" s="12">
        <f t="shared" si="52"/>
        <v>208.071</v>
      </c>
      <c r="AB298" s="16">
        <f>VLOOKUP('Sales Dataset'!O298,'Discount Rate'!A:B,2,)</f>
        <v>0.1</v>
      </c>
      <c r="AC298" s="12">
        <f t="shared" si="53"/>
        <v>60</v>
      </c>
      <c r="AD298" s="18">
        <f t="shared" si="54"/>
        <v>599.75</v>
      </c>
    </row>
    <row r="299" spans="1:30" ht="51" customHeight="1" x14ac:dyDescent="0.35">
      <c r="A299" s="9" t="s">
        <v>632</v>
      </c>
      <c r="B299" s="9" t="s">
        <v>633</v>
      </c>
      <c r="C299" s="9" t="s">
        <v>83</v>
      </c>
      <c r="D299" s="20" t="s">
        <v>84</v>
      </c>
      <c r="E299" s="9" t="s">
        <v>913</v>
      </c>
      <c r="F299" s="9" t="s">
        <v>914</v>
      </c>
      <c r="G299" s="8">
        <v>46123</v>
      </c>
      <c r="H299" s="7">
        <f t="shared" si="44"/>
        <v>2026</v>
      </c>
      <c r="I299" s="7" t="str">
        <f t="shared" si="45"/>
        <v>April</v>
      </c>
      <c r="J299" s="8" t="str">
        <f t="shared" si="46"/>
        <v>Saturday</v>
      </c>
      <c r="K299" s="11">
        <v>0.56366898148148148</v>
      </c>
      <c r="L299" s="14">
        <f t="shared" si="47"/>
        <v>13</v>
      </c>
      <c r="M299" s="7">
        <f t="shared" si="48"/>
        <v>31</v>
      </c>
      <c r="N299" s="7">
        <f t="shared" si="49"/>
        <v>41</v>
      </c>
      <c r="O299" s="9" t="s">
        <v>13</v>
      </c>
      <c r="P299" s="9" t="s">
        <v>14</v>
      </c>
      <c r="Q299" s="9">
        <v>7</v>
      </c>
      <c r="R299" s="12">
        <v>1243.6300000000001</v>
      </c>
      <c r="S299" s="12">
        <f>VLOOKUP(O299,'Product-cost'!A:B,2,)</f>
        <v>600</v>
      </c>
      <c r="T299" s="9" t="s">
        <v>45</v>
      </c>
      <c r="U299" s="9" t="s">
        <v>183</v>
      </c>
      <c r="V299" s="9" t="s">
        <v>872</v>
      </c>
      <c r="W299" s="9" t="s">
        <v>896</v>
      </c>
      <c r="X299" s="12">
        <f t="shared" si="50"/>
        <v>8705.41</v>
      </c>
      <c r="Y299" s="12">
        <f t="shared" si="51"/>
        <v>4200</v>
      </c>
      <c r="Z299" s="16">
        <f>VLOOKUP(T299,Taxrate!A:B,2,FALSE)</f>
        <v>7.0000000000000007E-2</v>
      </c>
      <c r="AA299" s="12">
        <f t="shared" si="52"/>
        <v>609.37870000000009</v>
      </c>
      <c r="AB299" s="16">
        <f>VLOOKUP('Sales Dataset'!O299,'Discount Rate'!A:B,2,)</f>
        <v>0.05</v>
      </c>
      <c r="AC299" s="12">
        <f t="shared" si="53"/>
        <v>210</v>
      </c>
      <c r="AD299" s="18">
        <f t="shared" si="54"/>
        <v>4199.88</v>
      </c>
    </row>
    <row r="300" spans="1:30" ht="51" customHeight="1" x14ac:dyDescent="0.35">
      <c r="A300" s="9" t="s">
        <v>634</v>
      </c>
      <c r="B300" s="9" t="s">
        <v>437</v>
      </c>
      <c r="C300" s="9" t="s">
        <v>76</v>
      </c>
      <c r="D300" s="20" t="s">
        <v>33</v>
      </c>
      <c r="E300" s="9" t="s">
        <v>905</v>
      </c>
      <c r="F300" s="9" t="s">
        <v>906</v>
      </c>
      <c r="G300" s="8">
        <v>46094</v>
      </c>
      <c r="H300" s="7">
        <f t="shared" si="44"/>
        <v>2026</v>
      </c>
      <c r="I300" s="7" t="str">
        <f t="shared" si="45"/>
        <v>March</v>
      </c>
      <c r="J300" s="8" t="str">
        <f t="shared" si="46"/>
        <v>Friday</v>
      </c>
      <c r="K300" s="11">
        <v>0.61525462962962962</v>
      </c>
      <c r="L300" s="14">
        <f t="shared" si="47"/>
        <v>14</v>
      </c>
      <c r="M300" s="7">
        <f t="shared" si="48"/>
        <v>45</v>
      </c>
      <c r="N300" s="7">
        <f t="shared" si="49"/>
        <v>58</v>
      </c>
      <c r="O300" s="9" t="s">
        <v>26</v>
      </c>
      <c r="P300" s="9" t="s">
        <v>27</v>
      </c>
      <c r="Q300" s="9">
        <v>10</v>
      </c>
      <c r="R300" s="12">
        <v>500</v>
      </c>
      <c r="S300" s="12">
        <f>VLOOKUP(O300,'Product-cost'!A:B,2,)</f>
        <v>200</v>
      </c>
      <c r="T300" s="9" t="s">
        <v>49</v>
      </c>
      <c r="U300" s="9" t="s">
        <v>398</v>
      </c>
      <c r="V300" s="9" t="s">
        <v>869</v>
      </c>
      <c r="W300" s="9" t="s">
        <v>894</v>
      </c>
      <c r="X300" s="12">
        <f t="shared" si="50"/>
        <v>5000</v>
      </c>
      <c r="Y300" s="12">
        <f t="shared" si="51"/>
        <v>2000</v>
      </c>
      <c r="Z300" s="16">
        <f>VLOOKUP(T300,Taxrate!A:B,2,FALSE)</f>
        <v>0.12</v>
      </c>
      <c r="AA300" s="12">
        <f t="shared" si="52"/>
        <v>600</v>
      </c>
      <c r="AB300" s="16">
        <f>VLOOKUP('Sales Dataset'!O300,'Discount Rate'!A:B,2,)</f>
        <v>0.08</v>
      </c>
      <c r="AC300" s="12">
        <f t="shared" si="53"/>
        <v>160</v>
      </c>
      <c r="AD300" s="18">
        <f t="shared" si="54"/>
        <v>1999.8000000000002</v>
      </c>
    </row>
    <row r="301" spans="1:30" ht="51" customHeight="1" x14ac:dyDescent="0.35">
      <c r="A301" s="9" t="s">
        <v>635</v>
      </c>
      <c r="B301" s="9" t="s">
        <v>636</v>
      </c>
      <c r="C301" s="9" t="s">
        <v>32</v>
      </c>
      <c r="D301" s="20" t="s">
        <v>33</v>
      </c>
      <c r="E301" s="9" t="s">
        <v>905</v>
      </c>
      <c r="F301" s="9" t="s">
        <v>906</v>
      </c>
      <c r="G301" s="8">
        <v>45504</v>
      </c>
      <c r="H301" s="7">
        <f t="shared" si="44"/>
        <v>2024</v>
      </c>
      <c r="I301" s="7" t="str">
        <f t="shared" si="45"/>
        <v>July</v>
      </c>
      <c r="J301" s="8" t="str">
        <f t="shared" si="46"/>
        <v>Wednesday</v>
      </c>
      <c r="K301" s="11">
        <v>0.47759259259259257</v>
      </c>
      <c r="L301" s="14">
        <f t="shared" si="47"/>
        <v>11</v>
      </c>
      <c r="M301" s="7">
        <f t="shared" si="48"/>
        <v>27</v>
      </c>
      <c r="N301" s="7">
        <f t="shared" si="49"/>
        <v>44</v>
      </c>
      <c r="O301" s="9" t="s">
        <v>40</v>
      </c>
      <c r="P301" s="9" t="s">
        <v>41</v>
      </c>
      <c r="Q301" s="9">
        <v>6</v>
      </c>
      <c r="R301" s="12">
        <v>220.66</v>
      </c>
      <c r="S301" s="12">
        <f>VLOOKUP(O301,'Product-cost'!A:B,2,)</f>
        <v>150</v>
      </c>
      <c r="T301" s="9" t="s">
        <v>34</v>
      </c>
      <c r="U301" s="9" t="s">
        <v>77</v>
      </c>
      <c r="V301" s="9" t="s">
        <v>873</v>
      </c>
      <c r="W301" s="9" t="s">
        <v>895</v>
      </c>
      <c r="X301" s="12">
        <f t="shared" si="50"/>
        <v>1323.96</v>
      </c>
      <c r="Y301" s="12">
        <f t="shared" si="51"/>
        <v>900</v>
      </c>
      <c r="Z301" s="16">
        <f>VLOOKUP(T301,Taxrate!A:B,2,FALSE)</f>
        <v>0.15</v>
      </c>
      <c r="AA301" s="12">
        <f t="shared" si="52"/>
        <v>198.59399999999999</v>
      </c>
      <c r="AB301" s="16">
        <f>VLOOKUP('Sales Dataset'!O301,'Discount Rate'!A:B,2,)</f>
        <v>7.0000000000000007E-2</v>
      </c>
      <c r="AC301" s="12">
        <f t="shared" si="53"/>
        <v>63.000000000000007</v>
      </c>
      <c r="AD301" s="18">
        <f t="shared" si="54"/>
        <v>899.78</v>
      </c>
    </row>
    <row r="302" spans="1:30" ht="51" customHeight="1" x14ac:dyDescent="0.35">
      <c r="A302" s="9" t="s">
        <v>637</v>
      </c>
      <c r="B302" s="9" t="s">
        <v>638</v>
      </c>
      <c r="C302" s="9" t="s">
        <v>117</v>
      </c>
      <c r="D302" s="20" t="s">
        <v>19</v>
      </c>
      <c r="E302" s="9" t="s">
        <v>903</v>
      </c>
      <c r="F302" s="9" t="s">
        <v>904</v>
      </c>
      <c r="G302" s="8">
        <v>46122</v>
      </c>
      <c r="H302" s="7">
        <f t="shared" si="44"/>
        <v>2026</v>
      </c>
      <c r="I302" s="7" t="str">
        <f t="shared" si="45"/>
        <v>April</v>
      </c>
      <c r="J302" s="8" t="str">
        <f t="shared" si="46"/>
        <v>Friday</v>
      </c>
      <c r="K302" s="11">
        <v>0.41671296296296295</v>
      </c>
      <c r="L302" s="14">
        <f t="shared" si="47"/>
        <v>10</v>
      </c>
      <c r="M302" s="7">
        <f t="shared" si="48"/>
        <v>0</v>
      </c>
      <c r="N302" s="7">
        <f t="shared" si="49"/>
        <v>4</v>
      </c>
      <c r="O302" s="9" t="s">
        <v>13</v>
      </c>
      <c r="P302" s="9" t="s">
        <v>14</v>
      </c>
      <c r="Q302" s="9">
        <v>15</v>
      </c>
      <c r="R302" s="12">
        <v>1018.37</v>
      </c>
      <c r="S302" s="12">
        <f>VLOOKUP(O302,'Product-cost'!A:B,2,)</f>
        <v>600</v>
      </c>
      <c r="T302" s="9" t="s">
        <v>28</v>
      </c>
      <c r="U302" s="9" t="s">
        <v>130</v>
      </c>
      <c r="V302" s="9" t="s">
        <v>874</v>
      </c>
      <c r="W302" s="9" t="s">
        <v>894</v>
      </c>
      <c r="X302" s="12">
        <f t="shared" si="50"/>
        <v>15275.55</v>
      </c>
      <c r="Y302" s="12">
        <f t="shared" si="51"/>
        <v>9000</v>
      </c>
      <c r="Z302" s="16">
        <f>VLOOKUP(T302,Taxrate!A:B,2,FALSE)</f>
        <v>0.2</v>
      </c>
      <c r="AA302" s="12">
        <f t="shared" si="52"/>
        <v>3055.11</v>
      </c>
      <c r="AB302" s="16">
        <f>VLOOKUP('Sales Dataset'!O302,'Discount Rate'!A:B,2,)</f>
        <v>0.05</v>
      </c>
      <c r="AC302" s="12">
        <f t="shared" si="53"/>
        <v>450</v>
      </c>
      <c r="AD302" s="18">
        <f t="shared" si="54"/>
        <v>8999.75</v>
      </c>
    </row>
    <row r="303" spans="1:30" ht="51" customHeight="1" x14ac:dyDescent="0.35">
      <c r="A303" s="9" t="s">
        <v>639</v>
      </c>
      <c r="B303" s="9" t="s">
        <v>430</v>
      </c>
      <c r="C303" s="9" t="s">
        <v>52</v>
      </c>
      <c r="D303" s="20" t="s">
        <v>53</v>
      </c>
      <c r="E303" s="9" t="s">
        <v>909</v>
      </c>
      <c r="F303" s="9" t="s">
        <v>910</v>
      </c>
      <c r="G303" s="8">
        <v>45911</v>
      </c>
      <c r="H303" s="7">
        <f t="shared" si="44"/>
        <v>2025</v>
      </c>
      <c r="I303" s="7" t="str">
        <f t="shared" si="45"/>
        <v>September</v>
      </c>
      <c r="J303" s="8" t="str">
        <f t="shared" si="46"/>
        <v>Thursday</v>
      </c>
      <c r="K303" s="11">
        <v>0.70310185185185181</v>
      </c>
      <c r="L303" s="14">
        <f t="shared" si="47"/>
        <v>16</v>
      </c>
      <c r="M303" s="7">
        <f t="shared" si="48"/>
        <v>52</v>
      </c>
      <c r="N303" s="7">
        <f t="shared" si="49"/>
        <v>28</v>
      </c>
      <c r="O303" s="9" t="s">
        <v>66</v>
      </c>
      <c r="P303" s="9" t="s">
        <v>67</v>
      </c>
      <c r="Q303" s="9">
        <v>3</v>
      </c>
      <c r="R303" s="12">
        <v>120.56</v>
      </c>
      <c r="S303" s="12">
        <f>VLOOKUP(O303,'Product-cost'!A:B,2,)</f>
        <v>50</v>
      </c>
      <c r="T303" s="9" t="s">
        <v>34</v>
      </c>
      <c r="U303" s="9" t="s">
        <v>68</v>
      </c>
      <c r="V303" s="9" t="s">
        <v>882</v>
      </c>
      <c r="W303" s="9" t="s">
        <v>895</v>
      </c>
      <c r="X303" s="12">
        <f t="shared" si="50"/>
        <v>361.68</v>
      </c>
      <c r="Y303" s="12">
        <f t="shared" si="51"/>
        <v>150</v>
      </c>
      <c r="Z303" s="16">
        <f>VLOOKUP(T303,Taxrate!A:B,2,FALSE)</f>
        <v>0.15</v>
      </c>
      <c r="AA303" s="12">
        <f t="shared" si="52"/>
        <v>54.252000000000002</v>
      </c>
      <c r="AB303" s="16">
        <f>VLOOKUP('Sales Dataset'!O303,'Discount Rate'!A:B,2,)</f>
        <v>0.03</v>
      </c>
      <c r="AC303" s="12">
        <f t="shared" si="53"/>
        <v>4.5</v>
      </c>
      <c r="AD303" s="18">
        <f t="shared" si="54"/>
        <v>149.82</v>
      </c>
    </row>
    <row r="304" spans="1:30" ht="51" customHeight="1" x14ac:dyDescent="0.35">
      <c r="A304" s="9" t="s">
        <v>640</v>
      </c>
      <c r="B304" s="9" t="s">
        <v>641</v>
      </c>
      <c r="C304" s="9" t="s">
        <v>150</v>
      </c>
      <c r="D304" s="20" t="s">
        <v>33</v>
      </c>
      <c r="E304" s="9" t="s">
        <v>905</v>
      </c>
      <c r="F304" s="9" t="s">
        <v>906</v>
      </c>
      <c r="G304" s="8">
        <v>46370</v>
      </c>
      <c r="H304" s="7">
        <f t="shared" si="44"/>
        <v>2026</v>
      </c>
      <c r="I304" s="7" t="str">
        <f t="shared" si="45"/>
        <v>December</v>
      </c>
      <c r="J304" s="8" t="str">
        <f t="shared" si="46"/>
        <v>Monday</v>
      </c>
      <c r="K304" s="11">
        <v>0.40104166666666669</v>
      </c>
      <c r="L304" s="14">
        <f t="shared" si="47"/>
        <v>9</v>
      </c>
      <c r="M304" s="7">
        <f t="shared" si="48"/>
        <v>37</v>
      </c>
      <c r="N304" s="7">
        <f t="shared" si="49"/>
        <v>30</v>
      </c>
      <c r="O304" s="9" t="s">
        <v>13</v>
      </c>
      <c r="P304" s="9" t="s">
        <v>14</v>
      </c>
      <c r="Q304" s="9">
        <v>12</v>
      </c>
      <c r="R304" s="12">
        <v>1229.68</v>
      </c>
      <c r="S304" s="12">
        <f>VLOOKUP(O304,'Product-cost'!A:B,2,)</f>
        <v>600</v>
      </c>
      <c r="T304" s="9" t="s">
        <v>22</v>
      </c>
      <c r="U304" s="9" t="s">
        <v>35</v>
      </c>
      <c r="V304" s="9" t="s">
        <v>883</v>
      </c>
      <c r="W304" s="9" t="s">
        <v>894</v>
      </c>
      <c r="X304" s="12">
        <f t="shared" si="50"/>
        <v>14756.16</v>
      </c>
      <c r="Y304" s="12">
        <f t="shared" si="51"/>
        <v>7200</v>
      </c>
      <c r="Z304" s="16">
        <f>VLOOKUP(T304,Taxrate!A:B,2,FALSE)</f>
        <v>0.1</v>
      </c>
      <c r="AA304" s="12">
        <f t="shared" si="52"/>
        <v>1475.616</v>
      </c>
      <c r="AB304" s="16">
        <f>VLOOKUP('Sales Dataset'!O304,'Discount Rate'!A:B,2,)</f>
        <v>0.05</v>
      </c>
      <c r="AC304" s="12">
        <f t="shared" si="53"/>
        <v>360</v>
      </c>
      <c r="AD304" s="18">
        <f t="shared" si="54"/>
        <v>7199.8499999999995</v>
      </c>
    </row>
    <row r="305" spans="1:30" ht="51" customHeight="1" x14ac:dyDescent="0.35">
      <c r="A305" s="9" t="s">
        <v>642</v>
      </c>
      <c r="B305" s="9" t="s">
        <v>412</v>
      </c>
      <c r="C305" s="9" t="s">
        <v>60</v>
      </c>
      <c r="D305" s="20" t="s">
        <v>61</v>
      </c>
      <c r="E305" s="9" t="s">
        <v>911</v>
      </c>
      <c r="F305" s="9" t="s">
        <v>912</v>
      </c>
      <c r="G305" s="8">
        <v>46271</v>
      </c>
      <c r="H305" s="7">
        <f t="shared" si="44"/>
        <v>2026</v>
      </c>
      <c r="I305" s="7" t="str">
        <f t="shared" si="45"/>
        <v>September</v>
      </c>
      <c r="J305" s="8" t="str">
        <f t="shared" si="46"/>
        <v>Sunday</v>
      </c>
      <c r="K305" s="11">
        <v>0.56584490740740745</v>
      </c>
      <c r="L305" s="14">
        <f t="shared" si="47"/>
        <v>13</v>
      </c>
      <c r="M305" s="7">
        <f t="shared" si="48"/>
        <v>34</v>
      </c>
      <c r="N305" s="7">
        <f t="shared" si="49"/>
        <v>49</v>
      </c>
      <c r="O305" s="9" t="s">
        <v>13</v>
      </c>
      <c r="P305" s="9" t="s">
        <v>14</v>
      </c>
      <c r="Q305" s="9">
        <v>9</v>
      </c>
      <c r="R305" s="12">
        <v>1086.98</v>
      </c>
      <c r="S305" s="12">
        <f>VLOOKUP(O305,'Product-cost'!A:B,2,)</f>
        <v>600</v>
      </c>
      <c r="T305" s="9" t="s">
        <v>22</v>
      </c>
      <c r="U305" s="9" t="s">
        <v>62</v>
      </c>
      <c r="V305" s="9" t="s">
        <v>872</v>
      </c>
      <c r="W305" s="9" t="s">
        <v>896</v>
      </c>
      <c r="X305" s="12">
        <f t="shared" si="50"/>
        <v>9782.82</v>
      </c>
      <c r="Y305" s="12">
        <f t="shared" si="51"/>
        <v>5400</v>
      </c>
      <c r="Z305" s="16">
        <f>VLOOKUP(T305,Taxrate!A:B,2,FALSE)</f>
        <v>0.1</v>
      </c>
      <c r="AA305" s="12">
        <f t="shared" si="52"/>
        <v>978.28200000000004</v>
      </c>
      <c r="AB305" s="16">
        <f>VLOOKUP('Sales Dataset'!O305,'Discount Rate'!A:B,2,)</f>
        <v>0.05</v>
      </c>
      <c r="AC305" s="12">
        <f t="shared" si="53"/>
        <v>270</v>
      </c>
      <c r="AD305" s="18">
        <f t="shared" si="54"/>
        <v>5399.8499999999995</v>
      </c>
    </row>
    <row r="306" spans="1:30" ht="51" customHeight="1" x14ac:dyDescent="0.35">
      <c r="A306" s="9" t="s">
        <v>643</v>
      </c>
      <c r="B306" s="9" t="s">
        <v>644</v>
      </c>
      <c r="C306" s="9" t="s">
        <v>150</v>
      </c>
      <c r="D306" s="20" t="s">
        <v>33</v>
      </c>
      <c r="E306" s="9" t="s">
        <v>905</v>
      </c>
      <c r="F306" s="9" t="s">
        <v>906</v>
      </c>
      <c r="G306" s="8">
        <v>45082</v>
      </c>
      <c r="H306" s="7">
        <f t="shared" si="44"/>
        <v>2023</v>
      </c>
      <c r="I306" s="7" t="str">
        <f t="shared" si="45"/>
        <v>June</v>
      </c>
      <c r="J306" s="8" t="str">
        <f t="shared" si="46"/>
        <v>Monday</v>
      </c>
      <c r="K306" s="11">
        <v>0.71569444444444441</v>
      </c>
      <c r="L306" s="14">
        <f t="shared" si="47"/>
        <v>17</v>
      </c>
      <c r="M306" s="7">
        <f t="shared" si="48"/>
        <v>10</v>
      </c>
      <c r="N306" s="7">
        <f t="shared" si="49"/>
        <v>36</v>
      </c>
      <c r="O306" s="9" t="s">
        <v>13</v>
      </c>
      <c r="P306" s="9" t="s">
        <v>14</v>
      </c>
      <c r="Q306" s="9">
        <v>5</v>
      </c>
      <c r="R306" s="12">
        <v>1112.1600000000001</v>
      </c>
      <c r="S306" s="12">
        <f>VLOOKUP(O306,'Product-cost'!A:B,2,)</f>
        <v>600</v>
      </c>
      <c r="T306" s="9" t="s">
        <v>22</v>
      </c>
      <c r="U306" s="9" t="s">
        <v>35</v>
      </c>
      <c r="V306" s="9" t="s">
        <v>872</v>
      </c>
      <c r="W306" s="9" t="s">
        <v>896</v>
      </c>
      <c r="X306" s="12">
        <f t="shared" si="50"/>
        <v>5560.8</v>
      </c>
      <c r="Y306" s="12">
        <f t="shared" si="51"/>
        <v>3000</v>
      </c>
      <c r="Z306" s="16">
        <f>VLOOKUP(T306,Taxrate!A:B,2,FALSE)</f>
        <v>0.1</v>
      </c>
      <c r="AA306" s="12">
        <f t="shared" si="52"/>
        <v>556.08000000000004</v>
      </c>
      <c r="AB306" s="16">
        <f>VLOOKUP('Sales Dataset'!O306,'Discount Rate'!A:B,2,)</f>
        <v>0.05</v>
      </c>
      <c r="AC306" s="12">
        <f t="shared" si="53"/>
        <v>150</v>
      </c>
      <c r="AD306" s="18">
        <f t="shared" si="54"/>
        <v>2999.85</v>
      </c>
    </row>
    <row r="307" spans="1:30" ht="51" customHeight="1" x14ac:dyDescent="0.35">
      <c r="A307" s="9" t="s">
        <v>645</v>
      </c>
      <c r="B307" s="9" t="s">
        <v>646</v>
      </c>
      <c r="C307" s="9" t="s">
        <v>369</v>
      </c>
      <c r="D307" s="20" t="s">
        <v>39</v>
      </c>
      <c r="E307" s="9" t="s">
        <v>907</v>
      </c>
      <c r="F307" s="9" t="s">
        <v>908</v>
      </c>
      <c r="G307" s="8">
        <v>45155</v>
      </c>
      <c r="H307" s="7">
        <f t="shared" si="44"/>
        <v>2023</v>
      </c>
      <c r="I307" s="7" t="str">
        <f t="shared" si="45"/>
        <v>August</v>
      </c>
      <c r="J307" s="8" t="str">
        <f t="shared" si="46"/>
        <v>Thursday</v>
      </c>
      <c r="K307" s="11">
        <v>0.74107638888888894</v>
      </c>
      <c r="L307" s="14">
        <f t="shared" si="47"/>
        <v>17</v>
      </c>
      <c r="M307" s="7">
        <f t="shared" si="48"/>
        <v>47</v>
      </c>
      <c r="N307" s="7">
        <f t="shared" si="49"/>
        <v>9</v>
      </c>
      <c r="O307" s="9" t="s">
        <v>66</v>
      </c>
      <c r="P307" s="9" t="s">
        <v>67</v>
      </c>
      <c r="Q307" s="9">
        <v>3</v>
      </c>
      <c r="R307" s="12">
        <v>172.56</v>
      </c>
      <c r="S307" s="12">
        <f>VLOOKUP(O307,'Product-cost'!A:B,2,)</f>
        <v>50</v>
      </c>
      <c r="T307" s="9" t="s">
        <v>34</v>
      </c>
      <c r="U307" s="9" t="s">
        <v>80</v>
      </c>
      <c r="V307" s="9" t="s">
        <v>883</v>
      </c>
      <c r="W307" s="9" t="s">
        <v>894</v>
      </c>
      <c r="X307" s="12">
        <f t="shared" si="50"/>
        <v>517.68000000000006</v>
      </c>
      <c r="Y307" s="12">
        <f t="shared" si="51"/>
        <v>150</v>
      </c>
      <c r="Z307" s="16">
        <f>VLOOKUP(T307,Taxrate!A:B,2,FALSE)</f>
        <v>0.15</v>
      </c>
      <c r="AA307" s="12">
        <f t="shared" si="52"/>
        <v>77.652000000000001</v>
      </c>
      <c r="AB307" s="16">
        <f>VLOOKUP('Sales Dataset'!O307,'Discount Rate'!A:B,2,)</f>
        <v>0.03</v>
      </c>
      <c r="AC307" s="12">
        <f t="shared" si="53"/>
        <v>4.5</v>
      </c>
      <c r="AD307" s="18">
        <f t="shared" si="54"/>
        <v>149.82</v>
      </c>
    </row>
    <row r="308" spans="1:30" ht="51" customHeight="1" x14ac:dyDescent="0.35">
      <c r="A308" s="9" t="s">
        <v>647</v>
      </c>
      <c r="B308" s="9" t="s">
        <v>648</v>
      </c>
      <c r="C308" s="9" t="s">
        <v>65</v>
      </c>
      <c r="D308" s="20" t="s">
        <v>53</v>
      </c>
      <c r="E308" s="9" t="s">
        <v>909</v>
      </c>
      <c r="F308" s="9" t="s">
        <v>910</v>
      </c>
      <c r="G308" s="8">
        <v>45711</v>
      </c>
      <c r="H308" s="7">
        <f t="shared" si="44"/>
        <v>2025</v>
      </c>
      <c r="I308" s="7" t="str">
        <f t="shared" si="45"/>
        <v>February</v>
      </c>
      <c r="J308" s="8" t="str">
        <f t="shared" si="46"/>
        <v>Sunday</v>
      </c>
      <c r="K308" s="11">
        <v>0.76997685185185183</v>
      </c>
      <c r="L308" s="14">
        <f t="shared" si="47"/>
        <v>18</v>
      </c>
      <c r="M308" s="7">
        <f t="shared" si="48"/>
        <v>28</v>
      </c>
      <c r="N308" s="7">
        <f t="shared" si="49"/>
        <v>46</v>
      </c>
      <c r="O308" s="9" t="s">
        <v>20</v>
      </c>
      <c r="P308" s="9" t="s">
        <v>21</v>
      </c>
      <c r="Q308" s="9">
        <v>12</v>
      </c>
      <c r="R308" s="12">
        <v>496.3</v>
      </c>
      <c r="S308" s="12">
        <f>VLOOKUP(O308,'Product-cost'!A:B,2,)</f>
        <v>300</v>
      </c>
      <c r="T308" s="9" t="s">
        <v>22</v>
      </c>
      <c r="U308" s="9" t="s">
        <v>206</v>
      </c>
      <c r="V308" s="9" t="s">
        <v>879</v>
      </c>
      <c r="W308" s="9" t="s">
        <v>894</v>
      </c>
      <c r="X308" s="12">
        <f t="shared" si="50"/>
        <v>5955.6</v>
      </c>
      <c r="Y308" s="12">
        <f t="shared" si="51"/>
        <v>3600</v>
      </c>
      <c r="Z308" s="16">
        <f>VLOOKUP(T308,Taxrate!A:B,2,FALSE)</f>
        <v>0.1</v>
      </c>
      <c r="AA308" s="12">
        <f t="shared" si="52"/>
        <v>595.56000000000006</v>
      </c>
      <c r="AB308" s="16">
        <f>VLOOKUP('Sales Dataset'!O308,'Discount Rate'!A:B,2,)</f>
        <v>0.1</v>
      </c>
      <c r="AC308" s="12">
        <f t="shared" si="53"/>
        <v>360</v>
      </c>
      <c r="AD308" s="18">
        <f t="shared" si="54"/>
        <v>3599.8</v>
      </c>
    </row>
    <row r="309" spans="1:30" ht="51" customHeight="1" x14ac:dyDescent="0.35">
      <c r="A309" s="9" t="s">
        <v>649</v>
      </c>
      <c r="B309" s="9" t="s">
        <v>650</v>
      </c>
      <c r="C309" s="9" t="s">
        <v>18</v>
      </c>
      <c r="D309" s="20" t="s">
        <v>19</v>
      </c>
      <c r="E309" s="9" t="s">
        <v>903</v>
      </c>
      <c r="F309" s="9" t="s">
        <v>904</v>
      </c>
      <c r="G309" s="8">
        <v>46326</v>
      </c>
      <c r="H309" s="7">
        <f t="shared" si="44"/>
        <v>2026</v>
      </c>
      <c r="I309" s="7" t="str">
        <f t="shared" si="45"/>
        <v>October</v>
      </c>
      <c r="J309" s="8" t="str">
        <f t="shared" si="46"/>
        <v>Saturday</v>
      </c>
      <c r="K309" s="11">
        <v>0.63621527777777775</v>
      </c>
      <c r="L309" s="14">
        <f t="shared" si="47"/>
        <v>15</v>
      </c>
      <c r="M309" s="7">
        <f t="shared" si="48"/>
        <v>16</v>
      </c>
      <c r="N309" s="7">
        <f t="shared" si="49"/>
        <v>9</v>
      </c>
      <c r="O309" s="9" t="s">
        <v>40</v>
      </c>
      <c r="P309" s="9" t="s">
        <v>41</v>
      </c>
      <c r="Q309" s="9">
        <v>1</v>
      </c>
      <c r="R309" s="12">
        <v>263.7</v>
      </c>
      <c r="S309" s="12">
        <f>VLOOKUP(O309,'Product-cost'!A:B,2,)</f>
        <v>150</v>
      </c>
      <c r="T309" s="9" t="s">
        <v>34</v>
      </c>
      <c r="U309" s="9" t="s">
        <v>23</v>
      </c>
      <c r="V309" s="9" t="s">
        <v>872</v>
      </c>
      <c r="W309" s="9" t="s">
        <v>896</v>
      </c>
      <c r="X309" s="12">
        <f t="shared" si="50"/>
        <v>263.7</v>
      </c>
      <c r="Y309" s="12">
        <f t="shared" si="51"/>
        <v>150</v>
      </c>
      <c r="Z309" s="16">
        <f>VLOOKUP(T309,Taxrate!A:B,2,FALSE)</f>
        <v>0.15</v>
      </c>
      <c r="AA309" s="12">
        <f t="shared" si="52"/>
        <v>39.555</v>
      </c>
      <c r="AB309" s="16">
        <f>VLOOKUP('Sales Dataset'!O309,'Discount Rate'!A:B,2,)</f>
        <v>7.0000000000000007E-2</v>
      </c>
      <c r="AC309" s="12">
        <f t="shared" si="53"/>
        <v>10.500000000000002</v>
      </c>
      <c r="AD309" s="18">
        <f t="shared" si="54"/>
        <v>149.78</v>
      </c>
    </row>
    <row r="310" spans="1:30" ht="51" customHeight="1" x14ac:dyDescent="0.35">
      <c r="A310" s="9" t="s">
        <v>651</v>
      </c>
      <c r="B310" s="9" t="s">
        <v>652</v>
      </c>
      <c r="C310" s="9" t="s">
        <v>90</v>
      </c>
      <c r="D310" s="20" t="s">
        <v>91</v>
      </c>
      <c r="E310" s="9" t="s">
        <v>915</v>
      </c>
      <c r="F310" s="9" t="s">
        <v>916</v>
      </c>
      <c r="G310" s="8">
        <v>45613</v>
      </c>
      <c r="H310" s="7">
        <f t="shared" si="44"/>
        <v>2024</v>
      </c>
      <c r="I310" s="7" t="str">
        <f t="shared" si="45"/>
        <v>November</v>
      </c>
      <c r="J310" s="8" t="str">
        <f t="shared" si="46"/>
        <v>Sunday</v>
      </c>
      <c r="K310" s="11">
        <v>0.53548611111111111</v>
      </c>
      <c r="L310" s="14">
        <f t="shared" si="47"/>
        <v>12</v>
      </c>
      <c r="M310" s="7">
        <f t="shared" si="48"/>
        <v>51</v>
      </c>
      <c r="N310" s="7">
        <f t="shared" si="49"/>
        <v>6</v>
      </c>
      <c r="O310" s="9" t="s">
        <v>26</v>
      </c>
      <c r="P310" s="9" t="s">
        <v>27</v>
      </c>
      <c r="Q310" s="9">
        <v>7</v>
      </c>
      <c r="R310" s="12">
        <v>455.06</v>
      </c>
      <c r="S310" s="12">
        <f>VLOOKUP(O310,'Product-cost'!A:B,2,)</f>
        <v>200</v>
      </c>
      <c r="T310" s="9" t="s">
        <v>28</v>
      </c>
      <c r="U310" s="9" t="s">
        <v>92</v>
      </c>
      <c r="V310" s="9" t="s">
        <v>878</v>
      </c>
      <c r="W310" s="9" t="s">
        <v>894</v>
      </c>
      <c r="X310" s="12">
        <f t="shared" si="50"/>
        <v>3185.42</v>
      </c>
      <c r="Y310" s="12">
        <f t="shared" si="51"/>
        <v>1400</v>
      </c>
      <c r="Z310" s="16">
        <f>VLOOKUP(T310,Taxrate!A:B,2,FALSE)</f>
        <v>0.2</v>
      </c>
      <c r="AA310" s="12">
        <f t="shared" si="52"/>
        <v>637.08400000000006</v>
      </c>
      <c r="AB310" s="16">
        <f>VLOOKUP('Sales Dataset'!O310,'Discount Rate'!A:B,2,)</f>
        <v>0.08</v>
      </c>
      <c r="AC310" s="12">
        <f t="shared" si="53"/>
        <v>112</v>
      </c>
      <c r="AD310" s="18">
        <f t="shared" si="54"/>
        <v>1399.72</v>
      </c>
    </row>
    <row r="311" spans="1:30" ht="51" customHeight="1" x14ac:dyDescent="0.35">
      <c r="A311" s="9" t="s">
        <v>653</v>
      </c>
      <c r="B311" s="9" t="s">
        <v>654</v>
      </c>
      <c r="C311" s="9" t="s">
        <v>369</v>
      </c>
      <c r="D311" s="20" t="s">
        <v>39</v>
      </c>
      <c r="E311" s="9" t="s">
        <v>907</v>
      </c>
      <c r="F311" s="9" t="s">
        <v>908</v>
      </c>
      <c r="G311" s="8">
        <v>44951</v>
      </c>
      <c r="H311" s="7">
        <f t="shared" si="44"/>
        <v>2023</v>
      </c>
      <c r="I311" s="7" t="str">
        <f t="shared" si="45"/>
        <v>January</v>
      </c>
      <c r="J311" s="8" t="str">
        <f t="shared" si="46"/>
        <v>Wednesday</v>
      </c>
      <c r="K311" s="11">
        <v>0.3979861111111111</v>
      </c>
      <c r="L311" s="14">
        <f t="shared" si="47"/>
        <v>9</v>
      </c>
      <c r="M311" s="7">
        <f t="shared" si="48"/>
        <v>33</v>
      </c>
      <c r="N311" s="7">
        <f t="shared" si="49"/>
        <v>6</v>
      </c>
      <c r="O311" s="9" t="s">
        <v>66</v>
      </c>
      <c r="P311" s="9" t="s">
        <v>67</v>
      </c>
      <c r="Q311" s="9">
        <v>12</v>
      </c>
      <c r="R311" s="12">
        <v>134.47999999999999</v>
      </c>
      <c r="S311" s="12">
        <f>VLOOKUP(O311,'Product-cost'!A:B,2,)</f>
        <v>50</v>
      </c>
      <c r="T311" s="9" t="s">
        <v>45</v>
      </c>
      <c r="U311" s="9" t="s">
        <v>73</v>
      </c>
      <c r="V311" s="9" t="s">
        <v>873</v>
      </c>
      <c r="W311" s="9" t="s">
        <v>895</v>
      </c>
      <c r="X311" s="12">
        <f t="shared" si="50"/>
        <v>1613.7599999999998</v>
      </c>
      <c r="Y311" s="12">
        <f t="shared" si="51"/>
        <v>600</v>
      </c>
      <c r="Z311" s="16">
        <f>VLOOKUP(T311,Taxrate!A:B,2,FALSE)</f>
        <v>7.0000000000000007E-2</v>
      </c>
      <c r="AA311" s="12">
        <f t="shared" si="52"/>
        <v>112.9632</v>
      </c>
      <c r="AB311" s="16">
        <f>VLOOKUP('Sales Dataset'!O311,'Discount Rate'!A:B,2,)</f>
        <v>0.03</v>
      </c>
      <c r="AC311" s="12">
        <f t="shared" si="53"/>
        <v>18</v>
      </c>
      <c r="AD311" s="18">
        <f t="shared" si="54"/>
        <v>599.9</v>
      </c>
    </row>
    <row r="312" spans="1:30" ht="51" customHeight="1" x14ac:dyDescent="0.35">
      <c r="A312" s="9" t="s">
        <v>655</v>
      </c>
      <c r="B312" s="9" t="s">
        <v>368</v>
      </c>
      <c r="C312" s="9" t="s">
        <v>60</v>
      </c>
      <c r="D312" s="20" t="s">
        <v>61</v>
      </c>
      <c r="E312" s="9" t="s">
        <v>911</v>
      </c>
      <c r="F312" s="9" t="s">
        <v>912</v>
      </c>
      <c r="G312" s="8">
        <v>45871</v>
      </c>
      <c r="H312" s="7">
        <f t="shared" si="44"/>
        <v>2025</v>
      </c>
      <c r="I312" s="7" t="str">
        <f t="shared" si="45"/>
        <v>August</v>
      </c>
      <c r="J312" s="8" t="str">
        <f t="shared" si="46"/>
        <v>Saturday</v>
      </c>
      <c r="K312" s="11">
        <v>0.40568287037037037</v>
      </c>
      <c r="L312" s="14">
        <f t="shared" si="47"/>
        <v>9</v>
      </c>
      <c r="M312" s="7">
        <f t="shared" si="48"/>
        <v>44</v>
      </c>
      <c r="N312" s="7">
        <f t="shared" si="49"/>
        <v>11</v>
      </c>
      <c r="O312" s="9" t="s">
        <v>26</v>
      </c>
      <c r="P312" s="9" t="s">
        <v>27</v>
      </c>
      <c r="Q312" s="9">
        <v>11</v>
      </c>
      <c r="R312" s="12">
        <v>447.76</v>
      </c>
      <c r="S312" s="12">
        <f>VLOOKUP(O312,'Product-cost'!A:B,2,)</f>
        <v>200</v>
      </c>
      <c r="T312" s="9" t="s">
        <v>22</v>
      </c>
      <c r="U312" s="9" t="s">
        <v>158</v>
      </c>
      <c r="V312" s="9" t="s">
        <v>878</v>
      </c>
      <c r="W312" s="9" t="s">
        <v>894</v>
      </c>
      <c r="X312" s="12">
        <f t="shared" si="50"/>
        <v>4925.3599999999997</v>
      </c>
      <c r="Y312" s="12">
        <f t="shared" si="51"/>
        <v>2200</v>
      </c>
      <c r="Z312" s="16">
        <f>VLOOKUP(T312,Taxrate!A:B,2,FALSE)</f>
        <v>0.1</v>
      </c>
      <c r="AA312" s="12">
        <f t="shared" si="52"/>
        <v>492.536</v>
      </c>
      <c r="AB312" s="16">
        <f>VLOOKUP('Sales Dataset'!O312,'Discount Rate'!A:B,2,)</f>
        <v>0.08</v>
      </c>
      <c r="AC312" s="12">
        <f t="shared" si="53"/>
        <v>176</v>
      </c>
      <c r="AD312" s="18">
        <f t="shared" si="54"/>
        <v>2199.8200000000002</v>
      </c>
    </row>
    <row r="313" spans="1:30" ht="51" customHeight="1" x14ac:dyDescent="0.35">
      <c r="A313" s="9" t="s">
        <v>656</v>
      </c>
      <c r="B313" s="9" t="s">
        <v>380</v>
      </c>
      <c r="C313" s="9" t="s">
        <v>141</v>
      </c>
      <c r="D313" s="20" t="s">
        <v>142</v>
      </c>
      <c r="E313" s="9" t="s">
        <v>917</v>
      </c>
      <c r="F313" s="9" t="s">
        <v>918</v>
      </c>
      <c r="G313" s="8">
        <v>45637</v>
      </c>
      <c r="H313" s="7">
        <f t="shared" si="44"/>
        <v>2024</v>
      </c>
      <c r="I313" s="7" t="str">
        <f t="shared" si="45"/>
        <v>December</v>
      </c>
      <c r="J313" s="8" t="str">
        <f t="shared" si="46"/>
        <v>Wednesday</v>
      </c>
      <c r="K313" s="11">
        <v>0.53629629629629627</v>
      </c>
      <c r="L313" s="14">
        <f t="shared" si="47"/>
        <v>12</v>
      </c>
      <c r="M313" s="7">
        <f t="shared" si="48"/>
        <v>52</v>
      </c>
      <c r="N313" s="7">
        <f t="shared" si="49"/>
        <v>16</v>
      </c>
      <c r="O313" s="9" t="s">
        <v>20</v>
      </c>
      <c r="P313" s="9" t="s">
        <v>21</v>
      </c>
      <c r="Q313" s="9">
        <v>8</v>
      </c>
      <c r="R313" s="12">
        <v>540.20000000000005</v>
      </c>
      <c r="S313" s="12">
        <f>VLOOKUP(O313,'Product-cost'!A:B,2,)</f>
        <v>300</v>
      </c>
      <c r="T313" s="9" t="s">
        <v>34</v>
      </c>
      <c r="U313" s="9" t="s">
        <v>143</v>
      </c>
      <c r="V313" s="9" t="s">
        <v>882</v>
      </c>
      <c r="W313" s="9" t="s">
        <v>895</v>
      </c>
      <c r="X313" s="12">
        <f t="shared" si="50"/>
        <v>4321.6000000000004</v>
      </c>
      <c r="Y313" s="12">
        <f t="shared" si="51"/>
        <v>2400</v>
      </c>
      <c r="Z313" s="16">
        <f>VLOOKUP(T313,Taxrate!A:B,2,FALSE)</f>
        <v>0.15</v>
      </c>
      <c r="AA313" s="12">
        <f t="shared" si="52"/>
        <v>648.24</v>
      </c>
      <c r="AB313" s="16">
        <f>VLOOKUP('Sales Dataset'!O313,'Discount Rate'!A:B,2,)</f>
        <v>0.1</v>
      </c>
      <c r="AC313" s="12">
        <f t="shared" si="53"/>
        <v>240</v>
      </c>
      <c r="AD313" s="18">
        <f t="shared" si="54"/>
        <v>2399.75</v>
      </c>
    </row>
    <row r="314" spans="1:30" ht="51" customHeight="1" x14ac:dyDescent="0.35">
      <c r="A314" s="9" t="s">
        <v>657</v>
      </c>
      <c r="B314" s="9" t="s">
        <v>658</v>
      </c>
      <c r="C314" s="9" t="s">
        <v>172</v>
      </c>
      <c r="D314" s="20" t="s">
        <v>142</v>
      </c>
      <c r="E314" s="9" t="s">
        <v>917</v>
      </c>
      <c r="F314" s="9" t="s">
        <v>918</v>
      </c>
      <c r="G314" s="8">
        <v>44998</v>
      </c>
      <c r="H314" s="7">
        <f t="shared" si="44"/>
        <v>2023</v>
      </c>
      <c r="I314" s="7" t="str">
        <f t="shared" si="45"/>
        <v>March</v>
      </c>
      <c r="J314" s="8" t="str">
        <f t="shared" si="46"/>
        <v>Monday</v>
      </c>
      <c r="K314" s="11">
        <v>0.40053240740740742</v>
      </c>
      <c r="L314" s="14">
        <f t="shared" si="47"/>
        <v>9</v>
      </c>
      <c r="M314" s="7">
        <f t="shared" si="48"/>
        <v>36</v>
      </c>
      <c r="N314" s="7">
        <f t="shared" si="49"/>
        <v>46</v>
      </c>
      <c r="O314" s="9" t="s">
        <v>26</v>
      </c>
      <c r="P314" s="9" t="s">
        <v>27</v>
      </c>
      <c r="Q314" s="9">
        <v>1</v>
      </c>
      <c r="R314" s="12">
        <v>349.77</v>
      </c>
      <c r="S314" s="12">
        <f>VLOOKUP(O314,'Product-cost'!A:B,2,)</f>
        <v>200</v>
      </c>
      <c r="T314" s="9" t="s">
        <v>45</v>
      </c>
      <c r="U314" s="9" t="s">
        <v>235</v>
      </c>
      <c r="V314" s="9" t="s">
        <v>878</v>
      </c>
      <c r="W314" s="9" t="s">
        <v>894</v>
      </c>
      <c r="X314" s="12">
        <f t="shared" si="50"/>
        <v>349.77</v>
      </c>
      <c r="Y314" s="12">
        <f t="shared" si="51"/>
        <v>200</v>
      </c>
      <c r="Z314" s="16">
        <f>VLOOKUP(T314,Taxrate!A:B,2,FALSE)</f>
        <v>7.0000000000000007E-2</v>
      </c>
      <c r="AA314" s="12">
        <f t="shared" si="52"/>
        <v>24.483900000000002</v>
      </c>
      <c r="AB314" s="16">
        <f>VLOOKUP('Sales Dataset'!O314,'Discount Rate'!A:B,2,)</f>
        <v>0.08</v>
      </c>
      <c r="AC314" s="12">
        <f t="shared" si="53"/>
        <v>16</v>
      </c>
      <c r="AD314" s="18">
        <f t="shared" si="54"/>
        <v>199.85</v>
      </c>
    </row>
    <row r="315" spans="1:30" ht="51" customHeight="1" x14ac:dyDescent="0.35">
      <c r="A315" s="9" t="s">
        <v>659</v>
      </c>
      <c r="B315" s="9" t="s">
        <v>660</v>
      </c>
      <c r="C315" s="9" t="s">
        <v>65</v>
      </c>
      <c r="D315" s="20" t="s">
        <v>53</v>
      </c>
      <c r="E315" s="9" t="s">
        <v>909</v>
      </c>
      <c r="F315" s="9" t="s">
        <v>910</v>
      </c>
      <c r="G315" s="8">
        <v>45997</v>
      </c>
      <c r="H315" s="7">
        <f t="shared" si="44"/>
        <v>2025</v>
      </c>
      <c r="I315" s="7" t="str">
        <f t="shared" si="45"/>
        <v>December</v>
      </c>
      <c r="J315" s="8" t="str">
        <f t="shared" si="46"/>
        <v>Saturday</v>
      </c>
      <c r="K315" s="11">
        <v>0.90751157407407412</v>
      </c>
      <c r="L315" s="14">
        <f t="shared" si="47"/>
        <v>21</v>
      </c>
      <c r="M315" s="7">
        <f t="shared" si="48"/>
        <v>46</v>
      </c>
      <c r="N315" s="7">
        <f t="shared" si="49"/>
        <v>49</v>
      </c>
      <c r="O315" s="9" t="s">
        <v>13</v>
      </c>
      <c r="P315" s="9" t="s">
        <v>14</v>
      </c>
      <c r="Q315" s="9">
        <v>1</v>
      </c>
      <c r="R315" s="12">
        <v>1144.6300000000001</v>
      </c>
      <c r="S315" s="12">
        <f>VLOOKUP(O315,'Product-cost'!A:B,2,)</f>
        <v>600</v>
      </c>
      <c r="T315" s="9" t="s">
        <v>34</v>
      </c>
      <c r="U315" s="9" t="s">
        <v>206</v>
      </c>
      <c r="V315" s="9" t="s">
        <v>878</v>
      </c>
      <c r="W315" s="9" t="s">
        <v>894</v>
      </c>
      <c r="X315" s="12">
        <f t="shared" si="50"/>
        <v>1144.6300000000001</v>
      </c>
      <c r="Y315" s="12">
        <f t="shared" si="51"/>
        <v>600</v>
      </c>
      <c r="Z315" s="16">
        <f>VLOOKUP(T315,Taxrate!A:B,2,FALSE)</f>
        <v>0.15</v>
      </c>
      <c r="AA315" s="12">
        <f t="shared" si="52"/>
        <v>171.69450000000001</v>
      </c>
      <c r="AB315" s="16">
        <f>VLOOKUP('Sales Dataset'!O315,'Discount Rate'!A:B,2,)</f>
        <v>0.05</v>
      </c>
      <c r="AC315" s="12">
        <f t="shared" si="53"/>
        <v>30</v>
      </c>
      <c r="AD315" s="18">
        <f t="shared" si="54"/>
        <v>599.80000000000007</v>
      </c>
    </row>
    <row r="316" spans="1:30" ht="51" customHeight="1" x14ac:dyDescent="0.35">
      <c r="A316" s="9" t="s">
        <v>661</v>
      </c>
      <c r="B316" s="9" t="s">
        <v>662</v>
      </c>
      <c r="C316" s="9" t="s">
        <v>60</v>
      </c>
      <c r="D316" s="20" t="s">
        <v>61</v>
      </c>
      <c r="E316" s="9" t="s">
        <v>911</v>
      </c>
      <c r="F316" s="9" t="s">
        <v>912</v>
      </c>
      <c r="G316" s="8">
        <v>46021</v>
      </c>
      <c r="H316" s="7">
        <f t="shared" si="44"/>
        <v>2025</v>
      </c>
      <c r="I316" s="7" t="str">
        <f t="shared" si="45"/>
        <v>December</v>
      </c>
      <c r="J316" s="8" t="str">
        <f t="shared" si="46"/>
        <v>Tuesday</v>
      </c>
      <c r="K316" s="11">
        <v>0.41214120370370372</v>
      </c>
      <c r="L316" s="14">
        <f t="shared" si="47"/>
        <v>9</v>
      </c>
      <c r="M316" s="7">
        <f t="shared" si="48"/>
        <v>53</v>
      </c>
      <c r="N316" s="7">
        <f t="shared" si="49"/>
        <v>29</v>
      </c>
      <c r="O316" s="9" t="s">
        <v>26</v>
      </c>
      <c r="P316" s="9" t="s">
        <v>27</v>
      </c>
      <c r="Q316" s="9">
        <v>3</v>
      </c>
      <c r="R316" s="12">
        <v>513.5</v>
      </c>
      <c r="S316" s="12">
        <f>VLOOKUP(O316,'Product-cost'!A:B,2,)</f>
        <v>200</v>
      </c>
      <c r="T316" s="9" t="s">
        <v>28</v>
      </c>
      <c r="U316" s="9" t="s">
        <v>62</v>
      </c>
      <c r="V316" s="9" t="s">
        <v>869</v>
      </c>
      <c r="W316" s="9" t="s">
        <v>894</v>
      </c>
      <c r="X316" s="12">
        <f t="shared" si="50"/>
        <v>1540.5</v>
      </c>
      <c r="Y316" s="12">
        <f t="shared" si="51"/>
        <v>600</v>
      </c>
      <c r="Z316" s="16">
        <f>VLOOKUP(T316,Taxrate!A:B,2,FALSE)</f>
        <v>0.2</v>
      </c>
      <c r="AA316" s="12">
        <f t="shared" si="52"/>
        <v>308.10000000000002</v>
      </c>
      <c r="AB316" s="16">
        <f>VLOOKUP('Sales Dataset'!O316,'Discount Rate'!A:B,2,)</f>
        <v>0.08</v>
      </c>
      <c r="AC316" s="12">
        <f t="shared" si="53"/>
        <v>48</v>
      </c>
      <c r="AD316" s="18">
        <f t="shared" si="54"/>
        <v>599.71999999999991</v>
      </c>
    </row>
    <row r="317" spans="1:30" ht="51" customHeight="1" x14ac:dyDescent="0.35">
      <c r="A317" s="9" t="s">
        <v>663</v>
      </c>
      <c r="B317" s="9" t="s">
        <v>664</v>
      </c>
      <c r="C317" s="9" t="s">
        <v>117</v>
      </c>
      <c r="D317" s="20" t="s">
        <v>19</v>
      </c>
      <c r="E317" s="9" t="s">
        <v>903</v>
      </c>
      <c r="F317" s="9" t="s">
        <v>904</v>
      </c>
      <c r="G317" s="8">
        <v>45322</v>
      </c>
      <c r="H317" s="7">
        <f t="shared" si="44"/>
        <v>2024</v>
      </c>
      <c r="I317" s="7" t="str">
        <f t="shared" si="45"/>
        <v>January</v>
      </c>
      <c r="J317" s="8" t="str">
        <f t="shared" si="46"/>
        <v>Wednesday</v>
      </c>
      <c r="K317" s="11">
        <v>0.81753472222222223</v>
      </c>
      <c r="L317" s="14">
        <f t="shared" si="47"/>
        <v>19</v>
      </c>
      <c r="M317" s="7">
        <f t="shared" si="48"/>
        <v>37</v>
      </c>
      <c r="N317" s="7">
        <f t="shared" si="49"/>
        <v>15</v>
      </c>
      <c r="O317" s="9" t="s">
        <v>66</v>
      </c>
      <c r="P317" s="9" t="s">
        <v>67</v>
      </c>
      <c r="Q317" s="9">
        <v>13</v>
      </c>
      <c r="R317" s="12">
        <v>143.08000000000001</v>
      </c>
      <c r="S317" s="12">
        <f>VLOOKUP(O317,'Product-cost'!A:B,2,)</f>
        <v>50</v>
      </c>
      <c r="T317" s="9" t="s">
        <v>49</v>
      </c>
      <c r="U317" s="9" t="s">
        <v>46</v>
      </c>
      <c r="V317" s="9" t="s">
        <v>872</v>
      </c>
      <c r="W317" s="9" t="s">
        <v>896</v>
      </c>
      <c r="X317" s="12">
        <f t="shared" si="50"/>
        <v>1860.0400000000002</v>
      </c>
      <c r="Y317" s="12">
        <f t="shared" si="51"/>
        <v>650</v>
      </c>
      <c r="Z317" s="16">
        <f>VLOOKUP(T317,Taxrate!A:B,2,FALSE)</f>
        <v>0.12</v>
      </c>
      <c r="AA317" s="12">
        <f t="shared" si="52"/>
        <v>223.20480000000001</v>
      </c>
      <c r="AB317" s="16">
        <f>VLOOKUP('Sales Dataset'!O317,'Discount Rate'!A:B,2,)</f>
        <v>0.03</v>
      </c>
      <c r="AC317" s="12">
        <f t="shared" si="53"/>
        <v>19.5</v>
      </c>
      <c r="AD317" s="18">
        <f t="shared" si="54"/>
        <v>649.85</v>
      </c>
    </row>
    <row r="318" spans="1:30" ht="51" customHeight="1" x14ac:dyDescent="0.35">
      <c r="A318" s="9" t="s">
        <v>665</v>
      </c>
      <c r="B318" s="9" t="s">
        <v>557</v>
      </c>
      <c r="C318" s="9" t="s">
        <v>141</v>
      </c>
      <c r="D318" s="20" t="s">
        <v>142</v>
      </c>
      <c r="E318" s="9" t="s">
        <v>917</v>
      </c>
      <c r="F318" s="9" t="s">
        <v>918</v>
      </c>
      <c r="G318" s="8">
        <v>45538</v>
      </c>
      <c r="H318" s="7">
        <f t="shared" si="44"/>
        <v>2024</v>
      </c>
      <c r="I318" s="7" t="str">
        <f t="shared" si="45"/>
        <v>September</v>
      </c>
      <c r="J318" s="8" t="str">
        <f t="shared" si="46"/>
        <v>Tuesday</v>
      </c>
      <c r="K318" s="11">
        <v>0.78883101851851856</v>
      </c>
      <c r="L318" s="14">
        <f t="shared" si="47"/>
        <v>18</v>
      </c>
      <c r="M318" s="7">
        <f t="shared" si="48"/>
        <v>55</v>
      </c>
      <c r="N318" s="7">
        <f t="shared" si="49"/>
        <v>55</v>
      </c>
      <c r="O318" s="9" t="s">
        <v>40</v>
      </c>
      <c r="P318" s="9" t="s">
        <v>41</v>
      </c>
      <c r="Q318" s="9">
        <v>10</v>
      </c>
      <c r="R318" s="12">
        <v>183.92</v>
      </c>
      <c r="S318" s="12">
        <f>VLOOKUP(O318,'Product-cost'!A:B,2,)</f>
        <v>150</v>
      </c>
      <c r="T318" s="9" t="s">
        <v>28</v>
      </c>
      <c r="U318" s="9" t="s">
        <v>235</v>
      </c>
      <c r="V318" s="9" t="s">
        <v>880</v>
      </c>
      <c r="W318" s="9" t="s">
        <v>894</v>
      </c>
      <c r="X318" s="12">
        <f t="shared" si="50"/>
        <v>1839.1999999999998</v>
      </c>
      <c r="Y318" s="12">
        <f t="shared" si="51"/>
        <v>1500</v>
      </c>
      <c r="Z318" s="16">
        <f>VLOOKUP(T318,Taxrate!A:B,2,FALSE)</f>
        <v>0.2</v>
      </c>
      <c r="AA318" s="12">
        <f t="shared" si="52"/>
        <v>367.84</v>
      </c>
      <c r="AB318" s="16">
        <f>VLOOKUP('Sales Dataset'!O318,'Discount Rate'!A:B,2,)</f>
        <v>7.0000000000000007E-2</v>
      </c>
      <c r="AC318" s="12">
        <f t="shared" si="53"/>
        <v>105.00000000000001</v>
      </c>
      <c r="AD318" s="18">
        <f t="shared" si="54"/>
        <v>1499.73</v>
      </c>
    </row>
    <row r="319" spans="1:30" ht="51" customHeight="1" x14ac:dyDescent="0.35">
      <c r="A319" s="9" t="s">
        <v>666</v>
      </c>
      <c r="B319" s="9" t="s">
        <v>667</v>
      </c>
      <c r="C319" s="9" t="s">
        <v>38</v>
      </c>
      <c r="D319" s="20" t="s">
        <v>39</v>
      </c>
      <c r="E319" s="9" t="s">
        <v>907</v>
      </c>
      <c r="F319" s="9" t="s">
        <v>908</v>
      </c>
      <c r="G319" s="8">
        <v>45126</v>
      </c>
      <c r="H319" s="7">
        <f t="shared" si="44"/>
        <v>2023</v>
      </c>
      <c r="I319" s="7" t="str">
        <f t="shared" si="45"/>
        <v>July</v>
      </c>
      <c r="J319" s="8" t="str">
        <f t="shared" si="46"/>
        <v>Wednesday</v>
      </c>
      <c r="K319" s="11">
        <v>0.71589120370370374</v>
      </c>
      <c r="L319" s="14">
        <f t="shared" si="47"/>
        <v>17</v>
      </c>
      <c r="M319" s="7">
        <f t="shared" si="48"/>
        <v>10</v>
      </c>
      <c r="N319" s="7">
        <f t="shared" si="49"/>
        <v>53</v>
      </c>
      <c r="O319" s="9" t="s">
        <v>40</v>
      </c>
      <c r="P319" s="9" t="s">
        <v>41</v>
      </c>
      <c r="Q319" s="9">
        <v>7</v>
      </c>
      <c r="R319" s="12">
        <v>188.56</v>
      </c>
      <c r="S319" s="12">
        <f>VLOOKUP(O319,'Product-cost'!A:B,2,)</f>
        <v>150</v>
      </c>
      <c r="T319" s="9" t="s">
        <v>49</v>
      </c>
      <c r="U319" s="9" t="s">
        <v>42</v>
      </c>
      <c r="V319" s="9" t="s">
        <v>882</v>
      </c>
      <c r="W319" s="9" t="s">
        <v>895</v>
      </c>
      <c r="X319" s="12">
        <f t="shared" si="50"/>
        <v>1319.92</v>
      </c>
      <c r="Y319" s="12">
        <f t="shared" si="51"/>
        <v>1050</v>
      </c>
      <c r="Z319" s="16">
        <f>VLOOKUP(T319,Taxrate!A:B,2,FALSE)</f>
        <v>0.12</v>
      </c>
      <c r="AA319" s="12">
        <f t="shared" si="52"/>
        <v>158.3904</v>
      </c>
      <c r="AB319" s="16">
        <f>VLOOKUP('Sales Dataset'!O319,'Discount Rate'!A:B,2,)</f>
        <v>7.0000000000000007E-2</v>
      </c>
      <c r="AC319" s="12">
        <f t="shared" si="53"/>
        <v>73.5</v>
      </c>
      <c r="AD319" s="18">
        <f t="shared" si="54"/>
        <v>1049.8100000000002</v>
      </c>
    </row>
    <row r="320" spans="1:30" ht="51" customHeight="1" x14ac:dyDescent="0.35">
      <c r="A320" s="9" t="s">
        <v>668</v>
      </c>
      <c r="B320" s="9" t="s">
        <v>669</v>
      </c>
      <c r="C320" s="9" t="s">
        <v>76</v>
      </c>
      <c r="D320" s="20" t="s">
        <v>33</v>
      </c>
      <c r="E320" s="9" t="s">
        <v>905</v>
      </c>
      <c r="F320" s="9" t="s">
        <v>906</v>
      </c>
      <c r="G320" s="8">
        <v>46064</v>
      </c>
      <c r="H320" s="7">
        <f t="shared" si="44"/>
        <v>2026</v>
      </c>
      <c r="I320" s="7" t="str">
        <f t="shared" si="45"/>
        <v>February</v>
      </c>
      <c r="J320" s="8" t="str">
        <f t="shared" si="46"/>
        <v>Wednesday</v>
      </c>
      <c r="K320" s="11">
        <v>0.57905092592592589</v>
      </c>
      <c r="L320" s="14">
        <f t="shared" si="47"/>
        <v>13</v>
      </c>
      <c r="M320" s="7">
        <f t="shared" si="48"/>
        <v>53</v>
      </c>
      <c r="N320" s="7">
        <f t="shared" si="49"/>
        <v>50</v>
      </c>
      <c r="O320" s="9" t="s">
        <v>20</v>
      </c>
      <c r="P320" s="9" t="s">
        <v>21</v>
      </c>
      <c r="Q320" s="9">
        <v>10</v>
      </c>
      <c r="R320" s="12">
        <v>498.97</v>
      </c>
      <c r="S320" s="12">
        <f>VLOOKUP(O320,'Product-cost'!A:B,2,)</f>
        <v>300</v>
      </c>
      <c r="T320" s="9" t="s">
        <v>22</v>
      </c>
      <c r="U320" s="9" t="s">
        <v>77</v>
      </c>
      <c r="V320" s="9" t="s">
        <v>877</v>
      </c>
      <c r="W320" s="9" t="s">
        <v>894</v>
      </c>
      <c r="X320" s="12">
        <f t="shared" si="50"/>
        <v>4989.7000000000007</v>
      </c>
      <c r="Y320" s="12">
        <f t="shared" si="51"/>
        <v>3000</v>
      </c>
      <c r="Z320" s="16">
        <f>VLOOKUP(T320,Taxrate!A:B,2,FALSE)</f>
        <v>0.1</v>
      </c>
      <c r="AA320" s="12">
        <f t="shared" si="52"/>
        <v>498.97000000000008</v>
      </c>
      <c r="AB320" s="16">
        <f>VLOOKUP('Sales Dataset'!O320,'Discount Rate'!A:B,2,)</f>
        <v>0.1</v>
      </c>
      <c r="AC320" s="12">
        <f t="shared" si="53"/>
        <v>300</v>
      </c>
      <c r="AD320" s="18">
        <f t="shared" si="54"/>
        <v>2999.8</v>
      </c>
    </row>
    <row r="321" spans="1:30" ht="51" customHeight="1" x14ac:dyDescent="0.35">
      <c r="A321" s="9" t="s">
        <v>670</v>
      </c>
      <c r="B321" s="9" t="s">
        <v>671</v>
      </c>
      <c r="C321" s="9" t="s">
        <v>83</v>
      </c>
      <c r="D321" s="20" t="s">
        <v>84</v>
      </c>
      <c r="E321" s="9" t="s">
        <v>913</v>
      </c>
      <c r="F321" s="9" t="s">
        <v>914</v>
      </c>
      <c r="G321" s="8">
        <v>45250</v>
      </c>
      <c r="H321" s="7">
        <f t="shared" si="44"/>
        <v>2023</v>
      </c>
      <c r="I321" s="7" t="str">
        <f t="shared" si="45"/>
        <v>November</v>
      </c>
      <c r="J321" s="8" t="str">
        <f t="shared" si="46"/>
        <v>Monday</v>
      </c>
      <c r="K321" s="11">
        <v>0.62847222222222221</v>
      </c>
      <c r="L321" s="14">
        <f t="shared" si="47"/>
        <v>15</v>
      </c>
      <c r="M321" s="7">
        <f t="shared" si="48"/>
        <v>5</v>
      </c>
      <c r="N321" s="7">
        <f t="shared" si="49"/>
        <v>0</v>
      </c>
      <c r="O321" s="9" t="s">
        <v>13</v>
      </c>
      <c r="P321" s="9" t="s">
        <v>14</v>
      </c>
      <c r="Q321" s="9">
        <v>2</v>
      </c>
      <c r="R321" s="12">
        <v>1096.8699999999999</v>
      </c>
      <c r="S321" s="12">
        <f>VLOOKUP(O321,'Product-cost'!A:B,2,)</f>
        <v>600</v>
      </c>
      <c r="T321" s="9" t="s">
        <v>22</v>
      </c>
      <c r="U321" s="9" t="s">
        <v>102</v>
      </c>
      <c r="V321" s="9" t="s">
        <v>876</v>
      </c>
      <c r="W321" s="9" t="s">
        <v>896</v>
      </c>
      <c r="X321" s="12">
        <f t="shared" si="50"/>
        <v>2193.7399999999998</v>
      </c>
      <c r="Y321" s="12">
        <f t="shared" si="51"/>
        <v>1200</v>
      </c>
      <c r="Z321" s="16">
        <f>VLOOKUP(T321,Taxrate!A:B,2,FALSE)</f>
        <v>0.1</v>
      </c>
      <c r="AA321" s="12">
        <f t="shared" si="52"/>
        <v>219.374</v>
      </c>
      <c r="AB321" s="16">
        <f>VLOOKUP('Sales Dataset'!O321,'Discount Rate'!A:B,2,)</f>
        <v>0.05</v>
      </c>
      <c r="AC321" s="12">
        <f t="shared" si="53"/>
        <v>60</v>
      </c>
      <c r="AD321" s="18">
        <f t="shared" si="54"/>
        <v>1199.8500000000001</v>
      </c>
    </row>
    <row r="322" spans="1:30" ht="51" customHeight="1" x14ac:dyDescent="0.35">
      <c r="A322" s="9" t="s">
        <v>672</v>
      </c>
      <c r="B322" s="9" t="s">
        <v>673</v>
      </c>
      <c r="C322" s="9" t="s">
        <v>18</v>
      </c>
      <c r="D322" s="20" t="s">
        <v>19</v>
      </c>
      <c r="E322" s="9" t="s">
        <v>903</v>
      </c>
      <c r="F322" s="9" t="s">
        <v>904</v>
      </c>
      <c r="G322" s="8">
        <v>46118</v>
      </c>
      <c r="H322" s="7">
        <f t="shared" si="44"/>
        <v>2026</v>
      </c>
      <c r="I322" s="7" t="str">
        <f t="shared" si="45"/>
        <v>April</v>
      </c>
      <c r="J322" s="8" t="str">
        <f t="shared" si="46"/>
        <v>Monday</v>
      </c>
      <c r="K322" s="11">
        <v>0.71649305555555554</v>
      </c>
      <c r="L322" s="14">
        <f t="shared" si="47"/>
        <v>17</v>
      </c>
      <c r="M322" s="7">
        <f t="shared" si="48"/>
        <v>11</v>
      </c>
      <c r="N322" s="7">
        <f t="shared" si="49"/>
        <v>45</v>
      </c>
      <c r="O322" s="9" t="s">
        <v>66</v>
      </c>
      <c r="P322" s="9" t="s">
        <v>67</v>
      </c>
      <c r="Q322" s="9">
        <v>2</v>
      </c>
      <c r="R322" s="12">
        <v>178.69</v>
      </c>
      <c r="S322" s="12">
        <f>VLOOKUP(O322,'Product-cost'!A:B,2,)</f>
        <v>50</v>
      </c>
      <c r="T322" s="9" t="s">
        <v>22</v>
      </c>
      <c r="U322" s="9" t="s">
        <v>46</v>
      </c>
      <c r="V322" s="9" t="s">
        <v>881</v>
      </c>
      <c r="W322" s="9" t="s">
        <v>894</v>
      </c>
      <c r="X322" s="12">
        <f t="shared" si="50"/>
        <v>357.38</v>
      </c>
      <c r="Y322" s="12">
        <f t="shared" si="51"/>
        <v>100</v>
      </c>
      <c r="Z322" s="16">
        <f>VLOOKUP(T322,Taxrate!A:B,2,FALSE)</f>
        <v>0.1</v>
      </c>
      <c r="AA322" s="12">
        <f t="shared" si="52"/>
        <v>35.738</v>
      </c>
      <c r="AB322" s="16">
        <f>VLOOKUP('Sales Dataset'!O322,'Discount Rate'!A:B,2,)</f>
        <v>0.03</v>
      </c>
      <c r="AC322" s="12">
        <f t="shared" si="53"/>
        <v>3</v>
      </c>
      <c r="AD322" s="18">
        <f t="shared" si="54"/>
        <v>99.87</v>
      </c>
    </row>
    <row r="323" spans="1:30" ht="51" customHeight="1" x14ac:dyDescent="0.35">
      <c r="A323" s="9" t="s">
        <v>674</v>
      </c>
      <c r="B323" s="9" t="s">
        <v>291</v>
      </c>
      <c r="C323" s="9" t="s">
        <v>114</v>
      </c>
      <c r="D323" s="20" t="s">
        <v>19</v>
      </c>
      <c r="E323" s="9" t="s">
        <v>903</v>
      </c>
      <c r="F323" s="9" t="s">
        <v>904</v>
      </c>
      <c r="G323" s="8">
        <v>45877</v>
      </c>
      <c r="H323" s="7">
        <f t="shared" ref="H323:H386" si="55">YEAR(G323)</f>
        <v>2025</v>
      </c>
      <c r="I323" s="7" t="str">
        <f t="shared" ref="I323:I386" si="56">TEXT(G323,"mmmm")</f>
        <v>August</v>
      </c>
      <c r="J323" s="8" t="str">
        <f t="shared" ref="J323:J386" si="57">TEXT(G323,"dddd")</f>
        <v>Friday</v>
      </c>
      <c r="K323" s="11">
        <v>0.50222222222222224</v>
      </c>
      <c r="L323" s="14">
        <f t="shared" ref="L323:L386" si="58">HOUR(K323)</f>
        <v>12</v>
      </c>
      <c r="M323" s="7">
        <f t="shared" ref="M323:M386" si="59">MINUTE(K323)</f>
        <v>3</v>
      </c>
      <c r="N323" s="7">
        <f t="shared" ref="N323:N386" si="60">SECOND(K323)</f>
        <v>12</v>
      </c>
      <c r="O323" s="9" t="s">
        <v>13</v>
      </c>
      <c r="P323" s="9" t="s">
        <v>14</v>
      </c>
      <c r="Q323" s="9">
        <v>11</v>
      </c>
      <c r="R323" s="12">
        <v>1255.74</v>
      </c>
      <c r="S323" s="12">
        <f>VLOOKUP(O323,'Product-cost'!A:B,2,)</f>
        <v>600</v>
      </c>
      <c r="T323" s="9" t="s">
        <v>34</v>
      </c>
      <c r="U323" s="9" t="s">
        <v>23</v>
      </c>
      <c r="V323" s="9" t="s">
        <v>869</v>
      </c>
      <c r="W323" s="9" t="s">
        <v>894</v>
      </c>
      <c r="X323" s="12">
        <f t="shared" ref="X323:X386" si="61">R323*Q323</f>
        <v>13813.14</v>
      </c>
      <c r="Y323" s="12">
        <f t="shared" ref="Y323:Y386" si="62">S323*Q323</f>
        <v>6600</v>
      </c>
      <c r="Z323" s="16">
        <f>VLOOKUP(T323,Taxrate!A:B,2,FALSE)</f>
        <v>0.15</v>
      </c>
      <c r="AA323" s="12">
        <f t="shared" ref="AA323:AA386" si="63">X323*Z323</f>
        <v>2071.971</v>
      </c>
      <c r="AB323" s="16">
        <f>VLOOKUP('Sales Dataset'!O323,'Discount Rate'!A:B,2,)</f>
        <v>0.05</v>
      </c>
      <c r="AC323" s="12">
        <f t="shared" ref="AC323:AC386" si="64">Y323*AB323</f>
        <v>330</v>
      </c>
      <c r="AD323" s="18">
        <f t="shared" ref="AD323:AD386" si="65">Y323-AB323-Z323</f>
        <v>6599.8</v>
      </c>
    </row>
    <row r="324" spans="1:30" ht="51" customHeight="1" x14ac:dyDescent="0.35">
      <c r="A324" s="9" t="s">
        <v>675</v>
      </c>
      <c r="B324" s="9" t="s">
        <v>676</v>
      </c>
      <c r="C324" s="9" t="s">
        <v>126</v>
      </c>
      <c r="D324" s="20" t="s">
        <v>19</v>
      </c>
      <c r="E324" s="9" t="s">
        <v>903</v>
      </c>
      <c r="F324" s="9" t="s">
        <v>904</v>
      </c>
      <c r="G324" s="8">
        <v>44965</v>
      </c>
      <c r="H324" s="7">
        <f t="shared" si="55"/>
        <v>2023</v>
      </c>
      <c r="I324" s="7" t="str">
        <f t="shared" si="56"/>
        <v>February</v>
      </c>
      <c r="J324" s="8" t="str">
        <f t="shared" si="57"/>
        <v>Wednesday</v>
      </c>
      <c r="K324" s="11">
        <v>0.67442129629629632</v>
      </c>
      <c r="L324" s="14">
        <f t="shared" si="58"/>
        <v>16</v>
      </c>
      <c r="M324" s="7">
        <f t="shared" si="59"/>
        <v>11</v>
      </c>
      <c r="N324" s="7">
        <f t="shared" si="60"/>
        <v>10</v>
      </c>
      <c r="O324" s="9" t="s">
        <v>13</v>
      </c>
      <c r="P324" s="9" t="s">
        <v>14</v>
      </c>
      <c r="Q324" s="9">
        <v>2</v>
      </c>
      <c r="R324" s="12">
        <v>500</v>
      </c>
      <c r="S324" s="12">
        <f>VLOOKUP(O324,'Product-cost'!A:B,2,)</f>
        <v>600</v>
      </c>
      <c r="T324" s="9" t="s">
        <v>28</v>
      </c>
      <c r="U324" s="9" t="s">
        <v>130</v>
      </c>
      <c r="V324" s="9" t="s">
        <v>873</v>
      </c>
      <c r="W324" s="9" t="s">
        <v>895</v>
      </c>
      <c r="X324" s="12">
        <f t="shared" si="61"/>
        <v>1000</v>
      </c>
      <c r="Y324" s="12">
        <f t="shared" si="62"/>
        <v>1200</v>
      </c>
      <c r="Z324" s="16">
        <f>VLOOKUP(T324,Taxrate!A:B,2,FALSE)</f>
        <v>0.2</v>
      </c>
      <c r="AA324" s="12">
        <f t="shared" si="63"/>
        <v>200</v>
      </c>
      <c r="AB324" s="16">
        <f>VLOOKUP('Sales Dataset'!O324,'Discount Rate'!A:B,2,)</f>
        <v>0.05</v>
      </c>
      <c r="AC324" s="12">
        <f t="shared" si="64"/>
        <v>60</v>
      </c>
      <c r="AD324" s="18">
        <f t="shared" si="65"/>
        <v>1199.75</v>
      </c>
    </row>
    <row r="325" spans="1:30" ht="51" customHeight="1" x14ac:dyDescent="0.35">
      <c r="A325" s="9" t="s">
        <v>677</v>
      </c>
      <c r="B325" s="9" t="s">
        <v>678</v>
      </c>
      <c r="C325" s="9" t="s">
        <v>76</v>
      </c>
      <c r="D325" s="20" t="s">
        <v>33</v>
      </c>
      <c r="E325" s="9" t="s">
        <v>905</v>
      </c>
      <c r="F325" s="9" t="s">
        <v>906</v>
      </c>
      <c r="G325" s="8">
        <v>45127</v>
      </c>
      <c r="H325" s="7">
        <f t="shared" si="55"/>
        <v>2023</v>
      </c>
      <c r="I325" s="7" t="str">
        <f t="shared" si="56"/>
        <v>July</v>
      </c>
      <c r="J325" s="8" t="str">
        <f t="shared" si="57"/>
        <v>Thursday</v>
      </c>
      <c r="K325" s="11">
        <v>0.81035879629629626</v>
      </c>
      <c r="L325" s="14">
        <f t="shared" si="58"/>
        <v>19</v>
      </c>
      <c r="M325" s="7">
        <f t="shared" si="59"/>
        <v>26</v>
      </c>
      <c r="N325" s="7">
        <f t="shared" si="60"/>
        <v>55</v>
      </c>
      <c r="O325" s="9" t="s">
        <v>20</v>
      </c>
      <c r="P325" s="9" t="s">
        <v>21</v>
      </c>
      <c r="Q325" s="9">
        <v>4</v>
      </c>
      <c r="R325" s="12">
        <v>500</v>
      </c>
      <c r="S325" s="12">
        <f>VLOOKUP(O325,'Product-cost'!A:B,2,)</f>
        <v>300</v>
      </c>
      <c r="T325" s="9" t="s">
        <v>49</v>
      </c>
      <c r="U325" s="9" t="s">
        <v>77</v>
      </c>
      <c r="V325" s="9" t="s">
        <v>874</v>
      </c>
      <c r="W325" s="9" t="s">
        <v>894</v>
      </c>
      <c r="X325" s="12">
        <f t="shared" si="61"/>
        <v>2000</v>
      </c>
      <c r="Y325" s="12">
        <f t="shared" si="62"/>
        <v>1200</v>
      </c>
      <c r="Z325" s="16">
        <f>VLOOKUP(T325,Taxrate!A:B,2,FALSE)</f>
        <v>0.12</v>
      </c>
      <c r="AA325" s="12">
        <f t="shared" si="63"/>
        <v>240</v>
      </c>
      <c r="AB325" s="16">
        <f>VLOOKUP('Sales Dataset'!O325,'Discount Rate'!A:B,2,)</f>
        <v>0.1</v>
      </c>
      <c r="AC325" s="12">
        <f t="shared" si="64"/>
        <v>120</v>
      </c>
      <c r="AD325" s="18">
        <f t="shared" si="65"/>
        <v>1199.7800000000002</v>
      </c>
    </row>
    <row r="326" spans="1:30" ht="51" customHeight="1" x14ac:dyDescent="0.35">
      <c r="A326" s="9" t="s">
        <v>679</v>
      </c>
      <c r="B326" s="9" t="s">
        <v>680</v>
      </c>
      <c r="C326" s="9" t="s">
        <v>32</v>
      </c>
      <c r="D326" s="20" t="s">
        <v>33</v>
      </c>
      <c r="E326" s="9" t="s">
        <v>905</v>
      </c>
      <c r="F326" s="9" t="s">
        <v>906</v>
      </c>
      <c r="G326" s="8">
        <v>45341</v>
      </c>
      <c r="H326" s="7">
        <f t="shared" si="55"/>
        <v>2024</v>
      </c>
      <c r="I326" s="7" t="str">
        <f t="shared" si="56"/>
        <v>February</v>
      </c>
      <c r="J326" s="8" t="str">
        <f t="shared" si="57"/>
        <v>Monday</v>
      </c>
      <c r="K326" s="11">
        <v>0.41856481481481483</v>
      </c>
      <c r="L326" s="14">
        <f t="shared" si="58"/>
        <v>10</v>
      </c>
      <c r="M326" s="7">
        <f t="shared" si="59"/>
        <v>2</v>
      </c>
      <c r="N326" s="7">
        <f t="shared" si="60"/>
        <v>44</v>
      </c>
      <c r="O326" s="9" t="s">
        <v>40</v>
      </c>
      <c r="P326" s="9" t="s">
        <v>41</v>
      </c>
      <c r="Q326" s="9">
        <v>7</v>
      </c>
      <c r="R326" s="12">
        <v>269.68</v>
      </c>
      <c r="S326" s="12">
        <f>VLOOKUP(O326,'Product-cost'!A:B,2,)</f>
        <v>150</v>
      </c>
      <c r="T326" s="9" t="s">
        <v>34</v>
      </c>
      <c r="U326" s="9" t="s">
        <v>35</v>
      </c>
      <c r="V326" s="9" t="s">
        <v>872</v>
      </c>
      <c r="W326" s="9" t="s">
        <v>896</v>
      </c>
      <c r="X326" s="12">
        <f t="shared" si="61"/>
        <v>1887.76</v>
      </c>
      <c r="Y326" s="12">
        <f t="shared" si="62"/>
        <v>1050</v>
      </c>
      <c r="Z326" s="16">
        <f>VLOOKUP(T326,Taxrate!A:B,2,FALSE)</f>
        <v>0.15</v>
      </c>
      <c r="AA326" s="12">
        <f t="shared" si="63"/>
        <v>283.16399999999999</v>
      </c>
      <c r="AB326" s="16">
        <f>VLOOKUP('Sales Dataset'!O326,'Discount Rate'!A:B,2,)</f>
        <v>7.0000000000000007E-2</v>
      </c>
      <c r="AC326" s="12">
        <f t="shared" si="64"/>
        <v>73.5</v>
      </c>
      <c r="AD326" s="18">
        <f t="shared" si="65"/>
        <v>1049.78</v>
      </c>
    </row>
    <row r="327" spans="1:30" ht="51" customHeight="1" x14ac:dyDescent="0.35">
      <c r="A327" s="9" t="s">
        <v>681</v>
      </c>
      <c r="B327" s="9" t="s">
        <v>682</v>
      </c>
      <c r="C327" s="9" t="s">
        <v>52</v>
      </c>
      <c r="D327" s="20" t="s">
        <v>53</v>
      </c>
      <c r="E327" s="9" t="s">
        <v>909</v>
      </c>
      <c r="F327" s="9" t="s">
        <v>910</v>
      </c>
      <c r="G327" s="8">
        <v>46175</v>
      </c>
      <c r="H327" s="7">
        <f t="shared" si="55"/>
        <v>2026</v>
      </c>
      <c r="I327" s="7" t="str">
        <f t="shared" si="56"/>
        <v>June</v>
      </c>
      <c r="J327" s="8" t="str">
        <f t="shared" si="57"/>
        <v>Tuesday</v>
      </c>
      <c r="K327" s="11">
        <v>0.39368055555555553</v>
      </c>
      <c r="L327" s="14">
        <f t="shared" si="58"/>
        <v>9</v>
      </c>
      <c r="M327" s="7">
        <f t="shared" si="59"/>
        <v>26</v>
      </c>
      <c r="N327" s="7">
        <f t="shared" si="60"/>
        <v>54</v>
      </c>
      <c r="O327" s="9" t="s">
        <v>40</v>
      </c>
      <c r="P327" s="9" t="s">
        <v>41</v>
      </c>
      <c r="Q327" s="9">
        <v>4</v>
      </c>
      <c r="R327" s="12">
        <v>268.07</v>
      </c>
      <c r="S327" s="12">
        <f>VLOOKUP(O327,'Product-cost'!A:B,2,)</f>
        <v>150</v>
      </c>
      <c r="T327" s="9" t="s">
        <v>22</v>
      </c>
      <c r="U327" s="9" t="s">
        <v>54</v>
      </c>
      <c r="V327" s="9" t="s">
        <v>871</v>
      </c>
      <c r="W327" s="9" t="s">
        <v>894</v>
      </c>
      <c r="X327" s="12">
        <f t="shared" si="61"/>
        <v>1072.28</v>
      </c>
      <c r="Y327" s="12">
        <f t="shared" si="62"/>
        <v>600</v>
      </c>
      <c r="Z327" s="16">
        <f>VLOOKUP(T327,Taxrate!A:B,2,FALSE)</f>
        <v>0.1</v>
      </c>
      <c r="AA327" s="12">
        <f t="shared" si="63"/>
        <v>107.22800000000001</v>
      </c>
      <c r="AB327" s="16">
        <f>VLOOKUP('Sales Dataset'!O327,'Discount Rate'!A:B,2,)</f>
        <v>7.0000000000000007E-2</v>
      </c>
      <c r="AC327" s="12">
        <f t="shared" si="64"/>
        <v>42.000000000000007</v>
      </c>
      <c r="AD327" s="18">
        <f t="shared" si="65"/>
        <v>599.82999999999993</v>
      </c>
    </row>
    <row r="328" spans="1:30" ht="51" customHeight="1" x14ac:dyDescent="0.35">
      <c r="A328" s="9" t="s">
        <v>683</v>
      </c>
      <c r="B328" s="9" t="s">
        <v>297</v>
      </c>
      <c r="C328" s="9" t="s">
        <v>117</v>
      </c>
      <c r="D328" s="20" t="s">
        <v>19</v>
      </c>
      <c r="E328" s="9" t="s">
        <v>903</v>
      </c>
      <c r="F328" s="9" t="s">
        <v>904</v>
      </c>
      <c r="G328" s="8">
        <v>45231</v>
      </c>
      <c r="H328" s="7">
        <f t="shared" si="55"/>
        <v>2023</v>
      </c>
      <c r="I328" s="7" t="str">
        <f t="shared" si="56"/>
        <v>November</v>
      </c>
      <c r="J328" s="8" t="str">
        <f t="shared" si="57"/>
        <v>Wednesday</v>
      </c>
      <c r="K328" s="11">
        <v>0.33506944444444442</v>
      </c>
      <c r="L328" s="14">
        <f t="shared" si="58"/>
        <v>8</v>
      </c>
      <c r="M328" s="7">
        <f t="shared" si="59"/>
        <v>2</v>
      </c>
      <c r="N328" s="7">
        <f t="shared" si="60"/>
        <v>30</v>
      </c>
      <c r="O328" s="9" t="s">
        <v>40</v>
      </c>
      <c r="P328" s="9" t="s">
        <v>41</v>
      </c>
      <c r="Q328" s="9">
        <v>7</v>
      </c>
      <c r="R328" s="12">
        <v>228.72</v>
      </c>
      <c r="S328" s="12">
        <f>VLOOKUP(O328,'Product-cost'!A:B,2,)</f>
        <v>150</v>
      </c>
      <c r="T328" s="9" t="s">
        <v>45</v>
      </c>
      <c r="U328" s="9" t="s">
        <v>23</v>
      </c>
      <c r="V328" s="9" t="s">
        <v>868</v>
      </c>
      <c r="W328" s="9" t="s">
        <v>894</v>
      </c>
      <c r="X328" s="12">
        <f t="shared" si="61"/>
        <v>1601.04</v>
      </c>
      <c r="Y328" s="12">
        <f t="shared" si="62"/>
        <v>1050</v>
      </c>
      <c r="Z328" s="16">
        <f>VLOOKUP(T328,Taxrate!A:B,2,FALSE)</f>
        <v>7.0000000000000007E-2</v>
      </c>
      <c r="AA328" s="12">
        <f t="shared" si="63"/>
        <v>112.07280000000002</v>
      </c>
      <c r="AB328" s="16">
        <f>VLOOKUP('Sales Dataset'!O328,'Discount Rate'!A:B,2,)</f>
        <v>7.0000000000000007E-2</v>
      </c>
      <c r="AC328" s="12">
        <f t="shared" si="64"/>
        <v>73.5</v>
      </c>
      <c r="AD328" s="18">
        <f t="shared" si="65"/>
        <v>1049.8600000000001</v>
      </c>
    </row>
    <row r="329" spans="1:30" ht="51" customHeight="1" x14ac:dyDescent="0.35">
      <c r="A329" s="9" t="s">
        <v>684</v>
      </c>
      <c r="B329" s="9" t="s">
        <v>685</v>
      </c>
      <c r="C329" s="9" t="s">
        <v>107</v>
      </c>
      <c r="D329" s="20" t="s">
        <v>53</v>
      </c>
      <c r="E329" s="9" t="s">
        <v>909</v>
      </c>
      <c r="F329" s="9" t="s">
        <v>910</v>
      </c>
      <c r="G329" s="8">
        <v>46253</v>
      </c>
      <c r="H329" s="7">
        <f t="shared" si="55"/>
        <v>2026</v>
      </c>
      <c r="I329" s="7" t="str">
        <f t="shared" si="56"/>
        <v>August</v>
      </c>
      <c r="J329" s="8" t="str">
        <f t="shared" si="57"/>
        <v>Wednesday</v>
      </c>
      <c r="K329" s="11">
        <v>0.35465277777777776</v>
      </c>
      <c r="L329" s="14">
        <f t="shared" si="58"/>
        <v>8</v>
      </c>
      <c r="M329" s="7">
        <f t="shared" si="59"/>
        <v>30</v>
      </c>
      <c r="N329" s="7">
        <f t="shared" si="60"/>
        <v>42</v>
      </c>
      <c r="O329" s="9" t="s">
        <v>26</v>
      </c>
      <c r="P329" s="9" t="s">
        <v>27</v>
      </c>
      <c r="Q329" s="9">
        <v>8</v>
      </c>
      <c r="R329" s="12">
        <v>469.46</v>
      </c>
      <c r="S329" s="12">
        <f>VLOOKUP(O329,'Product-cost'!A:B,2,)</f>
        <v>200</v>
      </c>
      <c r="T329" s="9" t="s">
        <v>45</v>
      </c>
      <c r="U329" s="9" t="s">
        <v>206</v>
      </c>
      <c r="V329" s="9" t="s">
        <v>879</v>
      </c>
      <c r="W329" s="9" t="s">
        <v>894</v>
      </c>
      <c r="X329" s="12">
        <f t="shared" si="61"/>
        <v>3755.68</v>
      </c>
      <c r="Y329" s="12">
        <f t="shared" si="62"/>
        <v>1600</v>
      </c>
      <c r="Z329" s="16">
        <f>VLOOKUP(T329,Taxrate!A:B,2,FALSE)</f>
        <v>7.0000000000000007E-2</v>
      </c>
      <c r="AA329" s="12">
        <f t="shared" si="63"/>
        <v>262.89760000000001</v>
      </c>
      <c r="AB329" s="16">
        <f>VLOOKUP('Sales Dataset'!O329,'Discount Rate'!A:B,2,)</f>
        <v>0.08</v>
      </c>
      <c r="AC329" s="12">
        <f t="shared" si="64"/>
        <v>128</v>
      </c>
      <c r="AD329" s="18">
        <f t="shared" si="65"/>
        <v>1599.8500000000001</v>
      </c>
    </row>
    <row r="330" spans="1:30" ht="51" customHeight="1" x14ac:dyDescent="0.35">
      <c r="A330" s="9" t="s">
        <v>686</v>
      </c>
      <c r="B330" s="9" t="s">
        <v>687</v>
      </c>
      <c r="C330" s="9" t="s">
        <v>369</v>
      </c>
      <c r="D330" s="20" t="s">
        <v>39</v>
      </c>
      <c r="E330" s="9" t="s">
        <v>907</v>
      </c>
      <c r="F330" s="9" t="s">
        <v>908</v>
      </c>
      <c r="G330" s="8">
        <v>45071</v>
      </c>
      <c r="H330" s="7">
        <f t="shared" si="55"/>
        <v>2023</v>
      </c>
      <c r="I330" s="7" t="str">
        <f t="shared" si="56"/>
        <v>May</v>
      </c>
      <c r="J330" s="8" t="str">
        <f t="shared" si="57"/>
        <v>Thursday</v>
      </c>
      <c r="K330" s="11">
        <v>0.80663194444444442</v>
      </c>
      <c r="L330" s="14">
        <f t="shared" si="58"/>
        <v>19</v>
      </c>
      <c r="M330" s="7">
        <f t="shared" si="59"/>
        <v>21</v>
      </c>
      <c r="N330" s="7">
        <f t="shared" si="60"/>
        <v>33</v>
      </c>
      <c r="O330" s="9" t="s">
        <v>13</v>
      </c>
      <c r="P330" s="9" t="s">
        <v>14</v>
      </c>
      <c r="Q330" s="9">
        <v>13</v>
      </c>
      <c r="R330" s="12">
        <v>1273.05</v>
      </c>
      <c r="S330" s="12">
        <f>VLOOKUP(O330,'Product-cost'!A:B,2,)</f>
        <v>600</v>
      </c>
      <c r="T330" s="9" t="s">
        <v>49</v>
      </c>
      <c r="U330" s="9" t="s">
        <v>80</v>
      </c>
      <c r="V330" s="9" t="s">
        <v>878</v>
      </c>
      <c r="W330" s="9" t="s">
        <v>894</v>
      </c>
      <c r="X330" s="12">
        <f t="shared" si="61"/>
        <v>16549.649999999998</v>
      </c>
      <c r="Y330" s="12">
        <f t="shared" si="62"/>
        <v>7800</v>
      </c>
      <c r="Z330" s="16">
        <f>VLOOKUP(T330,Taxrate!A:B,2,FALSE)</f>
        <v>0.12</v>
      </c>
      <c r="AA330" s="12">
        <f t="shared" si="63"/>
        <v>1985.9579999999996</v>
      </c>
      <c r="AB330" s="16">
        <f>VLOOKUP('Sales Dataset'!O330,'Discount Rate'!A:B,2,)</f>
        <v>0.05</v>
      </c>
      <c r="AC330" s="12">
        <f t="shared" si="64"/>
        <v>390</v>
      </c>
      <c r="AD330" s="18">
        <f t="shared" si="65"/>
        <v>7799.83</v>
      </c>
    </row>
    <row r="331" spans="1:30" ht="51" customHeight="1" x14ac:dyDescent="0.35">
      <c r="A331" s="9" t="s">
        <v>688</v>
      </c>
      <c r="B331" s="9" t="s">
        <v>689</v>
      </c>
      <c r="C331" s="9" t="s">
        <v>32</v>
      </c>
      <c r="D331" s="20" t="s">
        <v>33</v>
      </c>
      <c r="E331" s="9" t="s">
        <v>905</v>
      </c>
      <c r="F331" s="9" t="s">
        <v>906</v>
      </c>
      <c r="G331" s="8">
        <v>45154</v>
      </c>
      <c r="H331" s="7">
        <f t="shared" si="55"/>
        <v>2023</v>
      </c>
      <c r="I331" s="7" t="str">
        <f t="shared" si="56"/>
        <v>August</v>
      </c>
      <c r="J331" s="8" t="str">
        <f t="shared" si="57"/>
        <v>Wednesday</v>
      </c>
      <c r="K331" s="11">
        <v>0.56225694444444441</v>
      </c>
      <c r="L331" s="14">
        <f t="shared" si="58"/>
        <v>13</v>
      </c>
      <c r="M331" s="7">
        <f t="shared" si="59"/>
        <v>29</v>
      </c>
      <c r="N331" s="7">
        <f t="shared" si="60"/>
        <v>39</v>
      </c>
      <c r="O331" s="9" t="s">
        <v>13</v>
      </c>
      <c r="P331" s="9" t="s">
        <v>14</v>
      </c>
      <c r="Q331" s="9">
        <v>3</v>
      </c>
      <c r="R331" s="12">
        <v>1152.44</v>
      </c>
      <c r="S331" s="12">
        <f>VLOOKUP(O331,'Product-cost'!A:B,2,)</f>
        <v>600</v>
      </c>
      <c r="T331" s="9" t="s">
        <v>49</v>
      </c>
      <c r="U331" s="9" t="s">
        <v>77</v>
      </c>
      <c r="V331" s="9" t="s">
        <v>871</v>
      </c>
      <c r="W331" s="9" t="s">
        <v>894</v>
      </c>
      <c r="X331" s="12">
        <f t="shared" si="61"/>
        <v>3457.32</v>
      </c>
      <c r="Y331" s="12">
        <f t="shared" si="62"/>
        <v>1800</v>
      </c>
      <c r="Z331" s="16">
        <f>VLOOKUP(T331,Taxrate!A:B,2,FALSE)</f>
        <v>0.12</v>
      </c>
      <c r="AA331" s="12">
        <f t="shared" si="63"/>
        <v>414.8784</v>
      </c>
      <c r="AB331" s="16">
        <f>VLOOKUP('Sales Dataset'!O331,'Discount Rate'!A:B,2,)</f>
        <v>0.05</v>
      </c>
      <c r="AC331" s="12">
        <f t="shared" si="64"/>
        <v>90</v>
      </c>
      <c r="AD331" s="18">
        <f t="shared" si="65"/>
        <v>1799.8300000000002</v>
      </c>
    </row>
    <row r="332" spans="1:30" ht="51" customHeight="1" x14ac:dyDescent="0.35">
      <c r="A332" s="9" t="s">
        <v>690</v>
      </c>
      <c r="B332" s="9" t="s">
        <v>338</v>
      </c>
      <c r="C332" s="9" t="s">
        <v>150</v>
      </c>
      <c r="D332" s="20" t="s">
        <v>33</v>
      </c>
      <c r="E332" s="9" t="s">
        <v>905</v>
      </c>
      <c r="F332" s="9" t="s">
        <v>906</v>
      </c>
      <c r="G332" s="8">
        <v>45447</v>
      </c>
      <c r="H332" s="7">
        <f t="shared" si="55"/>
        <v>2024</v>
      </c>
      <c r="I332" s="7" t="str">
        <f t="shared" si="56"/>
        <v>June</v>
      </c>
      <c r="J332" s="8" t="str">
        <f t="shared" si="57"/>
        <v>Tuesday</v>
      </c>
      <c r="K332" s="11">
        <v>0.58144675925925926</v>
      </c>
      <c r="L332" s="14">
        <f t="shared" si="58"/>
        <v>13</v>
      </c>
      <c r="M332" s="7">
        <f t="shared" si="59"/>
        <v>57</v>
      </c>
      <c r="N332" s="7">
        <f t="shared" si="60"/>
        <v>17</v>
      </c>
      <c r="O332" s="9" t="s">
        <v>40</v>
      </c>
      <c r="P332" s="9" t="s">
        <v>41</v>
      </c>
      <c r="Q332" s="9">
        <v>5</v>
      </c>
      <c r="R332" s="12">
        <v>500</v>
      </c>
      <c r="S332" s="12">
        <f>VLOOKUP(O332,'Product-cost'!A:B,2,)</f>
        <v>150</v>
      </c>
      <c r="T332" s="9" t="s">
        <v>22</v>
      </c>
      <c r="U332" s="9" t="s">
        <v>77</v>
      </c>
      <c r="V332" s="9" t="s">
        <v>870</v>
      </c>
      <c r="W332" s="9" t="s">
        <v>894</v>
      </c>
      <c r="X332" s="12">
        <f t="shared" si="61"/>
        <v>2500</v>
      </c>
      <c r="Y332" s="12">
        <f t="shared" si="62"/>
        <v>750</v>
      </c>
      <c r="Z332" s="16">
        <f>VLOOKUP(T332,Taxrate!A:B,2,FALSE)</f>
        <v>0.1</v>
      </c>
      <c r="AA332" s="12">
        <f t="shared" si="63"/>
        <v>250</v>
      </c>
      <c r="AB332" s="16">
        <f>VLOOKUP('Sales Dataset'!O332,'Discount Rate'!A:B,2,)</f>
        <v>7.0000000000000007E-2</v>
      </c>
      <c r="AC332" s="12">
        <f t="shared" si="64"/>
        <v>52.500000000000007</v>
      </c>
      <c r="AD332" s="18">
        <f t="shared" si="65"/>
        <v>749.82999999999993</v>
      </c>
    </row>
    <row r="333" spans="1:30" ht="51" customHeight="1" x14ac:dyDescent="0.35">
      <c r="A333" s="9" t="s">
        <v>691</v>
      </c>
      <c r="B333" s="9" t="s">
        <v>692</v>
      </c>
      <c r="C333" s="9" t="s">
        <v>126</v>
      </c>
      <c r="D333" s="20" t="s">
        <v>19</v>
      </c>
      <c r="E333" s="9" t="s">
        <v>903</v>
      </c>
      <c r="F333" s="9" t="s">
        <v>904</v>
      </c>
      <c r="G333" s="8">
        <v>46305</v>
      </c>
      <c r="H333" s="7">
        <f t="shared" si="55"/>
        <v>2026</v>
      </c>
      <c r="I333" s="7" t="str">
        <f t="shared" si="56"/>
        <v>October</v>
      </c>
      <c r="J333" s="8" t="str">
        <f t="shared" si="57"/>
        <v>Saturday</v>
      </c>
      <c r="K333" s="11">
        <v>0.49856481481481479</v>
      </c>
      <c r="L333" s="14">
        <f t="shared" si="58"/>
        <v>11</v>
      </c>
      <c r="M333" s="7">
        <f t="shared" si="59"/>
        <v>57</v>
      </c>
      <c r="N333" s="7">
        <f t="shared" si="60"/>
        <v>56</v>
      </c>
      <c r="O333" s="9" t="s">
        <v>66</v>
      </c>
      <c r="P333" s="9" t="s">
        <v>67</v>
      </c>
      <c r="Q333" s="9">
        <v>7</v>
      </c>
      <c r="R333" s="12">
        <v>133.41</v>
      </c>
      <c r="S333" s="12">
        <f>VLOOKUP(O333,'Product-cost'!A:B,2,)</f>
        <v>50</v>
      </c>
      <c r="T333" s="9" t="s">
        <v>45</v>
      </c>
      <c r="U333" s="9" t="s">
        <v>23</v>
      </c>
      <c r="V333" s="9" t="s">
        <v>875</v>
      </c>
      <c r="W333" s="9" t="s">
        <v>894</v>
      </c>
      <c r="X333" s="12">
        <f t="shared" si="61"/>
        <v>933.87</v>
      </c>
      <c r="Y333" s="12">
        <f t="shared" si="62"/>
        <v>350</v>
      </c>
      <c r="Z333" s="16">
        <f>VLOOKUP(T333,Taxrate!A:B,2,FALSE)</f>
        <v>7.0000000000000007E-2</v>
      </c>
      <c r="AA333" s="12">
        <f t="shared" si="63"/>
        <v>65.370900000000006</v>
      </c>
      <c r="AB333" s="16">
        <f>VLOOKUP('Sales Dataset'!O333,'Discount Rate'!A:B,2,)</f>
        <v>0.03</v>
      </c>
      <c r="AC333" s="12">
        <f t="shared" si="64"/>
        <v>10.5</v>
      </c>
      <c r="AD333" s="18">
        <f t="shared" si="65"/>
        <v>349.90000000000003</v>
      </c>
    </row>
    <row r="334" spans="1:30" ht="51" customHeight="1" x14ac:dyDescent="0.35">
      <c r="A334" s="9" t="s">
        <v>693</v>
      </c>
      <c r="B334" s="9" t="s">
        <v>541</v>
      </c>
      <c r="C334" s="9" t="s">
        <v>107</v>
      </c>
      <c r="D334" s="20" t="s">
        <v>53</v>
      </c>
      <c r="E334" s="9" t="s">
        <v>909</v>
      </c>
      <c r="F334" s="9" t="s">
        <v>910</v>
      </c>
      <c r="G334" s="8">
        <v>46324</v>
      </c>
      <c r="H334" s="7">
        <f t="shared" si="55"/>
        <v>2026</v>
      </c>
      <c r="I334" s="7" t="str">
        <f t="shared" si="56"/>
        <v>October</v>
      </c>
      <c r="J334" s="8" t="str">
        <f t="shared" si="57"/>
        <v>Thursday</v>
      </c>
      <c r="K334" s="11">
        <v>0.64057870370370373</v>
      </c>
      <c r="L334" s="14">
        <f t="shared" si="58"/>
        <v>15</v>
      </c>
      <c r="M334" s="7">
        <f t="shared" si="59"/>
        <v>22</v>
      </c>
      <c r="N334" s="7">
        <f t="shared" si="60"/>
        <v>26</v>
      </c>
      <c r="O334" s="9" t="s">
        <v>66</v>
      </c>
      <c r="P334" s="9" t="s">
        <v>67</v>
      </c>
      <c r="Q334" s="9">
        <v>1</v>
      </c>
      <c r="R334" s="12">
        <v>124.72</v>
      </c>
      <c r="S334" s="12">
        <f>VLOOKUP(O334,'Product-cost'!A:B,2,)</f>
        <v>50</v>
      </c>
      <c r="T334" s="9" t="s">
        <v>28</v>
      </c>
      <c r="U334" s="9" t="s">
        <v>54</v>
      </c>
      <c r="V334" s="9" t="s">
        <v>878</v>
      </c>
      <c r="W334" s="9" t="s">
        <v>894</v>
      </c>
      <c r="X334" s="12">
        <f t="shared" si="61"/>
        <v>124.72</v>
      </c>
      <c r="Y334" s="12">
        <f t="shared" si="62"/>
        <v>50</v>
      </c>
      <c r="Z334" s="16">
        <f>VLOOKUP(T334,Taxrate!A:B,2,FALSE)</f>
        <v>0.2</v>
      </c>
      <c r="AA334" s="12">
        <f t="shared" si="63"/>
        <v>24.944000000000003</v>
      </c>
      <c r="AB334" s="16">
        <f>VLOOKUP('Sales Dataset'!O334,'Discount Rate'!A:B,2,)</f>
        <v>0.03</v>
      </c>
      <c r="AC334" s="12">
        <f t="shared" si="64"/>
        <v>1.5</v>
      </c>
      <c r="AD334" s="18">
        <f t="shared" si="65"/>
        <v>49.769999999999996</v>
      </c>
    </row>
    <row r="335" spans="1:30" ht="51" customHeight="1" x14ac:dyDescent="0.35">
      <c r="A335" s="9" t="s">
        <v>694</v>
      </c>
      <c r="B335" s="9" t="s">
        <v>695</v>
      </c>
      <c r="C335" s="9" t="s">
        <v>114</v>
      </c>
      <c r="D335" s="20" t="s">
        <v>19</v>
      </c>
      <c r="E335" s="9" t="s">
        <v>903</v>
      </c>
      <c r="F335" s="9" t="s">
        <v>904</v>
      </c>
      <c r="G335" s="8">
        <v>45864</v>
      </c>
      <c r="H335" s="7">
        <f t="shared" si="55"/>
        <v>2025</v>
      </c>
      <c r="I335" s="7" t="str">
        <f t="shared" si="56"/>
        <v>July</v>
      </c>
      <c r="J335" s="8" t="str">
        <f t="shared" si="57"/>
        <v>Saturday</v>
      </c>
      <c r="K335" s="11">
        <v>0.71454861111111112</v>
      </c>
      <c r="L335" s="14">
        <f t="shared" si="58"/>
        <v>17</v>
      </c>
      <c r="M335" s="7">
        <f t="shared" si="59"/>
        <v>8</v>
      </c>
      <c r="N335" s="7">
        <f t="shared" si="60"/>
        <v>57</v>
      </c>
      <c r="O335" s="9" t="s">
        <v>26</v>
      </c>
      <c r="P335" s="9" t="s">
        <v>27</v>
      </c>
      <c r="Q335" s="9">
        <v>5</v>
      </c>
      <c r="R335" s="12">
        <v>394.38</v>
      </c>
      <c r="S335" s="12">
        <f>VLOOKUP(O335,'Product-cost'!A:B,2,)</f>
        <v>200</v>
      </c>
      <c r="T335" s="9" t="s">
        <v>22</v>
      </c>
      <c r="U335" s="9" t="s">
        <v>46</v>
      </c>
      <c r="V335" s="9" t="s">
        <v>874</v>
      </c>
      <c r="W335" s="9" t="s">
        <v>894</v>
      </c>
      <c r="X335" s="12">
        <f t="shared" si="61"/>
        <v>1971.9</v>
      </c>
      <c r="Y335" s="12">
        <f t="shared" si="62"/>
        <v>1000</v>
      </c>
      <c r="Z335" s="16">
        <f>VLOOKUP(T335,Taxrate!A:B,2,FALSE)</f>
        <v>0.1</v>
      </c>
      <c r="AA335" s="12">
        <f t="shared" si="63"/>
        <v>197.19000000000003</v>
      </c>
      <c r="AB335" s="16">
        <f>VLOOKUP('Sales Dataset'!O335,'Discount Rate'!A:B,2,)</f>
        <v>0.08</v>
      </c>
      <c r="AC335" s="12">
        <f t="shared" si="64"/>
        <v>80</v>
      </c>
      <c r="AD335" s="18">
        <f t="shared" si="65"/>
        <v>999.81999999999994</v>
      </c>
    </row>
    <row r="336" spans="1:30" ht="51" customHeight="1" x14ac:dyDescent="0.35">
      <c r="A336" s="9" t="s">
        <v>696</v>
      </c>
      <c r="B336" s="9" t="s">
        <v>514</v>
      </c>
      <c r="C336" s="9" t="s">
        <v>107</v>
      </c>
      <c r="D336" s="20" t="s">
        <v>53</v>
      </c>
      <c r="E336" s="9" t="s">
        <v>909</v>
      </c>
      <c r="F336" s="9" t="s">
        <v>910</v>
      </c>
      <c r="G336" s="8">
        <v>45286</v>
      </c>
      <c r="H336" s="7">
        <f t="shared" si="55"/>
        <v>2023</v>
      </c>
      <c r="I336" s="7" t="str">
        <f t="shared" si="56"/>
        <v>December</v>
      </c>
      <c r="J336" s="8" t="str">
        <f t="shared" si="57"/>
        <v>Tuesday</v>
      </c>
      <c r="K336" s="11">
        <v>0.42716435185185186</v>
      </c>
      <c r="L336" s="14">
        <f t="shared" si="58"/>
        <v>10</v>
      </c>
      <c r="M336" s="7">
        <f t="shared" si="59"/>
        <v>15</v>
      </c>
      <c r="N336" s="7">
        <f t="shared" si="60"/>
        <v>7</v>
      </c>
      <c r="O336" s="9" t="s">
        <v>13</v>
      </c>
      <c r="P336" s="9" t="s">
        <v>14</v>
      </c>
      <c r="Q336" s="9">
        <v>10</v>
      </c>
      <c r="R336" s="12">
        <v>930.2</v>
      </c>
      <c r="S336" s="12">
        <f>VLOOKUP(O336,'Product-cost'!A:B,2,)</f>
        <v>600</v>
      </c>
      <c r="T336" s="9" t="s">
        <v>28</v>
      </c>
      <c r="U336" s="9" t="s">
        <v>206</v>
      </c>
      <c r="V336" s="9" t="s">
        <v>872</v>
      </c>
      <c r="W336" s="9" t="s">
        <v>896</v>
      </c>
      <c r="X336" s="12">
        <f t="shared" si="61"/>
        <v>9302</v>
      </c>
      <c r="Y336" s="12">
        <f t="shared" si="62"/>
        <v>6000</v>
      </c>
      <c r="Z336" s="16">
        <f>VLOOKUP(T336,Taxrate!A:B,2,FALSE)</f>
        <v>0.2</v>
      </c>
      <c r="AA336" s="12">
        <f t="shared" si="63"/>
        <v>1860.4</v>
      </c>
      <c r="AB336" s="16">
        <f>VLOOKUP('Sales Dataset'!O336,'Discount Rate'!A:B,2,)</f>
        <v>0.05</v>
      </c>
      <c r="AC336" s="12">
        <f t="shared" si="64"/>
        <v>300</v>
      </c>
      <c r="AD336" s="18">
        <f t="shared" si="65"/>
        <v>5999.75</v>
      </c>
    </row>
    <row r="337" spans="1:30" ht="51" customHeight="1" x14ac:dyDescent="0.35">
      <c r="A337" s="9" t="s">
        <v>697</v>
      </c>
      <c r="B337" s="9" t="s">
        <v>138</v>
      </c>
      <c r="C337" s="9" t="s">
        <v>107</v>
      </c>
      <c r="D337" s="20" t="s">
        <v>53</v>
      </c>
      <c r="E337" s="9" t="s">
        <v>909</v>
      </c>
      <c r="F337" s="9" t="s">
        <v>910</v>
      </c>
      <c r="G337" s="8">
        <v>44978</v>
      </c>
      <c r="H337" s="7">
        <f t="shared" si="55"/>
        <v>2023</v>
      </c>
      <c r="I337" s="7" t="str">
        <f t="shared" si="56"/>
        <v>February</v>
      </c>
      <c r="J337" s="8" t="str">
        <f t="shared" si="57"/>
        <v>Tuesday</v>
      </c>
      <c r="K337" s="11">
        <v>0.65913194444444445</v>
      </c>
      <c r="L337" s="14">
        <f t="shared" si="58"/>
        <v>15</v>
      </c>
      <c r="M337" s="7">
        <f t="shared" si="59"/>
        <v>49</v>
      </c>
      <c r="N337" s="7">
        <f t="shared" si="60"/>
        <v>9</v>
      </c>
      <c r="O337" s="9" t="s">
        <v>66</v>
      </c>
      <c r="P337" s="9" t="s">
        <v>67</v>
      </c>
      <c r="Q337" s="9">
        <v>3</v>
      </c>
      <c r="R337" s="12">
        <v>500</v>
      </c>
      <c r="S337" s="12">
        <f>VLOOKUP(O337,'Product-cost'!A:B,2,)</f>
        <v>50</v>
      </c>
      <c r="T337" s="9" t="s">
        <v>49</v>
      </c>
      <c r="U337" s="9" t="s">
        <v>206</v>
      </c>
      <c r="V337" s="9" t="s">
        <v>875</v>
      </c>
      <c r="W337" s="9" t="s">
        <v>894</v>
      </c>
      <c r="X337" s="12">
        <f t="shared" si="61"/>
        <v>1500</v>
      </c>
      <c r="Y337" s="12">
        <f t="shared" si="62"/>
        <v>150</v>
      </c>
      <c r="Z337" s="16">
        <f>VLOOKUP(T337,Taxrate!A:B,2,FALSE)</f>
        <v>0.12</v>
      </c>
      <c r="AA337" s="12">
        <f t="shared" si="63"/>
        <v>180</v>
      </c>
      <c r="AB337" s="16">
        <f>VLOOKUP('Sales Dataset'!O337,'Discount Rate'!A:B,2,)</f>
        <v>0.03</v>
      </c>
      <c r="AC337" s="12">
        <f t="shared" si="64"/>
        <v>4.5</v>
      </c>
      <c r="AD337" s="18">
        <f t="shared" si="65"/>
        <v>149.85</v>
      </c>
    </row>
    <row r="338" spans="1:30" ht="51" customHeight="1" x14ac:dyDescent="0.35">
      <c r="A338" s="9" t="s">
        <v>698</v>
      </c>
      <c r="B338" s="9" t="s">
        <v>699</v>
      </c>
      <c r="C338" s="9" t="s">
        <v>117</v>
      </c>
      <c r="D338" s="20" t="s">
        <v>19</v>
      </c>
      <c r="E338" s="9" t="s">
        <v>903</v>
      </c>
      <c r="F338" s="9" t="s">
        <v>904</v>
      </c>
      <c r="G338" s="8">
        <v>45832</v>
      </c>
      <c r="H338" s="7">
        <f t="shared" si="55"/>
        <v>2025</v>
      </c>
      <c r="I338" s="7" t="str">
        <f t="shared" si="56"/>
        <v>June</v>
      </c>
      <c r="J338" s="8" t="str">
        <f t="shared" si="57"/>
        <v>Tuesday</v>
      </c>
      <c r="K338" s="11">
        <v>0.79706018518518518</v>
      </c>
      <c r="L338" s="14">
        <f t="shared" si="58"/>
        <v>19</v>
      </c>
      <c r="M338" s="7">
        <f t="shared" si="59"/>
        <v>7</v>
      </c>
      <c r="N338" s="7">
        <f t="shared" si="60"/>
        <v>46</v>
      </c>
      <c r="O338" s="9" t="s">
        <v>66</v>
      </c>
      <c r="P338" s="9" t="s">
        <v>67</v>
      </c>
      <c r="Q338" s="9">
        <v>3</v>
      </c>
      <c r="R338" s="12">
        <v>128.77000000000001</v>
      </c>
      <c r="S338" s="12">
        <f>VLOOKUP(O338,'Product-cost'!A:B,2,)</f>
        <v>50</v>
      </c>
      <c r="T338" s="9" t="s">
        <v>45</v>
      </c>
      <c r="U338" s="9" t="s">
        <v>23</v>
      </c>
      <c r="V338" s="9" t="s">
        <v>883</v>
      </c>
      <c r="W338" s="9" t="s">
        <v>894</v>
      </c>
      <c r="X338" s="12">
        <f t="shared" si="61"/>
        <v>386.31000000000006</v>
      </c>
      <c r="Y338" s="12">
        <f t="shared" si="62"/>
        <v>150</v>
      </c>
      <c r="Z338" s="16">
        <f>VLOOKUP(T338,Taxrate!A:B,2,FALSE)</f>
        <v>7.0000000000000007E-2</v>
      </c>
      <c r="AA338" s="12">
        <f t="shared" si="63"/>
        <v>27.041700000000006</v>
      </c>
      <c r="AB338" s="16">
        <f>VLOOKUP('Sales Dataset'!O338,'Discount Rate'!A:B,2,)</f>
        <v>0.03</v>
      </c>
      <c r="AC338" s="12">
        <f t="shared" si="64"/>
        <v>4.5</v>
      </c>
      <c r="AD338" s="18">
        <f t="shared" si="65"/>
        <v>149.9</v>
      </c>
    </row>
    <row r="339" spans="1:30" ht="51" customHeight="1" x14ac:dyDescent="0.35">
      <c r="A339" s="9" t="s">
        <v>700</v>
      </c>
      <c r="B339" s="9" t="s">
        <v>701</v>
      </c>
      <c r="C339" s="9" t="s">
        <v>18</v>
      </c>
      <c r="D339" s="20" t="s">
        <v>19</v>
      </c>
      <c r="E339" s="9" t="s">
        <v>903</v>
      </c>
      <c r="F339" s="9" t="s">
        <v>904</v>
      </c>
      <c r="G339" s="8">
        <v>45414</v>
      </c>
      <c r="H339" s="7">
        <f t="shared" si="55"/>
        <v>2024</v>
      </c>
      <c r="I339" s="7" t="str">
        <f t="shared" si="56"/>
        <v>May</v>
      </c>
      <c r="J339" s="8" t="str">
        <f t="shared" si="57"/>
        <v>Thursday</v>
      </c>
      <c r="K339" s="11">
        <v>0.39923611111111112</v>
      </c>
      <c r="L339" s="14">
        <f t="shared" si="58"/>
        <v>9</v>
      </c>
      <c r="M339" s="7">
        <f t="shared" si="59"/>
        <v>34</v>
      </c>
      <c r="N339" s="7">
        <f t="shared" si="60"/>
        <v>54</v>
      </c>
      <c r="O339" s="9" t="s">
        <v>66</v>
      </c>
      <c r="P339" s="9" t="s">
        <v>67</v>
      </c>
      <c r="Q339" s="9">
        <v>2</v>
      </c>
      <c r="R339" s="12">
        <v>149.58000000000001</v>
      </c>
      <c r="S339" s="12">
        <f>VLOOKUP(O339,'Product-cost'!A:B,2,)</f>
        <v>50</v>
      </c>
      <c r="T339" s="9" t="s">
        <v>34</v>
      </c>
      <c r="U339" s="9" t="s">
        <v>23</v>
      </c>
      <c r="V339" s="9" t="s">
        <v>869</v>
      </c>
      <c r="W339" s="9" t="s">
        <v>894</v>
      </c>
      <c r="X339" s="12">
        <f t="shared" si="61"/>
        <v>299.16000000000003</v>
      </c>
      <c r="Y339" s="12">
        <f t="shared" si="62"/>
        <v>100</v>
      </c>
      <c r="Z339" s="16">
        <f>VLOOKUP(T339,Taxrate!A:B,2,FALSE)</f>
        <v>0.15</v>
      </c>
      <c r="AA339" s="12">
        <f t="shared" si="63"/>
        <v>44.874000000000002</v>
      </c>
      <c r="AB339" s="16">
        <f>VLOOKUP('Sales Dataset'!O339,'Discount Rate'!A:B,2,)</f>
        <v>0.03</v>
      </c>
      <c r="AC339" s="12">
        <f t="shared" si="64"/>
        <v>3</v>
      </c>
      <c r="AD339" s="18">
        <f t="shared" si="65"/>
        <v>99.82</v>
      </c>
    </row>
    <row r="340" spans="1:30" ht="51" customHeight="1" x14ac:dyDescent="0.35">
      <c r="A340" s="9" t="s">
        <v>702</v>
      </c>
      <c r="B340" s="9" t="s">
        <v>703</v>
      </c>
      <c r="C340" s="9" t="s">
        <v>32</v>
      </c>
      <c r="D340" s="20" t="s">
        <v>33</v>
      </c>
      <c r="E340" s="9" t="s">
        <v>905</v>
      </c>
      <c r="F340" s="9" t="s">
        <v>906</v>
      </c>
      <c r="G340" s="8">
        <v>45420</v>
      </c>
      <c r="H340" s="7">
        <f t="shared" si="55"/>
        <v>2024</v>
      </c>
      <c r="I340" s="7" t="str">
        <f t="shared" si="56"/>
        <v>May</v>
      </c>
      <c r="J340" s="8" t="str">
        <f t="shared" si="57"/>
        <v>Wednesday</v>
      </c>
      <c r="K340" s="11">
        <v>0.55518518518518523</v>
      </c>
      <c r="L340" s="14">
        <f t="shared" si="58"/>
        <v>13</v>
      </c>
      <c r="M340" s="7">
        <f t="shared" si="59"/>
        <v>19</v>
      </c>
      <c r="N340" s="7">
        <f t="shared" si="60"/>
        <v>28</v>
      </c>
      <c r="O340" s="9" t="s">
        <v>40</v>
      </c>
      <c r="P340" s="9" t="s">
        <v>41</v>
      </c>
      <c r="Q340" s="9">
        <v>7</v>
      </c>
      <c r="R340" s="12">
        <v>224.86</v>
      </c>
      <c r="S340" s="12">
        <f>VLOOKUP(O340,'Product-cost'!A:B,2,)</f>
        <v>150</v>
      </c>
      <c r="T340" s="9" t="s">
        <v>34</v>
      </c>
      <c r="U340" s="9" t="s">
        <v>77</v>
      </c>
      <c r="V340" s="9" t="s">
        <v>882</v>
      </c>
      <c r="W340" s="9" t="s">
        <v>895</v>
      </c>
      <c r="X340" s="12">
        <f t="shared" si="61"/>
        <v>1574.02</v>
      </c>
      <c r="Y340" s="12">
        <f t="shared" si="62"/>
        <v>1050</v>
      </c>
      <c r="Z340" s="16">
        <f>VLOOKUP(T340,Taxrate!A:B,2,FALSE)</f>
        <v>0.15</v>
      </c>
      <c r="AA340" s="12">
        <f t="shared" si="63"/>
        <v>236.10299999999998</v>
      </c>
      <c r="AB340" s="16">
        <f>VLOOKUP('Sales Dataset'!O340,'Discount Rate'!A:B,2,)</f>
        <v>7.0000000000000007E-2</v>
      </c>
      <c r="AC340" s="12">
        <f t="shared" si="64"/>
        <v>73.5</v>
      </c>
      <c r="AD340" s="18">
        <f t="shared" si="65"/>
        <v>1049.78</v>
      </c>
    </row>
    <row r="341" spans="1:30" ht="51" customHeight="1" x14ac:dyDescent="0.35">
      <c r="A341" s="9" t="s">
        <v>704</v>
      </c>
      <c r="B341" s="9" t="s">
        <v>705</v>
      </c>
      <c r="C341" s="9" t="s">
        <v>60</v>
      </c>
      <c r="D341" s="20" t="s">
        <v>61</v>
      </c>
      <c r="E341" s="9" t="s">
        <v>911</v>
      </c>
      <c r="F341" s="9" t="s">
        <v>912</v>
      </c>
      <c r="G341" s="8">
        <v>45294</v>
      </c>
      <c r="H341" s="7">
        <f t="shared" si="55"/>
        <v>2024</v>
      </c>
      <c r="I341" s="7" t="str">
        <f t="shared" si="56"/>
        <v>January</v>
      </c>
      <c r="J341" s="8" t="str">
        <f t="shared" si="57"/>
        <v>Wednesday</v>
      </c>
      <c r="K341" s="11">
        <v>0.66357638888888892</v>
      </c>
      <c r="L341" s="14">
        <f t="shared" si="58"/>
        <v>15</v>
      </c>
      <c r="M341" s="7">
        <f t="shared" si="59"/>
        <v>55</v>
      </c>
      <c r="N341" s="7">
        <f t="shared" si="60"/>
        <v>33</v>
      </c>
      <c r="O341" s="9" t="s">
        <v>26</v>
      </c>
      <c r="P341" s="9" t="s">
        <v>27</v>
      </c>
      <c r="Q341" s="9">
        <v>7</v>
      </c>
      <c r="R341" s="12">
        <v>471.22</v>
      </c>
      <c r="S341" s="12">
        <f>VLOOKUP(O341,'Product-cost'!A:B,2,)</f>
        <v>200</v>
      </c>
      <c r="T341" s="9" t="s">
        <v>45</v>
      </c>
      <c r="U341" s="9" t="s">
        <v>158</v>
      </c>
      <c r="V341" s="9" t="s">
        <v>877</v>
      </c>
      <c r="W341" s="9" t="s">
        <v>894</v>
      </c>
      <c r="X341" s="12">
        <f t="shared" si="61"/>
        <v>3298.54</v>
      </c>
      <c r="Y341" s="12">
        <f t="shared" si="62"/>
        <v>1400</v>
      </c>
      <c r="Z341" s="16">
        <f>VLOOKUP(T341,Taxrate!A:B,2,FALSE)</f>
        <v>7.0000000000000007E-2</v>
      </c>
      <c r="AA341" s="12">
        <f t="shared" si="63"/>
        <v>230.89780000000002</v>
      </c>
      <c r="AB341" s="16">
        <f>VLOOKUP('Sales Dataset'!O341,'Discount Rate'!A:B,2,)</f>
        <v>0.08</v>
      </c>
      <c r="AC341" s="12">
        <f t="shared" si="64"/>
        <v>112</v>
      </c>
      <c r="AD341" s="18">
        <f t="shared" si="65"/>
        <v>1399.8500000000001</v>
      </c>
    </row>
    <row r="342" spans="1:30" ht="51" customHeight="1" x14ac:dyDescent="0.35">
      <c r="A342" s="9" t="s">
        <v>706</v>
      </c>
      <c r="B342" s="9" t="s">
        <v>707</v>
      </c>
      <c r="C342" s="9" t="s">
        <v>163</v>
      </c>
      <c r="D342" s="20" t="s">
        <v>53</v>
      </c>
      <c r="E342" s="9" t="s">
        <v>909</v>
      </c>
      <c r="F342" s="9" t="s">
        <v>910</v>
      </c>
      <c r="G342" s="8">
        <v>45708</v>
      </c>
      <c r="H342" s="7">
        <f t="shared" si="55"/>
        <v>2025</v>
      </c>
      <c r="I342" s="7" t="str">
        <f t="shared" si="56"/>
        <v>February</v>
      </c>
      <c r="J342" s="8" t="str">
        <f t="shared" si="57"/>
        <v>Thursday</v>
      </c>
      <c r="K342" s="11">
        <v>0.68821759259259263</v>
      </c>
      <c r="L342" s="14">
        <f t="shared" si="58"/>
        <v>16</v>
      </c>
      <c r="M342" s="7">
        <f t="shared" si="59"/>
        <v>31</v>
      </c>
      <c r="N342" s="7">
        <f t="shared" si="60"/>
        <v>2</v>
      </c>
      <c r="O342" s="9" t="s">
        <v>26</v>
      </c>
      <c r="P342" s="9" t="s">
        <v>27</v>
      </c>
      <c r="Q342" s="9">
        <v>5</v>
      </c>
      <c r="R342" s="12">
        <v>467.97</v>
      </c>
      <c r="S342" s="12">
        <f>VLOOKUP(O342,'Product-cost'!A:B,2,)</f>
        <v>200</v>
      </c>
      <c r="T342" s="9" t="s">
        <v>28</v>
      </c>
      <c r="U342" s="9" t="s">
        <v>54</v>
      </c>
      <c r="V342" s="9" t="s">
        <v>872</v>
      </c>
      <c r="W342" s="9" t="s">
        <v>896</v>
      </c>
      <c r="X342" s="12">
        <f t="shared" si="61"/>
        <v>2339.8500000000004</v>
      </c>
      <c r="Y342" s="12">
        <f t="shared" si="62"/>
        <v>1000</v>
      </c>
      <c r="Z342" s="16">
        <f>VLOOKUP(T342,Taxrate!A:B,2,FALSE)</f>
        <v>0.2</v>
      </c>
      <c r="AA342" s="12">
        <f t="shared" si="63"/>
        <v>467.97000000000008</v>
      </c>
      <c r="AB342" s="16">
        <f>VLOOKUP('Sales Dataset'!O342,'Discount Rate'!A:B,2,)</f>
        <v>0.08</v>
      </c>
      <c r="AC342" s="12">
        <f t="shared" si="64"/>
        <v>80</v>
      </c>
      <c r="AD342" s="18">
        <f t="shared" si="65"/>
        <v>999.71999999999991</v>
      </c>
    </row>
    <row r="343" spans="1:30" ht="51" customHeight="1" x14ac:dyDescent="0.35">
      <c r="A343" s="9" t="s">
        <v>708</v>
      </c>
      <c r="B343" s="9" t="s">
        <v>709</v>
      </c>
      <c r="C343" s="9" t="s">
        <v>65</v>
      </c>
      <c r="D343" s="20" t="s">
        <v>53</v>
      </c>
      <c r="E343" s="9" t="s">
        <v>909</v>
      </c>
      <c r="F343" s="9" t="s">
        <v>910</v>
      </c>
      <c r="G343" s="8">
        <v>44985</v>
      </c>
      <c r="H343" s="7">
        <f t="shared" si="55"/>
        <v>2023</v>
      </c>
      <c r="I343" s="7" t="str">
        <f t="shared" si="56"/>
        <v>February</v>
      </c>
      <c r="J343" s="8" t="str">
        <f t="shared" si="57"/>
        <v>Tuesday</v>
      </c>
      <c r="K343" s="11">
        <v>0.8454976851851852</v>
      </c>
      <c r="L343" s="14">
        <f t="shared" si="58"/>
        <v>20</v>
      </c>
      <c r="M343" s="7">
        <f t="shared" si="59"/>
        <v>17</v>
      </c>
      <c r="N343" s="7">
        <f t="shared" si="60"/>
        <v>31</v>
      </c>
      <c r="O343" s="9" t="s">
        <v>13</v>
      </c>
      <c r="P343" s="9" t="s">
        <v>14</v>
      </c>
      <c r="Q343" s="9">
        <v>6</v>
      </c>
      <c r="R343" s="12">
        <v>1082.79</v>
      </c>
      <c r="S343" s="12">
        <f>VLOOKUP(O343,'Product-cost'!A:B,2,)</f>
        <v>600</v>
      </c>
      <c r="T343" s="9" t="s">
        <v>22</v>
      </c>
      <c r="U343" s="9" t="s">
        <v>68</v>
      </c>
      <c r="V343" s="9" t="s">
        <v>870</v>
      </c>
      <c r="W343" s="9" t="s">
        <v>894</v>
      </c>
      <c r="X343" s="12">
        <f t="shared" si="61"/>
        <v>6496.74</v>
      </c>
      <c r="Y343" s="12">
        <f t="shared" si="62"/>
        <v>3600</v>
      </c>
      <c r="Z343" s="16">
        <f>VLOOKUP(T343,Taxrate!A:B,2,FALSE)</f>
        <v>0.1</v>
      </c>
      <c r="AA343" s="12">
        <f t="shared" si="63"/>
        <v>649.67399999999998</v>
      </c>
      <c r="AB343" s="16">
        <f>VLOOKUP('Sales Dataset'!O343,'Discount Rate'!A:B,2,)</f>
        <v>0.05</v>
      </c>
      <c r="AC343" s="12">
        <f t="shared" si="64"/>
        <v>180</v>
      </c>
      <c r="AD343" s="18">
        <f t="shared" si="65"/>
        <v>3599.85</v>
      </c>
    </row>
    <row r="344" spans="1:30" ht="51" customHeight="1" x14ac:dyDescent="0.35">
      <c r="A344" s="9" t="s">
        <v>710</v>
      </c>
      <c r="B344" s="9" t="s">
        <v>711</v>
      </c>
      <c r="C344" s="9" t="s">
        <v>52</v>
      </c>
      <c r="D344" s="20" t="s">
        <v>53</v>
      </c>
      <c r="E344" s="9" t="s">
        <v>909</v>
      </c>
      <c r="F344" s="9" t="s">
        <v>910</v>
      </c>
      <c r="G344" s="8">
        <v>45046</v>
      </c>
      <c r="H344" s="7">
        <f t="shared" si="55"/>
        <v>2023</v>
      </c>
      <c r="I344" s="7" t="str">
        <f t="shared" si="56"/>
        <v>April</v>
      </c>
      <c r="J344" s="8" t="str">
        <f t="shared" si="57"/>
        <v>Sunday</v>
      </c>
      <c r="K344" s="11">
        <v>0.56245370370370373</v>
      </c>
      <c r="L344" s="14">
        <f t="shared" si="58"/>
        <v>13</v>
      </c>
      <c r="M344" s="7">
        <f t="shared" si="59"/>
        <v>29</v>
      </c>
      <c r="N344" s="7">
        <f t="shared" si="60"/>
        <v>56</v>
      </c>
      <c r="O344" s="9" t="s">
        <v>20</v>
      </c>
      <c r="P344" s="9" t="s">
        <v>21</v>
      </c>
      <c r="Q344" s="9">
        <v>1</v>
      </c>
      <c r="R344" s="12">
        <v>605.85</v>
      </c>
      <c r="S344" s="12">
        <f>VLOOKUP(O344,'Product-cost'!A:B,2,)</f>
        <v>300</v>
      </c>
      <c r="T344" s="9" t="s">
        <v>22</v>
      </c>
      <c r="U344" s="9" t="s">
        <v>54</v>
      </c>
      <c r="V344" s="9" t="s">
        <v>883</v>
      </c>
      <c r="W344" s="9" t="s">
        <v>894</v>
      </c>
      <c r="X344" s="12">
        <f t="shared" si="61"/>
        <v>605.85</v>
      </c>
      <c r="Y344" s="12">
        <f t="shared" si="62"/>
        <v>300</v>
      </c>
      <c r="Z344" s="16">
        <f>VLOOKUP(T344,Taxrate!A:B,2,FALSE)</f>
        <v>0.1</v>
      </c>
      <c r="AA344" s="12">
        <f t="shared" si="63"/>
        <v>60.585000000000008</v>
      </c>
      <c r="AB344" s="16">
        <f>VLOOKUP('Sales Dataset'!O344,'Discount Rate'!A:B,2,)</f>
        <v>0.1</v>
      </c>
      <c r="AC344" s="12">
        <f t="shared" si="64"/>
        <v>30</v>
      </c>
      <c r="AD344" s="18">
        <f t="shared" si="65"/>
        <v>299.79999999999995</v>
      </c>
    </row>
    <row r="345" spans="1:30" ht="51" customHeight="1" x14ac:dyDescent="0.35">
      <c r="A345" s="9" t="s">
        <v>712</v>
      </c>
      <c r="B345" s="9" t="s">
        <v>713</v>
      </c>
      <c r="C345" s="9" t="s">
        <v>83</v>
      </c>
      <c r="D345" s="20" t="s">
        <v>84</v>
      </c>
      <c r="E345" s="9" t="s">
        <v>913</v>
      </c>
      <c r="F345" s="9" t="s">
        <v>914</v>
      </c>
      <c r="G345" s="8">
        <v>46040</v>
      </c>
      <c r="H345" s="7">
        <f t="shared" si="55"/>
        <v>2026</v>
      </c>
      <c r="I345" s="7" t="str">
        <f t="shared" si="56"/>
        <v>January</v>
      </c>
      <c r="J345" s="8" t="str">
        <f t="shared" si="57"/>
        <v>Sunday</v>
      </c>
      <c r="K345" s="11">
        <v>0.88949074074074075</v>
      </c>
      <c r="L345" s="14">
        <f t="shared" si="58"/>
        <v>21</v>
      </c>
      <c r="M345" s="7">
        <f t="shared" si="59"/>
        <v>20</v>
      </c>
      <c r="N345" s="7">
        <f t="shared" si="60"/>
        <v>52</v>
      </c>
      <c r="O345" s="9" t="s">
        <v>26</v>
      </c>
      <c r="P345" s="9" t="s">
        <v>27</v>
      </c>
      <c r="Q345" s="9">
        <v>12</v>
      </c>
      <c r="R345" s="12">
        <v>339.17</v>
      </c>
      <c r="S345" s="12">
        <f>VLOOKUP(O345,'Product-cost'!A:B,2,)</f>
        <v>200</v>
      </c>
      <c r="T345" s="9" t="s">
        <v>49</v>
      </c>
      <c r="U345" s="9" t="s">
        <v>183</v>
      </c>
      <c r="V345" s="9" t="s">
        <v>872</v>
      </c>
      <c r="W345" s="9" t="s">
        <v>896</v>
      </c>
      <c r="X345" s="12">
        <f t="shared" si="61"/>
        <v>4070.04</v>
      </c>
      <c r="Y345" s="12">
        <f t="shared" si="62"/>
        <v>2400</v>
      </c>
      <c r="Z345" s="16">
        <f>VLOOKUP(T345,Taxrate!A:B,2,FALSE)</f>
        <v>0.12</v>
      </c>
      <c r="AA345" s="12">
        <f t="shared" si="63"/>
        <v>488.40479999999997</v>
      </c>
      <c r="AB345" s="16">
        <f>VLOOKUP('Sales Dataset'!O345,'Discount Rate'!A:B,2,)</f>
        <v>0.08</v>
      </c>
      <c r="AC345" s="12">
        <f t="shared" si="64"/>
        <v>192</v>
      </c>
      <c r="AD345" s="18">
        <f t="shared" si="65"/>
        <v>2399.8000000000002</v>
      </c>
    </row>
    <row r="346" spans="1:30" ht="51" customHeight="1" x14ac:dyDescent="0.35">
      <c r="A346" s="9" t="s">
        <v>714</v>
      </c>
      <c r="B346" s="9" t="s">
        <v>31</v>
      </c>
      <c r="C346" s="9" t="s">
        <v>11</v>
      </c>
      <c r="D346" s="20" t="s">
        <v>12</v>
      </c>
      <c r="E346" s="9" t="s">
        <v>901</v>
      </c>
      <c r="F346" s="9" t="s">
        <v>902</v>
      </c>
      <c r="G346" s="8">
        <v>45243</v>
      </c>
      <c r="H346" s="7">
        <f t="shared" si="55"/>
        <v>2023</v>
      </c>
      <c r="I346" s="7" t="str">
        <f t="shared" si="56"/>
        <v>November</v>
      </c>
      <c r="J346" s="8" t="str">
        <f t="shared" si="57"/>
        <v>Monday</v>
      </c>
      <c r="K346" s="11">
        <v>0.88391203703703702</v>
      </c>
      <c r="L346" s="14">
        <f t="shared" si="58"/>
        <v>21</v>
      </c>
      <c r="M346" s="7">
        <f t="shared" si="59"/>
        <v>12</v>
      </c>
      <c r="N346" s="7">
        <f t="shared" si="60"/>
        <v>50</v>
      </c>
      <c r="O346" s="9" t="s">
        <v>40</v>
      </c>
      <c r="P346" s="9" t="s">
        <v>41</v>
      </c>
      <c r="Q346" s="9">
        <v>14</v>
      </c>
      <c r="R346" s="12">
        <v>269.07</v>
      </c>
      <c r="S346" s="12">
        <f>VLOOKUP(O346,'Product-cost'!A:B,2,)</f>
        <v>150</v>
      </c>
      <c r="T346" s="9" t="s">
        <v>49</v>
      </c>
      <c r="U346" s="9" t="s">
        <v>15</v>
      </c>
      <c r="V346" s="9" t="s">
        <v>872</v>
      </c>
      <c r="W346" s="9" t="s">
        <v>896</v>
      </c>
      <c r="X346" s="12">
        <f t="shared" si="61"/>
        <v>3766.98</v>
      </c>
      <c r="Y346" s="12">
        <f t="shared" si="62"/>
        <v>2100</v>
      </c>
      <c r="Z346" s="16">
        <f>VLOOKUP(T346,Taxrate!A:B,2,FALSE)</f>
        <v>0.12</v>
      </c>
      <c r="AA346" s="12">
        <f t="shared" si="63"/>
        <v>452.0376</v>
      </c>
      <c r="AB346" s="16">
        <f>VLOOKUP('Sales Dataset'!O346,'Discount Rate'!A:B,2,)</f>
        <v>7.0000000000000007E-2</v>
      </c>
      <c r="AC346" s="12">
        <f t="shared" si="64"/>
        <v>147</v>
      </c>
      <c r="AD346" s="18">
        <f t="shared" si="65"/>
        <v>2099.81</v>
      </c>
    </row>
    <row r="347" spans="1:30" ht="51" customHeight="1" x14ac:dyDescent="0.35">
      <c r="A347" s="9" t="s">
        <v>715</v>
      </c>
      <c r="B347" s="9" t="s">
        <v>716</v>
      </c>
      <c r="C347" s="9" t="s">
        <v>107</v>
      </c>
      <c r="D347" s="20" t="s">
        <v>53</v>
      </c>
      <c r="E347" s="9" t="s">
        <v>909</v>
      </c>
      <c r="F347" s="9" t="s">
        <v>910</v>
      </c>
      <c r="G347" s="8">
        <v>45270</v>
      </c>
      <c r="H347" s="7">
        <f t="shared" si="55"/>
        <v>2023</v>
      </c>
      <c r="I347" s="7" t="str">
        <f t="shared" si="56"/>
        <v>December</v>
      </c>
      <c r="J347" s="8" t="str">
        <f t="shared" si="57"/>
        <v>Sunday</v>
      </c>
      <c r="K347" s="11">
        <v>0.7318055555555556</v>
      </c>
      <c r="L347" s="14">
        <f t="shared" si="58"/>
        <v>17</v>
      </c>
      <c r="M347" s="7">
        <f t="shared" si="59"/>
        <v>33</v>
      </c>
      <c r="N347" s="7">
        <f t="shared" si="60"/>
        <v>48</v>
      </c>
      <c r="O347" s="9" t="s">
        <v>26</v>
      </c>
      <c r="P347" s="9" t="s">
        <v>27</v>
      </c>
      <c r="Q347" s="9">
        <v>5</v>
      </c>
      <c r="R347" s="12">
        <v>500</v>
      </c>
      <c r="S347" s="12">
        <f>VLOOKUP(O347,'Product-cost'!A:B,2,)</f>
        <v>200</v>
      </c>
      <c r="T347" s="9" t="s">
        <v>45</v>
      </c>
      <c r="U347" s="9" t="s">
        <v>54</v>
      </c>
      <c r="V347" s="9" t="s">
        <v>871</v>
      </c>
      <c r="W347" s="9" t="s">
        <v>894</v>
      </c>
      <c r="X347" s="12">
        <f t="shared" si="61"/>
        <v>2500</v>
      </c>
      <c r="Y347" s="12">
        <f t="shared" si="62"/>
        <v>1000</v>
      </c>
      <c r="Z347" s="16">
        <f>VLOOKUP(T347,Taxrate!A:B,2,FALSE)</f>
        <v>7.0000000000000007E-2</v>
      </c>
      <c r="AA347" s="12">
        <f t="shared" si="63"/>
        <v>175.00000000000003</v>
      </c>
      <c r="AB347" s="16">
        <f>VLOOKUP('Sales Dataset'!O347,'Discount Rate'!A:B,2,)</f>
        <v>0.08</v>
      </c>
      <c r="AC347" s="12">
        <f t="shared" si="64"/>
        <v>80</v>
      </c>
      <c r="AD347" s="18">
        <f t="shared" si="65"/>
        <v>999.84999999999991</v>
      </c>
    </row>
    <row r="348" spans="1:30" ht="51" customHeight="1" x14ac:dyDescent="0.35">
      <c r="A348" s="9" t="s">
        <v>717</v>
      </c>
      <c r="B348" s="9" t="s">
        <v>718</v>
      </c>
      <c r="C348" s="9" t="s">
        <v>11</v>
      </c>
      <c r="D348" s="20" t="s">
        <v>12</v>
      </c>
      <c r="E348" s="9" t="s">
        <v>901</v>
      </c>
      <c r="F348" s="9" t="s">
        <v>902</v>
      </c>
      <c r="G348" s="8">
        <v>45140</v>
      </c>
      <c r="H348" s="7">
        <f t="shared" si="55"/>
        <v>2023</v>
      </c>
      <c r="I348" s="7" t="str">
        <f t="shared" si="56"/>
        <v>August</v>
      </c>
      <c r="J348" s="8" t="str">
        <f t="shared" si="57"/>
        <v>Wednesday</v>
      </c>
      <c r="K348" s="11">
        <v>0.85210648148148149</v>
      </c>
      <c r="L348" s="14">
        <f t="shared" si="58"/>
        <v>20</v>
      </c>
      <c r="M348" s="7">
        <f t="shared" si="59"/>
        <v>27</v>
      </c>
      <c r="N348" s="7">
        <f t="shared" si="60"/>
        <v>2</v>
      </c>
      <c r="O348" s="9" t="s">
        <v>20</v>
      </c>
      <c r="P348" s="9" t="s">
        <v>21</v>
      </c>
      <c r="Q348" s="9">
        <v>13</v>
      </c>
      <c r="R348" s="12">
        <v>657.95</v>
      </c>
      <c r="S348" s="12">
        <f>VLOOKUP(O348,'Product-cost'!A:B,2,)</f>
        <v>300</v>
      </c>
      <c r="T348" s="9" t="s">
        <v>34</v>
      </c>
      <c r="U348" s="9" t="s">
        <v>15</v>
      </c>
      <c r="V348" s="9" t="s">
        <v>868</v>
      </c>
      <c r="W348" s="9" t="s">
        <v>894</v>
      </c>
      <c r="X348" s="12">
        <f t="shared" si="61"/>
        <v>8553.35</v>
      </c>
      <c r="Y348" s="12">
        <f t="shared" si="62"/>
        <v>3900</v>
      </c>
      <c r="Z348" s="16">
        <f>VLOOKUP(T348,Taxrate!A:B,2,FALSE)</f>
        <v>0.15</v>
      </c>
      <c r="AA348" s="12">
        <f t="shared" si="63"/>
        <v>1283.0025000000001</v>
      </c>
      <c r="AB348" s="16">
        <f>VLOOKUP('Sales Dataset'!O348,'Discount Rate'!A:B,2,)</f>
        <v>0.1</v>
      </c>
      <c r="AC348" s="12">
        <f t="shared" si="64"/>
        <v>390</v>
      </c>
      <c r="AD348" s="18">
        <f t="shared" si="65"/>
        <v>3899.75</v>
      </c>
    </row>
    <row r="349" spans="1:30" ht="51" customHeight="1" x14ac:dyDescent="0.35">
      <c r="A349" s="9" t="s">
        <v>719</v>
      </c>
      <c r="B349" s="9" t="s">
        <v>287</v>
      </c>
      <c r="C349" s="9" t="s">
        <v>150</v>
      </c>
      <c r="D349" s="20" t="s">
        <v>33</v>
      </c>
      <c r="E349" s="9" t="s">
        <v>905</v>
      </c>
      <c r="F349" s="9" t="s">
        <v>906</v>
      </c>
      <c r="G349" s="8">
        <v>45305</v>
      </c>
      <c r="H349" s="7">
        <f t="shared" si="55"/>
        <v>2024</v>
      </c>
      <c r="I349" s="7" t="str">
        <f t="shared" si="56"/>
        <v>January</v>
      </c>
      <c r="J349" s="8" t="str">
        <f t="shared" si="57"/>
        <v>Sunday</v>
      </c>
      <c r="K349" s="11">
        <v>0.33690972222222221</v>
      </c>
      <c r="L349" s="14">
        <f t="shared" si="58"/>
        <v>8</v>
      </c>
      <c r="M349" s="7">
        <f t="shared" si="59"/>
        <v>5</v>
      </c>
      <c r="N349" s="7">
        <f t="shared" si="60"/>
        <v>9</v>
      </c>
      <c r="O349" s="9" t="s">
        <v>26</v>
      </c>
      <c r="P349" s="9" t="s">
        <v>27</v>
      </c>
      <c r="Q349" s="9">
        <v>6</v>
      </c>
      <c r="R349" s="12">
        <v>491.03</v>
      </c>
      <c r="S349" s="12">
        <f>VLOOKUP(O349,'Product-cost'!A:B,2,)</f>
        <v>200</v>
      </c>
      <c r="T349" s="9" t="s">
        <v>49</v>
      </c>
      <c r="U349" s="9" t="s">
        <v>77</v>
      </c>
      <c r="V349" s="9" t="s">
        <v>868</v>
      </c>
      <c r="W349" s="9" t="s">
        <v>894</v>
      </c>
      <c r="X349" s="12">
        <f t="shared" si="61"/>
        <v>2946.18</v>
      </c>
      <c r="Y349" s="12">
        <f t="shared" si="62"/>
        <v>1200</v>
      </c>
      <c r="Z349" s="16">
        <f>VLOOKUP(T349,Taxrate!A:B,2,FALSE)</f>
        <v>0.12</v>
      </c>
      <c r="AA349" s="12">
        <f t="shared" si="63"/>
        <v>353.54159999999996</v>
      </c>
      <c r="AB349" s="16">
        <f>VLOOKUP('Sales Dataset'!O349,'Discount Rate'!A:B,2,)</f>
        <v>0.08</v>
      </c>
      <c r="AC349" s="12">
        <f t="shared" si="64"/>
        <v>96</v>
      </c>
      <c r="AD349" s="18">
        <f t="shared" si="65"/>
        <v>1199.8000000000002</v>
      </c>
    </row>
    <row r="350" spans="1:30" ht="51" customHeight="1" x14ac:dyDescent="0.35">
      <c r="A350" s="9" t="s">
        <v>720</v>
      </c>
      <c r="B350" s="9" t="s">
        <v>721</v>
      </c>
      <c r="C350" s="9" t="s">
        <v>57</v>
      </c>
      <c r="D350" s="20" t="s">
        <v>12</v>
      </c>
      <c r="E350" s="9" t="s">
        <v>901</v>
      </c>
      <c r="F350" s="9" t="s">
        <v>902</v>
      </c>
      <c r="G350" s="8">
        <v>45129</v>
      </c>
      <c r="H350" s="7">
        <f t="shared" si="55"/>
        <v>2023</v>
      </c>
      <c r="I350" s="7" t="str">
        <f t="shared" si="56"/>
        <v>July</v>
      </c>
      <c r="J350" s="8" t="str">
        <f t="shared" si="57"/>
        <v>Saturday</v>
      </c>
      <c r="K350" s="11">
        <v>0.70468750000000002</v>
      </c>
      <c r="L350" s="14">
        <f t="shared" si="58"/>
        <v>16</v>
      </c>
      <c r="M350" s="7">
        <f t="shared" si="59"/>
        <v>54</v>
      </c>
      <c r="N350" s="7">
        <f t="shared" si="60"/>
        <v>45</v>
      </c>
      <c r="O350" s="9" t="s">
        <v>66</v>
      </c>
      <c r="P350" s="9" t="s">
        <v>67</v>
      </c>
      <c r="Q350" s="9">
        <v>10</v>
      </c>
      <c r="R350" s="12">
        <v>170.51</v>
      </c>
      <c r="S350" s="12">
        <f>VLOOKUP(O350,'Product-cost'!A:B,2,)</f>
        <v>50</v>
      </c>
      <c r="T350" s="9" t="s">
        <v>45</v>
      </c>
      <c r="U350" s="9" t="s">
        <v>29</v>
      </c>
      <c r="V350" s="9" t="s">
        <v>873</v>
      </c>
      <c r="W350" s="9" t="s">
        <v>895</v>
      </c>
      <c r="X350" s="12">
        <f t="shared" si="61"/>
        <v>1705.1</v>
      </c>
      <c r="Y350" s="12">
        <f t="shared" si="62"/>
        <v>500</v>
      </c>
      <c r="Z350" s="16">
        <f>VLOOKUP(T350,Taxrate!A:B,2,FALSE)</f>
        <v>7.0000000000000007E-2</v>
      </c>
      <c r="AA350" s="12">
        <f t="shared" si="63"/>
        <v>119.357</v>
      </c>
      <c r="AB350" s="16">
        <f>VLOOKUP('Sales Dataset'!O350,'Discount Rate'!A:B,2,)</f>
        <v>0.03</v>
      </c>
      <c r="AC350" s="12">
        <f t="shared" si="64"/>
        <v>15</v>
      </c>
      <c r="AD350" s="18">
        <f t="shared" si="65"/>
        <v>499.90000000000003</v>
      </c>
    </row>
    <row r="351" spans="1:30" ht="51" customHeight="1" x14ac:dyDescent="0.35">
      <c r="A351" s="9" t="s">
        <v>722</v>
      </c>
      <c r="B351" s="9" t="s">
        <v>723</v>
      </c>
      <c r="C351" s="9" t="s">
        <v>11</v>
      </c>
      <c r="D351" s="20" t="s">
        <v>12</v>
      </c>
      <c r="E351" s="9" t="s">
        <v>901</v>
      </c>
      <c r="F351" s="9" t="s">
        <v>902</v>
      </c>
      <c r="G351" s="8">
        <v>45152</v>
      </c>
      <c r="H351" s="7">
        <f t="shared" si="55"/>
        <v>2023</v>
      </c>
      <c r="I351" s="7" t="str">
        <f t="shared" si="56"/>
        <v>August</v>
      </c>
      <c r="J351" s="8" t="str">
        <f t="shared" si="57"/>
        <v>Monday</v>
      </c>
      <c r="K351" s="11">
        <v>0.658599537037037</v>
      </c>
      <c r="L351" s="14">
        <f t="shared" si="58"/>
        <v>15</v>
      </c>
      <c r="M351" s="7">
        <f t="shared" si="59"/>
        <v>48</v>
      </c>
      <c r="N351" s="7">
        <f t="shared" si="60"/>
        <v>23</v>
      </c>
      <c r="O351" s="9" t="s">
        <v>26</v>
      </c>
      <c r="P351" s="9" t="s">
        <v>27</v>
      </c>
      <c r="Q351" s="9">
        <v>1</v>
      </c>
      <c r="R351" s="12">
        <v>500</v>
      </c>
      <c r="S351" s="12">
        <f>VLOOKUP(O351,'Product-cost'!A:B,2,)</f>
        <v>200</v>
      </c>
      <c r="T351" s="9" t="s">
        <v>34</v>
      </c>
      <c r="U351" s="9" t="s">
        <v>29</v>
      </c>
      <c r="V351" s="9" t="s">
        <v>872</v>
      </c>
      <c r="W351" s="9" t="s">
        <v>896</v>
      </c>
      <c r="X351" s="12">
        <f t="shared" si="61"/>
        <v>500</v>
      </c>
      <c r="Y351" s="12">
        <f t="shared" si="62"/>
        <v>200</v>
      </c>
      <c r="Z351" s="16">
        <f>VLOOKUP(T351,Taxrate!A:B,2,FALSE)</f>
        <v>0.15</v>
      </c>
      <c r="AA351" s="12">
        <f t="shared" si="63"/>
        <v>75</v>
      </c>
      <c r="AB351" s="16">
        <f>VLOOKUP('Sales Dataset'!O351,'Discount Rate'!A:B,2,)</f>
        <v>0.08</v>
      </c>
      <c r="AC351" s="12">
        <f t="shared" si="64"/>
        <v>16</v>
      </c>
      <c r="AD351" s="18">
        <f t="shared" si="65"/>
        <v>199.76999999999998</v>
      </c>
    </row>
    <row r="352" spans="1:30" ht="51" customHeight="1" x14ac:dyDescent="0.35">
      <c r="A352" s="9" t="s">
        <v>724</v>
      </c>
      <c r="B352" s="9" t="s">
        <v>157</v>
      </c>
      <c r="C352" s="9" t="s">
        <v>107</v>
      </c>
      <c r="D352" s="20" t="s">
        <v>53</v>
      </c>
      <c r="E352" s="9" t="s">
        <v>909</v>
      </c>
      <c r="F352" s="9" t="s">
        <v>910</v>
      </c>
      <c r="G352" s="8">
        <v>45313</v>
      </c>
      <c r="H352" s="7">
        <f t="shared" si="55"/>
        <v>2024</v>
      </c>
      <c r="I352" s="7" t="str">
        <f t="shared" si="56"/>
        <v>January</v>
      </c>
      <c r="J352" s="8" t="str">
        <f t="shared" si="57"/>
        <v>Monday</v>
      </c>
      <c r="K352" s="11">
        <v>0.91076388888888893</v>
      </c>
      <c r="L352" s="14">
        <f t="shared" si="58"/>
        <v>21</v>
      </c>
      <c r="M352" s="7">
        <f t="shared" si="59"/>
        <v>51</v>
      </c>
      <c r="N352" s="7">
        <f t="shared" si="60"/>
        <v>30</v>
      </c>
      <c r="O352" s="9" t="s">
        <v>26</v>
      </c>
      <c r="P352" s="9" t="s">
        <v>27</v>
      </c>
      <c r="Q352" s="9">
        <v>11</v>
      </c>
      <c r="R352" s="12">
        <v>341.03</v>
      </c>
      <c r="S352" s="12">
        <f>VLOOKUP(O352,'Product-cost'!A:B,2,)</f>
        <v>200</v>
      </c>
      <c r="T352" s="9" t="s">
        <v>34</v>
      </c>
      <c r="U352" s="9" t="s">
        <v>54</v>
      </c>
      <c r="V352" s="9" t="s">
        <v>879</v>
      </c>
      <c r="W352" s="9" t="s">
        <v>894</v>
      </c>
      <c r="X352" s="12">
        <f t="shared" si="61"/>
        <v>3751.33</v>
      </c>
      <c r="Y352" s="12">
        <f t="shared" si="62"/>
        <v>2200</v>
      </c>
      <c r="Z352" s="16">
        <f>VLOOKUP(T352,Taxrate!A:B,2,FALSE)</f>
        <v>0.15</v>
      </c>
      <c r="AA352" s="12">
        <f t="shared" si="63"/>
        <v>562.69949999999994</v>
      </c>
      <c r="AB352" s="16">
        <f>VLOOKUP('Sales Dataset'!O352,'Discount Rate'!A:B,2,)</f>
        <v>0.08</v>
      </c>
      <c r="AC352" s="12">
        <f t="shared" si="64"/>
        <v>176</v>
      </c>
      <c r="AD352" s="18">
        <f t="shared" si="65"/>
        <v>2199.77</v>
      </c>
    </row>
    <row r="353" spans="1:30" ht="51" customHeight="1" x14ac:dyDescent="0.35">
      <c r="A353" s="9" t="s">
        <v>725</v>
      </c>
      <c r="B353" s="9" t="s">
        <v>726</v>
      </c>
      <c r="C353" s="9" t="s">
        <v>60</v>
      </c>
      <c r="D353" s="20" t="s">
        <v>61</v>
      </c>
      <c r="E353" s="9" t="s">
        <v>911</v>
      </c>
      <c r="F353" s="9" t="s">
        <v>912</v>
      </c>
      <c r="G353" s="8">
        <v>45628</v>
      </c>
      <c r="H353" s="7">
        <f t="shared" si="55"/>
        <v>2024</v>
      </c>
      <c r="I353" s="7" t="str">
        <f t="shared" si="56"/>
        <v>December</v>
      </c>
      <c r="J353" s="8" t="str">
        <f t="shared" si="57"/>
        <v>Monday</v>
      </c>
      <c r="K353" s="11">
        <v>0.48534722222222221</v>
      </c>
      <c r="L353" s="14">
        <f t="shared" si="58"/>
        <v>11</v>
      </c>
      <c r="M353" s="7">
        <f t="shared" si="59"/>
        <v>38</v>
      </c>
      <c r="N353" s="7">
        <f t="shared" si="60"/>
        <v>54</v>
      </c>
      <c r="O353" s="9" t="s">
        <v>66</v>
      </c>
      <c r="P353" s="9" t="s">
        <v>67</v>
      </c>
      <c r="Q353" s="9">
        <v>14</v>
      </c>
      <c r="R353" s="12">
        <v>157.43</v>
      </c>
      <c r="S353" s="12">
        <f>VLOOKUP(O353,'Product-cost'!A:B,2,)</f>
        <v>50</v>
      </c>
      <c r="T353" s="9" t="s">
        <v>49</v>
      </c>
      <c r="U353" s="9" t="s">
        <v>62</v>
      </c>
      <c r="V353" s="9" t="s">
        <v>879</v>
      </c>
      <c r="W353" s="9" t="s">
        <v>894</v>
      </c>
      <c r="X353" s="12">
        <f t="shared" si="61"/>
        <v>2204.02</v>
      </c>
      <c r="Y353" s="12">
        <f t="shared" si="62"/>
        <v>700</v>
      </c>
      <c r="Z353" s="16">
        <f>VLOOKUP(T353,Taxrate!A:B,2,FALSE)</f>
        <v>0.12</v>
      </c>
      <c r="AA353" s="12">
        <f t="shared" si="63"/>
        <v>264.48239999999998</v>
      </c>
      <c r="AB353" s="16">
        <f>VLOOKUP('Sales Dataset'!O353,'Discount Rate'!A:B,2,)</f>
        <v>0.03</v>
      </c>
      <c r="AC353" s="12">
        <f t="shared" si="64"/>
        <v>21</v>
      </c>
      <c r="AD353" s="18">
        <f t="shared" si="65"/>
        <v>699.85</v>
      </c>
    </row>
    <row r="354" spans="1:30" ht="51" customHeight="1" x14ac:dyDescent="0.35">
      <c r="A354" s="9" t="s">
        <v>727</v>
      </c>
      <c r="B354" s="9" t="s">
        <v>728</v>
      </c>
      <c r="C354" s="9" t="s">
        <v>114</v>
      </c>
      <c r="D354" s="20" t="s">
        <v>19</v>
      </c>
      <c r="E354" s="9" t="s">
        <v>903</v>
      </c>
      <c r="F354" s="9" t="s">
        <v>904</v>
      </c>
      <c r="G354" s="8">
        <v>45228</v>
      </c>
      <c r="H354" s="7">
        <f t="shared" si="55"/>
        <v>2023</v>
      </c>
      <c r="I354" s="7" t="str">
        <f t="shared" si="56"/>
        <v>October</v>
      </c>
      <c r="J354" s="8" t="str">
        <f t="shared" si="57"/>
        <v>Sunday</v>
      </c>
      <c r="K354" s="11">
        <v>0.38004629629629627</v>
      </c>
      <c r="L354" s="14">
        <f t="shared" si="58"/>
        <v>9</v>
      </c>
      <c r="M354" s="7">
        <f t="shared" si="59"/>
        <v>7</v>
      </c>
      <c r="N354" s="7">
        <f t="shared" si="60"/>
        <v>16</v>
      </c>
      <c r="O354" s="9" t="s">
        <v>66</v>
      </c>
      <c r="P354" s="9" t="s">
        <v>67</v>
      </c>
      <c r="Q354" s="9">
        <v>11</v>
      </c>
      <c r="R354" s="12">
        <v>122.23</v>
      </c>
      <c r="S354" s="12">
        <f>VLOOKUP(O354,'Product-cost'!A:B,2,)</f>
        <v>50</v>
      </c>
      <c r="T354" s="9" t="s">
        <v>45</v>
      </c>
      <c r="U354" s="9" t="s">
        <v>46</v>
      </c>
      <c r="V354" s="9" t="s">
        <v>877</v>
      </c>
      <c r="W354" s="9" t="s">
        <v>894</v>
      </c>
      <c r="X354" s="12">
        <f t="shared" si="61"/>
        <v>1344.53</v>
      </c>
      <c r="Y354" s="12">
        <f t="shared" si="62"/>
        <v>550</v>
      </c>
      <c r="Z354" s="16">
        <f>VLOOKUP(T354,Taxrate!A:B,2,FALSE)</f>
        <v>7.0000000000000007E-2</v>
      </c>
      <c r="AA354" s="12">
        <f t="shared" si="63"/>
        <v>94.117100000000008</v>
      </c>
      <c r="AB354" s="16">
        <f>VLOOKUP('Sales Dataset'!O354,'Discount Rate'!A:B,2,)</f>
        <v>0.03</v>
      </c>
      <c r="AC354" s="12">
        <f t="shared" si="64"/>
        <v>16.5</v>
      </c>
      <c r="AD354" s="18">
        <f t="shared" si="65"/>
        <v>549.9</v>
      </c>
    </row>
    <row r="355" spans="1:30" ht="51" customHeight="1" x14ac:dyDescent="0.35">
      <c r="A355" s="9" t="s">
        <v>729</v>
      </c>
      <c r="B355" s="9" t="s">
        <v>730</v>
      </c>
      <c r="C355" s="9" t="s">
        <v>83</v>
      </c>
      <c r="D355" s="20" t="s">
        <v>84</v>
      </c>
      <c r="E355" s="9" t="s">
        <v>913</v>
      </c>
      <c r="F355" s="9" t="s">
        <v>914</v>
      </c>
      <c r="G355" s="8">
        <v>45083</v>
      </c>
      <c r="H355" s="7">
        <f t="shared" si="55"/>
        <v>2023</v>
      </c>
      <c r="I355" s="7" t="str">
        <f t="shared" si="56"/>
        <v>June</v>
      </c>
      <c r="J355" s="8" t="str">
        <f t="shared" si="57"/>
        <v>Tuesday</v>
      </c>
      <c r="K355" s="11">
        <v>0.8536111111111111</v>
      </c>
      <c r="L355" s="14">
        <f t="shared" si="58"/>
        <v>20</v>
      </c>
      <c r="M355" s="7">
        <f t="shared" si="59"/>
        <v>29</v>
      </c>
      <c r="N355" s="7">
        <f t="shared" si="60"/>
        <v>12</v>
      </c>
      <c r="O355" s="9" t="s">
        <v>26</v>
      </c>
      <c r="P355" s="9" t="s">
        <v>27</v>
      </c>
      <c r="Q355" s="9">
        <v>8</v>
      </c>
      <c r="R355" s="12">
        <v>428.49</v>
      </c>
      <c r="S355" s="12">
        <f>VLOOKUP(O355,'Product-cost'!A:B,2,)</f>
        <v>200</v>
      </c>
      <c r="T355" s="9" t="s">
        <v>49</v>
      </c>
      <c r="U355" s="9" t="s">
        <v>183</v>
      </c>
      <c r="V355" s="9" t="s">
        <v>882</v>
      </c>
      <c r="W355" s="9" t="s">
        <v>895</v>
      </c>
      <c r="X355" s="12">
        <f t="shared" si="61"/>
        <v>3427.92</v>
      </c>
      <c r="Y355" s="12">
        <f t="shared" si="62"/>
        <v>1600</v>
      </c>
      <c r="Z355" s="16">
        <f>VLOOKUP(T355,Taxrate!A:B,2,FALSE)</f>
        <v>0.12</v>
      </c>
      <c r="AA355" s="12">
        <f t="shared" si="63"/>
        <v>411.35039999999998</v>
      </c>
      <c r="AB355" s="16">
        <f>VLOOKUP('Sales Dataset'!O355,'Discount Rate'!A:B,2,)</f>
        <v>0.08</v>
      </c>
      <c r="AC355" s="12">
        <f t="shared" si="64"/>
        <v>128</v>
      </c>
      <c r="AD355" s="18">
        <f t="shared" si="65"/>
        <v>1599.8000000000002</v>
      </c>
    </row>
    <row r="356" spans="1:30" ht="51" customHeight="1" x14ac:dyDescent="0.35">
      <c r="A356" s="9" t="s">
        <v>731</v>
      </c>
      <c r="B356" s="9" t="s">
        <v>174</v>
      </c>
      <c r="C356" s="9" t="s">
        <v>141</v>
      </c>
      <c r="D356" s="20" t="s">
        <v>142</v>
      </c>
      <c r="E356" s="9" t="s">
        <v>917</v>
      </c>
      <c r="F356" s="9" t="s">
        <v>918</v>
      </c>
      <c r="G356" s="8">
        <v>45868</v>
      </c>
      <c r="H356" s="7">
        <f t="shared" si="55"/>
        <v>2025</v>
      </c>
      <c r="I356" s="7" t="str">
        <f t="shared" si="56"/>
        <v>July</v>
      </c>
      <c r="J356" s="8" t="str">
        <f t="shared" si="57"/>
        <v>Wednesday</v>
      </c>
      <c r="K356" s="11">
        <v>0.34137731481481481</v>
      </c>
      <c r="L356" s="14">
        <f t="shared" si="58"/>
        <v>8</v>
      </c>
      <c r="M356" s="7">
        <f t="shared" si="59"/>
        <v>11</v>
      </c>
      <c r="N356" s="7">
        <f t="shared" si="60"/>
        <v>35</v>
      </c>
      <c r="O356" s="9" t="s">
        <v>26</v>
      </c>
      <c r="P356" s="9" t="s">
        <v>27</v>
      </c>
      <c r="Q356" s="9">
        <v>3</v>
      </c>
      <c r="R356" s="12">
        <v>346.9</v>
      </c>
      <c r="S356" s="12">
        <f>VLOOKUP(O356,'Product-cost'!A:B,2,)</f>
        <v>200</v>
      </c>
      <c r="T356" s="9" t="s">
        <v>34</v>
      </c>
      <c r="U356" s="9" t="s">
        <v>143</v>
      </c>
      <c r="V356" s="9" t="s">
        <v>875</v>
      </c>
      <c r="W356" s="9" t="s">
        <v>894</v>
      </c>
      <c r="X356" s="12">
        <f t="shared" si="61"/>
        <v>1040.6999999999998</v>
      </c>
      <c r="Y356" s="12">
        <f t="shared" si="62"/>
        <v>600</v>
      </c>
      <c r="Z356" s="16">
        <f>VLOOKUP(T356,Taxrate!A:B,2,FALSE)</f>
        <v>0.15</v>
      </c>
      <c r="AA356" s="12">
        <f t="shared" si="63"/>
        <v>156.10499999999996</v>
      </c>
      <c r="AB356" s="16">
        <f>VLOOKUP('Sales Dataset'!O356,'Discount Rate'!A:B,2,)</f>
        <v>0.08</v>
      </c>
      <c r="AC356" s="12">
        <f t="shared" si="64"/>
        <v>48</v>
      </c>
      <c r="AD356" s="18">
        <f t="shared" si="65"/>
        <v>599.77</v>
      </c>
    </row>
    <row r="357" spans="1:30" ht="51" customHeight="1" x14ac:dyDescent="0.35">
      <c r="A357" s="9" t="s">
        <v>732</v>
      </c>
      <c r="B357" s="9" t="s">
        <v>733</v>
      </c>
      <c r="C357" s="9" t="s">
        <v>172</v>
      </c>
      <c r="D357" s="20" t="s">
        <v>142</v>
      </c>
      <c r="E357" s="9" t="s">
        <v>917</v>
      </c>
      <c r="F357" s="9" t="s">
        <v>918</v>
      </c>
      <c r="G357" s="8">
        <v>46137</v>
      </c>
      <c r="H357" s="7">
        <f t="shared" si="55"/>
        <v>2026</v>
      </c>
      <c r="I357" s="7" t="str">
        <f t="shared" si="56"/>
        <v>April</v>
      </c>
      <c r="J357" s="8" t="str">
        <f t="shared" si="57"/>
        <v>Saturday</v>
      </c>
      <c r="K357" s="11">
        <v>0.73844907407407412</v>
      </c>
      <c r="L357" s="14">
        <f t="shared" si="58"/>
        <v>17</v>
      </c>
      <c r="M357" s="7">
        <f t="shared" si="59"/>
        <v>43</v>
      </c>
      <c r="N357" s="7">
        <f t="shared" si="60"/>
        <v>22</v>
      </c>
      <c r="O357" s="9" t="s">
        <v>26</v>
      </c>
      <c r="P357" s="9" t="s">
        <v>27</v>
      </c>
      <c r="Q357" s="9">
        <v>1</v>
      </c>
      <c r="R357" s="12">
        <v>345.64</v>
      </c>
      <c r="S357" s="12">
        <f>VLOOKUP(O357,'Product-cost'!A:B,2,)</f>
        <v>200</v>
      </c>
      <c r="T357" s="9" t="s">
        <v>22</v>
      </c>
      <c r="U357" s="9" t="s">
        <v>143</v>
      </c>
      <c r="V357" s="9" t="s">
        <v>878</v>
      </c>
      <c r="W357" s="9" t="s">
        <v>894</v>
      </c>
      <c r="X357" s="12">
        <f t="shared" si="61"/>
        <v>345.64</v>
      </c>
      <c r="Y357" s="12">
        <f t="shared" si="62"/>
        <v>200</v>
      </c>
      <c r="Z357" s="16">
        <f>VLOOKUP(T357,Taxrate!A:B,2,FALSE)</f>
        <v>0.1</v>
      </c>
      <c r="AA357" s="12">
        <f t="shared" si="63"/>
        <v>34.564</v>
      </c>
      <c r="AB357" s="16">
        <f>VLOOKUP('Sales Dataset'!O357,'Discount Rate'!A:B,2,)</f>
        <v>0.08</v>
      </c>
      <c r="AC357" s="12">
        <f t="shared" si="64"/>
        <v>16</v>
      </c>
      <c r="AD357" s="18">
        <f t="shared" si="65"/>
        <v>199.82</v>
      </c>
    </row>
    <row r="358" spans="1:30" ht="51" customHeight="1" x14ac:dyDescent="0.35">
      <c r="A358" s="9" t="s">
        <v>734</v>
      </c>
      <c r="B358" s="9" t="s">
        <v>673</v>
      </c>
      <c r="C358" s="9" t="s">
        <v>32</v>
      </c>
      <c r="D358" s="20" t="s">
        <v>33</v>
      </c>
      <c r="E358" s="9" t="s">
        <v>905</v>
      </c>
      <c r="F358" s="9" t="s">
        <v>906</v>
      </c>
      <c r="G358" s="8">
        <v>46281</v>
      </c>
      <c r="H358" s="7">
        <f t="shared" si="55"/>
        <v>2026</v>
      </c>
      <c r="I358" s="7" t="str">
        <f t="shared" si="56"/>
        <v>September</v>
      </c>
      <c r="J358" s="8" t="str">
        <f t="shared" si="57"/>
        <v>Wednesday</v>
      </c>
      <c r="K358" s="11">
        <v>0.46922453703703704</v>
      </c>
      <c r="L358" s="14">
        <f t="shared" si="58"/>
        <v>11</v>
      </c>
      <c r="M358" s="7">
        <f t="shared" si="59"/>
        <v>15</v>
      </c>
      <c r="N358" s="7">
        <f t="shared" si="60"/>
        <v>41</v>
      </c>
      <c r="O358" s="9" t="s">
        <v>26</v>
      </c>
      <c r="P358" s="9" t="s">
        <v>27</v>
      </c>
      <c r="Q358" s="9">
        <v>15</v>
      </c>
      <c r="R358" s="12">
        <v>493.79</v>
      </c>
      <c r="S358" s="12">
        <f>VLOOKUP(O358,'Product-cost'!A:B,2,)</f>
        <v>200</v>
      </c>
      <c r="T358" s="9" t="s">
        <v>45</v>
      </c>
      <c r="U358" s="9" t="s">
        <v>77</v>
      </c>
      <c r="V358" s="9" t="s">
        <v>874</v>
      </c>
      <c r="W358" s="9" t="s">
        <v>894</v>
      </c>
      <c r="X358" s="12">
        <f t="shared" si="61"/>
        <v>7406.85</v>
      </c>
      <c r="Y358" s="12">
        <f t="shared" si="62"/>
        <v>3000</v>
      </c>
      <c r="Z358" s="16">
        <f>VLOOKUP(T358,Taxrate!A:B,2,FALSE)</f>
        <v>7.0000000000000007E-2</v>
      </c>
      <c r="AA358" s="12">
        <f t="shared" si="63"/>
        <v>518.47950000000003</v>
      </c>
      <c r="AB358" s="16">
        <f>VLOOKUP('Sales Dataset'!O358,'Discount Rate'!A:B,2,)</f>
        <v>0.08</v>
      </c>
      <c r="AC358" s="12">
        <f t="shared" si="64"/>
        <v>240</v>
      </c>
      <c r="AD358" s="18">
        <f t="shared" si="65"/>
        <v>2999.85</v>
      </c>
    </row>
    <row r="359" spans="1:30" ht="51" customHeight="1" x14ac:dyDescent="0.35">
      <c r="A359" s="9" t="s">
        <v>735</v>
      </c>
      <c r="B359" s="9" t="s">
        <v>191</v>
      </c>
      <c r="C359" s="9" t="s">
        <v>172</v>
      </c>
      <c r="D359" s="20" t="s">
        <v>142</v>
      </c>
      <c r="E359" s="9" t="s">
        <v>917</v>
      </c>
      <c r="F359" s="9" t="s">
        <v>918</v>
      </c>
      <c r="G359" s="8">
        <v>46352</v>
      </c>
      <c r="H359" s="7">
        <f t="shared" si="55"/>
        <v>2026</v>
      </c>
      <c r="I359" s="7" t="str">
        <f t="shared" si="56"/>
        <v>November</v>
      </c>
      <c r="J359" s="8" t="str">
        <f t="shared" si="57"/>
        <v>Thursday</v>
      </c>
      <c r="K359" s="11">
        <v>0.70925925925925926</v>
      </c>
      <c r="L359" s="14">
        <f t="shared" si="58"/>
        <v>17</v>
      </c>
      <c r="M359" s="7">
        <f t="shared" si="59"/>
        <v>1</v>
      </c>
      <c r="N359" s="7">
        <f t="shared" si="60"/>
        <v>20</v>
      </c>
      <c r="O359" s="9" t="s">
        <v>66</v>
      </c>
      <c r="P359" s="9" t="s">
        <v>67</v>
      </c>
      <c r="Q359" s="9">
        <v>6</v>
      </c>
      <c r="R359" s="12">
        <v>180.62</v>
      </c>
      <c r="S359" s="12">
        <f>VLOOKUP(O359,'Product-cost'!A:B,2,)</f>
        <v>50</v>
      </c>
      <c r="T359" s="9" t="s">
        <v>45</v>
      </c>
      <c r="U359" s="9" t="s">
        <v>235</v>
      </c>
      <c r="V359" s="9" t="s">
        <v>878</v>
      </c>
      <c r="W359" s="9" t="s">
        <v>894</v>
      </c>
      <c r="X359" s="12">
        <f t="shared" si="61"/>
        <v>1083.72</v>
      </c>
      <c r="Y359" s="12">
        <f t="shared" si="62"/>
        <v>300</v>
      </c>
      <c r="Z359" s="16">
        <f>VLOOKUP(T359,Taxrate!A:B,2,FALSE)</f>
        <v>7.0000000000000007E-2</v>
      </c>
      <c r="AA359" s="12">
        <f t="shared" si="63"/>
        <v>75.860400000000013</v>
      </c>
      <c r="AB359" s="16">
        <f>VLOOKUP('Sales Dataset'!O359,'Discount Rate'!A:B,2,)</f>
        <v>0.03</v>
      </c>
      <c r="AC359" s="12">
        <f t="shared" si="64"/>
        <v>9</v>
      </c>
      <c r="AD359" s="18">
        <f t="shared" si="65"/>
        <v>299.90000000000003</v>
      </c>
    </row>
    <row r="360" spans="1:30" ht="51" customHeight="1" x14ac:dyDescent="0.35">
      <c r="A360" s="9" t="s">
        <v>736</v>
      </c>
      <c r="B360" s="9" t="s">
        <v>737</v>
      </c>
      <c r="C360" s="9" t="s">
        <v>65</v>
      </c>
      <c r="D360" s="20" t="s">
        <v>53</v>
      </c>
      <c r="E360" s="9" t="s">
        <v>909</v>
      </c>
      <c r="F360" s="9" t="s">
        <v>910</v>
      </c>
      <c r="G360" s="8">
        <v>46054</v>
      </c>
      <c r="H360" s="7">
        <f t="shared" si="55"/>
        <v>2026</v>
      </c>
      <c r="I360" s="7" t="str">
        <f t="shared" si="56"/>
        <v>February</v>
      </c>
      <c r="J360" s="8" t="str">
        <f t="shared" si="57"/>
        <v>Sunday</v>
      </c>
      <c r="K360" s="11">
        <v>0.5111458333333333</v>
      </c>
      <c r="L360" s="14">
        <f t="shared" si="58"/>
        <v>12</v>
      </c>
      <c r="M360" s="7">
        <f t="shared" si="59"/>
        <v>16</v>
      </c>
      <c r="N360" s="7">
        <f t="shared" si="60"/>
        <v>3</v>
      </c>
      <c r="O360" s="9" t="s">
        <v>26</v>
      </c>
      <c r="P360" s="9" t="s">
        <v>27</v>
      </c>
      <c r="Q360" s="9">
        <v>7</v>
      </c>
      <c r="R360" s="12">
        <v>444.91</v>
      </c>
      <c r="S360" s="12">
        <f>VLOOKUP(O360,'Product-cost'!A:B,2,)</f>
        <v>200</v>
      </c>
      <c r="T360" s="9" t="s">
        <v>45</v>
      </c>
      <c r="U360" s="9" t="s">
        <v>68</v>
      </c>
      <c r="V360" s="9" t="s">
        <v>872</v>
      </c>
      <c r="W360" s="9" t="s">
        <v>896</v>
      </c>
      <c r="X360" s="12">
        <f t="shared" si="61"/>
        <v>3114.3700000000003</v>
      </c>
      <c r="Y360" s="12">
        <f t="shared" si="62"/>
        <v>1400</v>
      </c>
      <c r="Z360" s="16">
        <f>VLOOKUP(T360,Taxrate!A:B,2,FALSE)</f>
        <v>7.0000000000000007E-2</v>
      </c>
      <c r="AA360" s="12">
        <f t="shared" si="63"/>
        <v>218.00590000000005</v>
      </c>
      <c r="AB360" s="16">
        <f>VLOOKUP('Sales Dataset'!O360,'Discount Rate'!A:B,2,)</f>
        <v>0.08</v>
      </c>
      <c r="AC360" s="12">
        <f t="shared" si="64"/>
        <v>112</v>
      </c>
      <c r="AD360" s="18">
        <f t="shared" si="65"/>
        <v>1399.8500000000001</v>
      </c>
    </row>
    <row r="361" spans="1:30" ht="51" customHeight="1" x14ac:dyDescent="0.35">
      <c r="A361" s="9" t="s">
        <v>738</v>
      </c>
      <c r="B361" s="9" t="s">
        <v>739</v>
      </c>
      <c r="C361" s="9" t="s">
        <v>32</v>
      </c>
      <c r="D361" s="20" t="s">
        <v>33</v>
      </c>
      <c r="E361" s="9" t="s">
        <v>905</v>
      </c>
      <c r="F361" s="9" t="s">
        <v>906</v>
      </c>
      <c r="G361" s="8">
        <v>46261</v>
      </c>
      <c r="H361" s="7">
        <f t="shared" si="55"/>
        <v>2026</v>
      </c>
      <c r="I361" s="7" t="str">
        <f t="shared" si="56"/>
        <v>August</v>
      </c>
      <c r="J361" s="8" t="str">
        <f t="shared" si="57"/>
        <v>Thursday</v>
      </c>
      <c r="K361" s="11">
        <v>0.70230324074074069</v>
      </c>
      <c r="L361" s="14">
        <f t="shared" si="58"/>
        <v>16</v>
      </c>
      <c r="M361" s="7">
        <f t="shared" si="59"/>
        <v>51</v>
      </c>
      <c r="N361" s="7">
        <f t="shared" si="60"/>
        <v>19</v>
      </c>
      <c r="O361" s="9" t="s">
        <v>66</v>
      </c>
      <c r="P361" s="9" t="s">
        <v>67</v>
      </c>
      <c r="Q361" s="9">
        <v>6</v>
      </c>
      <c r="R361" s="12">
        <v>150.16999999999999</v>
      </c>
      <c r="S361" s="12">
        <f>VLOOKUP(O361,'Product-cost'!A:B,2,)</f>
        <v>50</v>
      </c>
      <c r="T361" s="9" t="s">
        <v>49</v>
      </c>
      <c r="U361" s="9" t="s">
        <v>77</v>
      </c>
      <c r="V361" s="9" t="s">
        <v>868</v>
      </c>
      <c r="W361" s="9" t="s">
        <v>894</v>
      </c>
      <c r="X361" s="12">
        <f t="shared" si="61"/>
        <v>901.02</v>
      </c>
      <c r="Y361" s="12">
        <f t="shared" si="62"/>
        <v>300</v>
      </c>
      <c r="Z361" s="16">
        <f>VLOOKUP(T361,Taxrate!A:B,2,FALSE)</f>
        <v>0.12</v>
      </c>
      <c r="AA361" s="12">
        <f t="shared" si="63"/>
        <v>108.1224</v>
      </c>
      <c r="AB361" s="16">
        <f>VLOOKUP('Sales Dataset'!O361,'Discount Rate'!A:B,2,)</f>
        <v>0.03</v>
      </c>
      <c r="AC361" s="12">
        <f t="shared" si="64"/>
        <v>9</v>
      </c>
      <c r="AD361" s="18">
        <f t="shared" si="65"/>
        <v>299.85000000000002</v>
      </c>
    </row>
    <row r="362" spans="1:30" ht="51" customHeight="1" x14ac:dyDescent="0.35">
      <c r="A362" s="9" t="s">
        <v>740</v>
      </c>
      <c r="B362" s="9" t="s">
        <v>741</v>
      </c>
      <c r="C362" s="9" t="s">
        <v>163</v>
      </c>
      <c r="D362" s="20" t="s">
        <v>53</v>
      </c>
      <c r="E362" s="9" t="s">
        <v>909</v>
      </c>
      <c r="F362" s="9" t="s">
        <v>910</v>
      </c>
      <c r="G362" s="8">
        <v>45329</v>
      </c>
      <c r="H362" s="7">
        <f t="shared" si="55"/>
        <v>2024</v>
      </c>
      <c r="I362" s="7" t="str">
        <f t="shared" si="56"/>
        <v>February</v>
      </c>
      <c r="J362" s="8" t="str">
        <f t="shared" si="57"/>
        <v>Wednesday</v>
      </c>
      <c r="K362" s="11">
        <v>0.7407407407407407</v>
      </c>
      <c r="L362" s="14">
        <f t="shared" si="58"/>
        <v>17</v>
      </c>
      <c r="M362" s="7">
        <f t="shared" si="59"/>
        <v>46</v>
      </c>
      <c r="N362" s="7">
        <f t="shared" si="60"/>
        <v>40</v>
      </c>
      <c r="O362" s="9" t="s">
        <v>13</v>
      </c>
      <c r="P362" s="9" t="s">
        <v>14</v>
      </c>
      <c r="Q362" s="9">
        <v>6</v>
      </c>
      <c r="R362" s="12">
        <v>920.19</v>
      </c>
      <c r="S362" s="12">
        <f>VLOOKUP(O362,'Product-cost'!A:B,2,)</f>
        <v>600</v>
      </c>
      <c r="T362" s="9" t="s">
        <v>22</v>
      </c>
      <c r="U362" s="9" t="s">
        <v>206</v>
      </c>
      <c r="V362" s="9" t="s">
        <v>883</v>
      </c>
      <c r="W362" s="9" t="s">
        <v>894</v>
      </c>
      <c r="X362" s="12">
        <f t="shared" si="61"/>
        <v>5521.14</v>
      </c>
      <c r="Y362" s="12">
        <f t="shared" si="62"/>
        <v>3600</v>
      </c>
      <c r="Z362" s="16">
        <f>VLOOKUP(T362,Taxrate!A:B,2,FALSE)</f>
        <v>0.1</v>
      </c>
      <c r="AA362" s="12">
        <f t="shared" si="63"/>
        <v>552.11400000000003</v>
      </c>
      <c r="AB362" s="16">
        <f>VLOOKUP('Sales Dataset'!O362,'Discount Rate'!A:B,2,)</f>
        <v>0.05</v>
      </c>
      <c r="AC362" s="12">
        <f t="shared" si="64"/>
        <v>180</v>
      </c>
      <c r="AD362" s="18">
        <f t="shared" si="65"/>
        <v>3599.85</v>
      </c>
    </row>
    <row r="363" spans="1:30" ht="51" customHeight="1" x14ac:dyDescent="0.35">
      <c r="A363" s="9" t="s">
        <v>742</v>
      </c>
      <c r="B363" s="9" t="s">
        <v>176</v>
      </c>
      <c r="C363" s="9" t="s">
        <v>52</v>
      </c>
      <c r="D363" s="20" t="s">
        <v>53</v>
      </c>
      <c r="E363" s="9" t="s">
        <v>909</v>
      </c>
      <c r="F363" s="9" t="s">
        <v>910</v>
      </c>
      <c r="G363" s="8">
        <v>46214</v>
      </c>
      <c r="H363" s="7">
        <f t="shared" si="55"/>
        <v>2026</v>
      </c>
      <c r="I363" s="7" t="str">
        <f t="shared" si="56"/>
        <v>July</v>
      </c>
      <c r="J363" s="8" t="str">
        <f t="shared" si="57"/>
        <v>Saturday</v>
      </c>
      <c r="K363" s="11">
        <v>0.59383101851851849</v>
      </c>
      <c r="L363" s="14">
        <f t="shared" si="58"/>
        <v>14</v>
      </c>
      <c r="M363" s="7">
        <f t="shared" si="59"/>
        <v>15</v>
      </c>
      <c r="N363" s="7">
        <f t="shared" si="60"/>
        <v>7</v>
      </c>
      <c r="O363" s="9" t="s">
        <v>20</v>
      </c>
      <c r="P363" s="9" t="s">
        <v>21</v>
      </c>
      <c r="Q363" s="9">
        <v>4</v>
      </c>
      <c r="R363" s="12">
        <v>573.16</v>
      </c>
      <c r="S363" s="12">
        <f>VLOOKUP(O363,'Product-cost'!A:B,2,)</f>
        <v>300</v>
      </c>
      <c r="T363" s="9" t="s">
        <v>34</v>
      </c>
      <c r="U363" s="9" t="s">
        <v>68</v>
      </c>
      <c r="V363" s="9" t="s">
        <v>880</v>
      </c>
      <c r="W363" s="9" t="s">
        <v>894</v>
      </c>
      <c r="X363" s="12">
        <f t="shared" si="61"/>
        <v>2292.64</v>
      </c>
      <c r="Y363" s="12">
        <f t="shared" si="62"/>
        <v>1200</v>
      </c>
      <c r="Z363" s="16">
        <f>VLOOKUP(T363,Taxrate!A:B,2,FALSE)</f>
        <v>0.15</v>
      </c>
      <c r="AA363" s="12">
        <f t="shared" si="63"/>
        <v>343.89599999999996</v>
      </c>
      <c r="AB363" s="16">
        <f>VLOOKUP('Sales Dataset'!O363,'Discount Rate'!A:B,2,)</f>
        <v>0.1</v>
      </c>
      <c r="AC363" s="12">
        <f t="shared" si="64"/>
        <v>120</v>
      </c>
      <c r="AD363" s="18">
        <f t="shared" si="65"/>
        <v>1199.75</v>
      </c>
    </row>
    <row r="364" spans="1:30" ht="51" customHeight="1" x14ac:dyDescent="0.35">
      <c r="A364" s="9" t="s">
        <v>743</v>
      </c>
      <c r="B364" s="9" t="s">
        <v>588</v>
      </c>
      <c r="C364" s="9" t="s">
        <v>172</v>
      </c>
      <c r="D364" s="20" t="s">
        <v>142</v>
      </c>
      <c r="E364" s="9" t="s">
        <v>917</v>
      </c>
      <c r="F364" s="9" t="s">
        <v>918</v>
      </c>
      <c r="G364" s="8">
        <v>46364</v>
      </c>
      <c r="H364" s="7">
        <f t="shared" si="55"/>
        <v>2026</v>
      </c>
      <c r="I364" s="7" t="str">
        <f t="shared" si="56"/>
        <v>December</v>
      </c>
      <c r="J364" s="8" t="str">
        <f t="shared" si="57"/>
        <v>Tuesday</v>
      </c>
      <c r="K364" s="11">
        <v>0.81377314814814816</v>
      </c>
      <c r="L364" s="14">
        <f t="shared" si="58"/>
        <v>19</v>
      </c>
      <c r="M364" s="7">
        <f t="shared" si="59"/>
        <v>31</v>
      </c>
      <c r="N364" s="7">
        <f t="shared" si="60"/>
        <v>50</v>
      </c>
      <c r="O364" s="9" t="s">
        <v>13</v>
      </c>
      <c r="P364" s="9" t="s">
        <v>14</v>
      </c>
      <c r="Q364" s="9">
        <v>7</v>
      </c>
      <c r="R364" s="12">
        <v>956.95</v>
      </c>
      <c r="S364" s="12">
        <f>VLOOKUP(O364,'Product-cost'!A:B,2,)</f>
        <v>600</v>
      </c>
      <c r="T364" s="9" t="s">
        <v>22</v>
      </c>
      <c r="U364" s="9" t="s">
        <v>235</v>
      </c>
      <c r="V364" s="9" t="s">
        <v>869</v>
      </c>
      <c r="W364" s="9" t="s">
        <v>894</v>
      </c>
      <c r="X364" s="12">
        <f t="shared" si="61"/>
        <v>6698.6500000000005</v>
      </c>
      <c r="Y364" s="12">
        <f t="shared" si="62"/>
        <v>4200</v>
      </c>
      <c r="Z364" s="16">
        <f>VLOOKUP(T364,Taxrate!A:B,2,FALSE)</f>
        <v>0.1</v>
      </c>
      <c r="AA364" s="12">
        <f t="shared" si="63"/>
        <v>669.86500000000012</v>
      </c>
      <c r="AB364" s="16">
        <f>VLOOKUP('Sales Dataset'!O364,'Discount Rate'!A:B,2,)</f>
        <v>0.05</v>
      </c>
      <c r="AC364" s="12">
        <f t="shared" si="64"/>
        <v>210</v>
      </c>
      <c r="AD364" s="18">
        <f t="shared" si="65"/>
        <v>4199.8499999999995</v>
      </c>
    </row>
    <row r="365" spans="1:30" ht="51" customHeight="1" x14ac:dyDescent="0.35">
      <c r="A365" s="9" t="s">
        <v>744</v>
      </c>
      <c r="B365" s="9" t="s">
        <v>745</v>
      </c>
      <c r="C365" s="9" t="s">
        <v>117</v>
      </c>
      <c r="D365" s="20" t="s">
        <v>19</v>
      </c>
      <c r="E365" s="9" t="s">
        <v>903</v>
      </c>
      <c r="F365" s="9" t="s">
        <v>904</v>
      </c>
      <c r="G365" s="8">
        <v>45156</v>
      </c>
      <c r="H365" s="7">
        <f t="shared" si="55"/>
        <v>2023</v>
      </c>
      <c r="I365" s="7" t="str">
        <f t="shared" si="56"/>
        <v>August</v>
      </c>
      <c r="J365" s="8" t="str">
        <f t="shared" si="57"/>
        <v>Friday</v>
      </c>
      <c r="K365" s="11">
        <v>0.69644675925925925</v>
      </c>
      <c r="L365" s="14">
        <f t="shared" si="58"/>
        <v>16</v>
      </c>
      <c r="M365" s="7">
        <f t="shared" si="59"/>
        <v>42</v>
      </c>
      <c r="N365" s="7">
        <f t="shared" si="60"/>
        <v>53</v>
      </c>
      <c r="O365" s="9" t="s">
        <v>40</v>
      </c>
      <c r="P365" s="9" t="s">
        <v>41</v>
      </c>
      <c r="Q365" s="9">
        <v>15</v>
      </c>
      <c r="R365" s="12">
        <v>230.61</v>
      </c>
      <c r="S365" s="12">
        <f>VLOOKUP(O365,'Product-cost'!A:B,2,)</f>
        <v>150</v>
      </c>
      <c r="T365" s="9" t="s">
        <v>45</v>
      </c>
      <c r="U365" s="9" t="s">
        <v>46</v>
      </c>
      <c r="V365" s="9" t="s">
        <v>878</v>
      </c>
      <c r="W365" s="9" t="s">
        <v>894</v>
      </c>
      <c r="X365" s="12">
        <f t="shared" si="61"/>
        <v>3459.15</v>
      </c>
      <c r="Y365" s="12">
        <f t="shared" si="62"/>
        <v>2250</v>
      </c>
      <c r="Z365" s="16">
        <f>VLOOKUP(T365,Taxrate!A:B,2,FALSE)</f>
        <v>7.0000000000000007E-2</v>
      </c>
      <c r="AA365" s="12">
        <f t="shared" si="63"/>
        <v>242.14050000000003</v>
      </c>
      <c r="AB365" s="16">
        <f>VLOOKUP('Sales Dataset'!O365,'Discount Rate'!A:B,2,)</f>
        <v>7.0000000000000007E-2</v>
      </c>
      <c r="AC365" s="12">
        <f t="shared" si="64"/>
        <v>157.50000000000003</v>
      </c>
      <c r="AD365" s="18">
        <f t="shared" si="65"/>
        <v>2249.8599999999997</v>
      </c>
    </row>
    <row r="366" spans="1:30" ht="51" customHeight="1" x14ac:dyDescent="0.35">
      <c r="A366" s="9" t="s">
        <v>746</v>
      </c>
      <c r="B366" s="9" t="s">
        <v>747</v>
      </c>
      <c r="C366" s="9" t="s">
        <v>18</v>
      </c>
      <c r="D366" s="20" t="s">
        <v>19</v>
      </c>
      <c r="E366" s="9" t="s">
        <v>903</v>
      </c>
      <c r="F366" s="9" t="s">
        <v>904</v>
      </c>
      <c r="G366" s="8">
        <v>45373</v>
      </c>
      <c r="H366" s="7">
        <f t="shared" si="55"/>
        <v>2024</v>
      </c>
      <c r="I366" s="7" t="str">
        <f t="shared" si="56"/>
        <v>March</v>
      </c>
      <c r="J366" s="8" t="str">
        <f t="shared" si="57"/>
        <v>Friday</v>
      </c>
      <c r="K366" s="11">
        <v>0.38278935185185187</v>
      </c>
      <c r="L366" s="14">
        <f t="shared" si="58"/>
        <v>9</v>
      </c>
      <c r="M366" s="7">
        <f t="shared" si="59"/>
        <v>11</v>
      </c>
      <c r="N366" s="7">
        <f t="shared" si="60"/>
        <v>13</v>
      </c>
      <c r="O366" s="9" t="s">
        <v>26</v>
      </c>
      <c r="P366" s="9" t="s">
        <v>27</v>
      </c>
      <c r="Q366" s="9">
        <v>5</v>
      </c>
      <c r="R366" s="12">
        <v>331.19</v>
      </c>
      <c r="S366" s="12">
        <f>VLOOKUP(O366,'Product-cost'!A:B,2,)</f>
        <v>200</v>
      </c>
      <c r="T366" s="9" t="s">
        <v>49</v>
      </c>
      <c r="U366" s="9" t="s">
        <v>23</v>
      </c>
      <c r="V366" s="9" t="s">
        <v>882</v>
      </c>
      <c r="W366" s="9" t="s">
        <v>895</v>
      </c>
      <c r="X366" s="12">
        <f t="shared" si="61"/>
        <v>1655.95</v>
      </c>
      <c r="Y366" s="12">
        <f t="shared" si="62"/>
        <v>1000</v>
      </c>
      <c r="Z366" s="16">
        <f>VLOOKUP(T366,Taxrate!A:B,2,FALSE)</f>
        <v>0.12</v>
      </c>
      <c r="AA366" s="12">
        <f t="shared" si="63"/>
        <v>198.714</v>
      </c>
      <c r="AB366" s="16">
        <f>VLOOKUP('Sales Dataset'!O366,'Discount Rate'!A:B,2,)</f>
        <v>0.08</v>
      </c>
      <c r="AC366" s="12">
        <f t="shared" si="64"/>
        <v>80</v>
      </c>
      <c r="AD366" s="18">
        <f t="shared" si="65"/>
        <v>999.8</v>
      </c>
    </row>
    <row r="367" spans="1:30" ht="51" customHeight="1" x14ac:dyDescent="0.35">
      <c r="A367" s="9" t="s">
        <v>748</v>
      </c>
      <c r="B367" s="9" t="s">
        <v>473</v>
      </c>
      <c r="C367" s="9" t="s">
        <v>117</v>
      </c>
      <c r="D367" s="20" t="s">
        <v>19</v>
      </c>
      <c r="E367" s="9" t="s">
        <v>903</v>
      </c>
      <c r="F367" s="9" t="s">
        <v>904</v>
      </c>
      <c r="G367" s="8">
        <v>45900</v>
      </c>
      <c r="H367" s="7">
        <f t="shared" si="55"/>
        <v>2025</v>
      </c>
      <c r="I367" s="7" t="str">
        <f t="shared" si="56"/>
        <v>August</v>
      </c>
      <c r="J367" s="8" t="str">
        <f t="shared" si="57"/>
        <v>Sunday</v>
      </c>
      <c r="K367" s="11">
        <v>0.88820601851851855</v>
      </c>
      <c r="L367" s="14">
        <f t="shared" si="58"/>
        <v>21</v>
      </c>
      <c r="M367" s="7">
        <f t="shared" si="59"/>
        <v>19</v>
      </c>
      <c r="N367" s="7">
        <f t="shared" si="60"/>
        <v>1</v>
      </c>
      <c r="O367" s="9" t="s">
        <v>40</v>
      </c>
      <c r="P367" s="9" t="s">
        <v>41</v>
      </c>
      <c r="Q367" s="9">
        <v>7</v>
      </c>
      <c r="R367" s="12">
        <v>263.88</v>
      </c>
      <c r="S367" s="12">
        <f>VLOOKUP(O367,'Product-cost'!A:B,2,)</f>
        <v>150</v>
      </c>
      <c r="T367" s="9" t="s">
        <v>45</v>
      </c>
      <c r="U367" s="9" t="s">
        <v>130</v>
      </c>
      <c r="V367" s="9" t="s">
        <v>879</v>
      </c>
      <c r="W367" s="9" t="s">
        <v>894</v>
      </c>
      <c r="X367" s="12">
        <f t="shared" si="61"/>
        <v>1847.1599999999999</v>
      </c>
      <c r="Y367" s="12">
        <f t="shared" si="62"/>
        <v>1050</v>
      </c>
      <c r="Z367" s="16">
        <f>VLOOKUP(T367,Taxrate!A:B,2,FALSE)</f>
        <v>7.0000000000000007E-2</v>
      </c>
      <c r="AA367" s="12">
        <f t="shared" si="63"/>
        <v>129.30119999999999</v>
      </c>
      <c r="AB367" s="16">
        <f>VLOOKUP('Sales Dataset'!O367,'Discount Rate'!A:B,2,)</f>
        <v>7.0000000000000007E-2</v>
      </c>
      <c r="AC367" s="12">
        <f t="shared" si="64"/>
        <v>73.5</v>
      </c>
      <c r="AD367" s="18">
        <f t="shared" si="65"/>
        <v>1049.8600000000001</v>
      </c>
    </row>
    <row r="368" spans="1:30" ht="51" customHeight="1" x14ac:dyDescent="0.35">
      <c r="A368" s="9" t="s">
        <v>749</v>
      </c>
      <c r="B368" s="9" t="s">
        <v>750</v>
      </c>
      <c r="C368" s="9" t="s">
        <v>11</v>
      </c>
      <c r="D368" s="20" t="s">
        <v>12</v>
      </c>
      <c r="E368" s="9" t="s">
        <v>901</v>
      </c>
      <c r="F368" s="9" t="s">
        <v>902</v>
      </c>
      <c r="G368" s="8">
        <v>45833</v>
      </c>
      <c r="H368" s="7">
        <f t="shared" si="55"/>
        <v>2025</v>
      </c>
      <c r="I368" s="7" t="str">
        <f t="shared" si="56"/>
        <v>June</v>
      </c>
      <c r="J368" s="8" t="str">
        <f t="shared" si="57"/>
        <v>Wednesday</v>
      </c>
      <c r="K368" s="11">
        <v>0.37390046296296298</v>
      </c>
      <c r="L368" s="14">
        <f t="shared" si="58"/>
        <v>8</v>
      </c>
      <c r="M368" s="7">
        <f t="shared" si="59"/>
        <v>58</v>
      </c>
      <c r="N368" s="7">
        <f t="shared" si="60"/>
        <v>25</v>
      </c>
      <c r="O368" s="9" t="s">
        <v>26</v>
      </c>
      <c r="P368" s="9" t="s">
        <v>27</v>
      </c>
      <c r="Q368" s="9">
        <v>15</v>
      </c>
      <c r="R368" s="12">
        <v>367.09</v>
      </c>
      <c r="S368" s="12">
        <f>VLOOKUP(O368,'Product-cost'!A:B,2,)</f>
        <v>200</v>
      </c>
      <c r="T368" s="9" t="s">
        <v>28</v>
      </c>
      <c r="U368" s="9" t="s">
        <v>15</v>
      </c>
      <c r="V368" s="9" t="s">
        <v>878</v>
      </c>
      <c r="W368" s="9" t="s">
        <v>894</v>
      </c>
      <c r="X368" s="12">
        <f t="shared" si="61"/>
        <v>5506.3499999999995</v>
      </c>
      <c r="Y368" s="12">
        <f t="shared" si="62"/>
        <v>3000</v>
      </c>
      <c r="Z368" s="16">
        <f>VLOOKUP(T368,Taxrate!A:B,2,FALSE)</f>
        <v>0.2</v>
      </c>
      <c r="AA368" s="12">
        <f t="shared" si="63"/>
        <v>1101.27</v>
      </c>
      <c r="AB368" s="16">
        <f>VLOOKUP('Sales Dataset'!O368,'Discount Rate'!A:B,2,)</f>
        <v>0.08</v>
      </c>
      <c r="AC368" s="12">
        <f t="shared" si="64"/>
        <v>240</v>
      </c>
      <c r="AD368" s="18">
        <f t="shared" si="65"/>
        <v>2999.7200000000003</v>
      </c>
    </row>
    <row r="369" spans="1:30" ht="51" customHeight="1" x14ac:dyDescent="0.35">
      <c r="A369" s="9" t="s">
        <v>751</v>
      </c>
      <c r="B369" s="9" t="s">
        <v>752</v>
      </c>
      <c r="C369" s="9" t="s">
        <v>172</v>
      </c>
      <c r="D369" s="20" t="s">
        <v>142</v>
      </c>
      <c r="E369" s="9" t="s">
        <v>917</v>
      </c>
      <c r="F369" s="9" t="s">
        <v>918</v>
      </c>
      <c r="G369" s="8">
        <v>45726</v>
      </c>
      <c r="H369" s="7">
        <f t="shared" si="55"/>
        <v>2025</v>
      </c>
      <c r="I369" s="7" t="str">
        <f t="shared" si="56"/>
        <v>March</v>
      </c>
      <c r="J369" s="8" t="str">
        <f t="shared" si="57"/>
        <v>Monday</v>
      </c>
      <c r="K369" s="11">
        <v>0.81040509259259264</v>
      </c>
      <c r="L369" s="14">
        <f t="shared" si="58"/>
        <v>19</v>
      </c>
      <c r="M369" s="7">
        <f t="shared" si="59"/>
        <v>26</v>
      </c>
      <c r="N369" s="7">
        <f t="shared" si="60"/>
        <v>59</v>
      </c>
      <c r="O369" s="9" t="s">
        <v>26</v>
      </c>
      <c r="P369" s="9" t="s">
        <v>27</v>
      </c>
      <c r="Q369" s="9">
        <v>15</v>
      </c>
      <c r="R369" s="12">
        <v>340.08</v>
      </c>
      <c r="S369" s="12">
        <f>VLOOKUP(O369,'Product-cost'!A:B,2,)</f>
        <v>200</v>
      </c>
      <c r="T369" s="9" t="s">
        <v>28</v>
      </c>
      <c r="U369" s="9" t="s">
        <v>235</v>
      </c>
      <c r="V369" s="9" t="s">
        <v>878</v>
      </c>
      <c r="W369" s="9" t="s">
        <v>894</v>
      </c>
      <c r="X369" s="12">
        <f t="shared" si="61"/>
        <v>5101.2</v>
      </c>
      <c r="Y369" s="12">
        <f t="shared" si="62"/>
        <v>3000</v>
      </c>
      <c r="Z369" s="16">
        <f>VLOOKUP(T369,Taxrate!A:B,2,FALSE)</f>
        <v>0.2</v>
      </c>
      <c r="AA369" s="12">
        <f t="shared" si="63"/>
        <v>1020.24</v>
      </c>
      <c r="AB369" s="16">
        <f>VLOOKUP('Sales Dataset'!O369,'Discount Rate'!A:B,2,)</f>
        <v>0.08</v>
      </c>
      <c r="AC369" s="12">
        <f t="shared" si="64"/>
        <v>240</v>
      </c>
      <c r="AD369" s="18">
        <f t="shared" si="65"/>
        <v>2999.7200000000003</v>
      </c>
    </row>
    <row r="370" spans="1:30" ht="51" customHeight="1" x14ac:dyDescent="0.35">
      <c r="A370" s="9" t="s">
        <v>753</v>
      </c>
      <c r="B370" s="9" t="s">
        <v>255</v>
      </c>
      <c r="C370" s="9" t="s">
        <v>52</v>
      </c>
      <c r="D370" s="20" t="s">
        <v>53</v>
      </c>
      <c r="E370" s="9" t="s">
        <v>909</v>
      </c>
      <c r="F370" s="9" t="s">
        <v>910</v>
      </c>
      <c r="G370" s="8">
        <v>45835</v>
      </c>
      <c r="H370" s="7">
        <f t="shared" si="55"/>
        <v>2025</v>
      </c>
      <c r="I370" s="7" t="str">
        <f t="shared" si="56"/>
        <v>June</v>
      </c>
      <c r="J370" s="8" t="str">
        <f t="shared" si="57"/>
        <v>Friday</v>
      </c>
      <c r="K370" s="11">
        <v>0.35083333333333333</v>
      </c>
      <c r="L370" s="14">
        <f t="shared" si="58"/>
        <v>8</v>
      </c>
      <c r="M370" s="7">
        <f t="shared" si="59"/>
        <v>25</v>
      </c>
      <c r="N370" s="7">
        <f t="shared" si="60"/>
        <v>12</v>
      </c>
      <c r="O370" s="9" t="s">
        <v>26</v>
      </c>
      <c r="P370" s="9" t="s">
        <v>27</v>
      </c>
      <c r="Q370" s="9">
        <v>2</v>
      </c>
      <c r="R370" s="12">
        <v>500</v>
      </c>
      <c r="S370" s="12">
        <f>VLOOKUP(O370,'Product-cost'!A:B,2,)</f>
        <v>200</v>
      </c>
      <c r="T370" s="9" t="s">
        <v>28</v>
      </c>
      <c r="U370" s="9" t="s">
        <v>54</v>
      </c>
      <c r="V370" s="9" t="s">
        <v>876</v>
      </c>
      <c r="W370" s="9" t="s">
        <v>896</v>
      </c>
      <c r="X370" s="12">
        <f t="shared" si="61"/>
        <v>1000</v>
      </c>
      <c r="Y370" s="12">
        <f t="shared" si="62"/>
        <v>400</v>
      </c>
      <c r="Z370" s="16">
        <f>VLOOKUP(T370,Taxrate!A:B,2,FALSE)</f>
        <v>0.2</v>
      </c>
      <c r="AA370" s="12">
        <f t="shared" si="63"/>
        <v>200</v>
      </c>
      <c r="AB370" s="16">
        <f>VLOOKUP('Sales Dataset'!O370,'Discount Rate'!A:B,2,)</f>
        <v>0.08</v>
      </c>
      <c r="AC370" s="12">
        <f t="shared" si="64"/>
        <v>32</v>
      </c>
      <c r="AD370" s="18">
        <f t="shared" si="65"/>
        <v>399.72</v>
      </c>
    </row>
    <row r="371" spans="1:30" ht="51" customHeight="1" x14ac:dyDescent="0.35">
      <c r="A371" s="9" t="s">
        <v>754</v>
      </c>
      <c r="B371" s="9" t="s">
        <v>755</v>
      </c>
      <c r="C371" s="9" t="s">
        <v>126</v>
      </c>
      <c r="D371" s="20" t="s">
        <v>19</v>
      </c>
      <c r="E371" s="9" t="s">
        <v>903</v>
      </c>
      <c r="F371" s="9" t="s">
        <v>904</v>
      </c>
      <c r="G371" s="8">
        <v>44936</v>
      </c>
      <c r="H371" s="7">
        <f t="shared" si="55"/>
        <v>2023</v>
      </c>
      <c r="I371" s="7" t="str">
        <f t="shared" si="56"/>
        <v>January</v>
      </c>
      <c r="J371" s="8" t="str">
        <f t="shared" si="57"/>
        <v>Tuesday</v>
      </c>
      <c r="K371" s="11">
        <v>0.44695601851851852</v>
      </c>
      <c r="L371" s="14">
        <f t="shared" si="58"/>
        <v>10</v>
      </c>
      <c r="M371" s="7">
        <f t="shared" si="59"/>
        <v>43</v>
      </c>
      <c r="N371" s="7">
        <f t="shared" si="60"/>
        <v>37</v>
      </c>
      <c r="O371" s="9" t="s">
        <v>26</v>
      </c>
      <c r="P371" s="9" t="s">
        <v>27</v>
      </c>
      <c r="Q371" s="9">
        <v>4</v>
      </c>
      <c r="R371" s="12">
        <v>500</v>
      </c>
      <c r="S371" s="12">
        <f>VLOOKUP(O371,'Product-cost'!A:B,2,)</f>
        <v>200</v>
      </c>
      <c r="T371" s="9" t="s">
        <v>22</v>
      </c>
      <c r="U371" s="9" t="s">
        <v>23</v>
      </c>
      <c r="V371" s="9" t="s">
        <v>872</v>
      </c>
      <c r="W371" s="9" t="s">
        <v>896</v>
      </c>
      <c r="X371" s="12">
        <f t="shared" si="61"/>
        <v>2000</v>
      </c>
      <c r="Y371" s="12">
        <f t="shared" si="62"/>
        <v>800</v>
      </c>
      <c r="Z371" s="16">
        <f>VLOOKUP(T371,Taxrate!A:B,2,FALSE)</f>
        <v>0.1</v>
      </c>
      <c r="AA371" s="12">
        <f t="shared" si="63"/>
        <v>200</v>
      </c>
      <c r="AB371" s="16">
        <f>VLOOKUP('Sales Dataset'!O371,'Discount Rate'!A:B,2,)</f>
        <v>0.08</v>
      </c>
      <c r="AC371" s="12">
        <f t="shared" si="64"/>
        <v>64</v>
      </c>
      <c r="AD371" s="18">
        <f t="shared" si="65"/>
        <v>799.81999999999994</v>
      </c>
    </row>
    <row r="372" spans="1:30" ht="51" customHeight="1" x14ac:dyDescent="0.35">
      <c r="A372" s="9" t="s">
        <v>756</v>
      </c>
      <c r="B372" s="9" t="s">
        <v>682</v>
      </c>
      <c r="C372" s="9" t="s">
        <v>18</v>
      </c>
      <c r="D372" s="20" t="s">
        <v>19</v>
      </c>
      <c r="E372" s="9" t="s">
        <v>903</v>
      </c>
      <c r="F372" s="9" t="s">
        <v>904</v>
      </c>
      <c r="G372" s="8">
        <v>45785</v>
      </c>
      <c r="H372" s="7">
        <f t="shared" si="55"/>
        <v>2025</v>
      </c>
      <c r="I372" s="7" t="str">
        <f t="shared" si="56"/>
        <v>May</v>
      </c>
      <c r="J372" s="8" t="str">
        <f t="shared" si="57"/>
        <v>Thursday</v>
      </c>
      <c r="K372" s="11">
        <v>0.53118055555555554</v>
      </c>
      <c r="L372" s="14">
        <f t="shared" si="58"/>
        <v>12</v>
      </c>
      <c r="M372" s="7">
        <f t="shared" si="59"/>
        <v>44</v>
      </c>
      <c r="N372" s="7">
        <f t="shared" si="60"/>
        <v>54</v>
      </c>
      <c r="O372" s="9" t="s">
        <v>20</v>
      </c>
      <c r="P372" s="9" t="s">
        <v>21</v>
      </c>
      <c r="Q372" s="9">
        <v>7</v>
      </c>
      <c r="R372" s="12">
        <v>660.12</v>
      </c>
      <c r="S372" s="12">
        <f>VLOOKUP(O372,'Product-cost'!A:B,2,)</f>
        <v>300</v>
      </c>
      <c r="T372" s="9" t="s">
        <v>28</v>
      </c>
      <c r="U372" s="9" t="s">
        <v>46</v>
      </c>
      <c r="V372" s="9" t="s">
        <v>872</v>
      </c>
      <c r="W372" s="9" t="s">
        <v>896</v>
      </c>
      <c r="X372" s="12">
        <f t="shared" si="61"/>
        <v>4620.84</v>
      </c>
      <c r="Y372" s="12">
        <f t="shared" si="62"/>
        <v>2100</v>
      </c>
      <c r="Z372" s="16">
        <f>VLOOKUP(T372,Taxrate!A:B,2,FALSE)</f>
        <v>0.2</v>
      </c>
      <c r="AA372" s="12">
        <f t="shared" si="63"/>
        <v>924.16800000000012</v>
      </c>
      <c r="AB372" s="16">
        <f>VLOOKUP('Sales Dataset'!O372,'Discount Rate'!A:B,2,)</f>
        <v>0.1</v>
      </c>
      <c r="AC372" s="12">
        <f t="shared" si="64"/>
        <v>210</v>
      </c>
      <c r="AD372" s="18">
        <f t="shared" si="65"/>
        <v>2099.7000000000003</v>
      </c>
    </row>
    <row r="373" spans="1:30" ht="51" customHeight="1" x14ac:dyDescent="0.35">
      <c r="A373" s="9" t="s">
        <v>757</v>
      </c>
      <c r="B373" s="9" t="s">
        <v>604</v>
      </c>
      <c r="C373" s="9" t="s">
        <v>65</v>
      </c>
      <c r="D373" s="20" t="s">
        <v>53</v>
      </c>
      <c r="E373" s="9" t="s">
        <v>909</v>
      </c>
      <c r="F373" s="9" t="s">
        <v>910</v>
      </c>
      <c r="G373" s="8">
        <v>45386</v>
      </c>
      <c r="H373" s="7">
        <f t="shared" si="55"/>
        <v>2024</v>
      </c>
      <c r="I373" s="7" t="str">
        <f t="shared" si="56"/>
        <v>April</v>
      </c>
      <c r="J373" s="8" t="str">
        <f t="shared" si="57"/>
        <v>Thursday</v>
      </c>
      <c r="K373" s="11">
        <v>0.49712962962962964</v>
      </c>
      <c r="L373" s="14">
        <f t="shared" si="58"/>
        <v>11</v>
      </c>
      <c r="M373" s="7">
        <f t="shared" si="59"/>
        <v>55</v>
      </c>
      <c r="N373" s="7">
        <f t="shared" si="60"/>
        <v>52</v>
      </c>
      <c r="O373" s="9" t="s">
        <v>26</v>
      </c>
      <c r="P373" s="9" t="s">
        <v>27</v>
      </c>
      <c r="Q373" s="9">
        <v>8</v>
      </c>
      <c r="R373" s="12">
        <v>406.26</v>
      </c>
      <c r="S373" s="12">
        <f>VLOOKUP(O373,'Product-cost'!A:B,2,)</f>
        <v>200</v>
      </c>
      <c r="T373" s="9" t="s">
        <v>28</v>
      </c>
      <c r="U373" s="9" t="s">
        <v>68</v>
      </c>
      <c r="V373" s="9" t="s">
        <v>873</v>
      </c>
      <c r="W373" s="9" t="s">
        <v>895</v>
      </c>
      <c r="X373" s="12">
        <f t="shared" si="61"/>
        <v>3250.08</v>
      </c>
      <c r="Y373" s="12">
        <f t="shared" si="62"/>
        <v>1600</v>
      </c>
      <c r="Z373" s="16">
        <f>VLOOKUP(T373,Taxrate!A:B,2,FALSE)</f>
        <v>0.2</v>
      </c>
      <c r="AA373" s="12">
        <f t="shared" si="63"/>
        <v>650.01600000000008</v>
      </c>
      <c r="AB373" s="16">
        <f>VLOOKUP('Sales Dataset'!O373,'Discount Rate'!A:B,2,)</f>
        <v>0.08</v>
      </c>
      <c r="AC373" s="12">
        <f t="shared" si="64"/>
        <v>128</v>
      </c>
      <c r="AD373" s="18">
        <f t="shared" si="65"/>
        <v>1599.72</v>
      </c>
    </row>
    <row r="374" spans="1:30" ht="51" customHeight="1" x14ac:dyDescent="0.35">
      <c r="A374" s="9" t="s">
        <v>758</v>
      </c>
      <c r="B374" s="9" t="s">
        <v>259</v>
      </c>
      <c r="C374" s="9" t="s">
        <v>172</v>
      </c>
      <c r="D374" s="20" t="s">
        <v>142</v>
      </c>
      <c r="E374" s="9" t="s">
        <v>917</v>
      </c>
      <c r="F374" s="9" t="s">
        <v>918</v>
      </c>
      <c r="G374" s="8">
        <v>46192</v>
      </c>
      <c r="H374" s="7">
        <f t="shared" si="55"/>
        <v>2026</v>
      </c>
      <c r="I374" s="7" t="str">
        <f t="shared" si="56"/>
        <v>June</v>
      </c>
      <c r="J374" s="8" t="str">
        <f t="shared" si="57"/>
        <v>Friday</v>
      </c>
      <c r="K374" s="11">
        <v>0.47473379629629631</v>
      </c>
      <c r="L374" s="14">
        <f t="shared" si="58"/>
        <v>11</v>
      </c>
      <c r="M374" s="7">
        <f t="shared" si="59"/>
        <v>23</v>
      </c>
      <c r="N374" s="7">
        <f t="shared" si="60"/>
        <v>37</v>
      </c>
      <c r="O374" s="9" t="s">
        <v>66</v>
      </c>
      <c r="P374" s="9" t="s">
        <v>67</v>
      </c>
      <c r="Q374" s="9">
        <v>7</v>
      </c>
      <c r="R374" s="12">
        <v>185.36</v>
      </c>
      <c r="S374" s="12">
        <f>VLOOKUP(O374,'Product-cost'!A:B,2,)</f>
        <v>50</v>
      </c>
      <c r="T374" s="9" t="s">
        <v>34</v>
      </c>
      <c r="U374" s="9" t="s">
        <v>235</v>
      </c>
      <c r="V374" s="9" t="s">
        <v>872</v>
      </c>
      <c r="W374" s="9" t="s">
        <v>896</v>
      </c>
      <c r="X374" s="12">
        <f t="shared" si="61"/>
        <v>1297.52</v>
      </c>
      <c r="Y374" s="12">
        <f t="shared" si="62"/>
        <v>350</v>
      </c>
      <c r="Z374" s="16">
        <f>VLOOKUP(T374,Taxrate!A:B,2,FALSE)</f>
        <v>0.15</v>
      </c>
      <c r="AA374" s="12">
        <f t="shared" si="63"/>
        <v>194.62799999999999</v>
      </c>
      <c r="AB374" s="16">
        <f>VLOOKUP('Sales Dataset'!O374,'Discount Rate'!A:B,2,)</f>
        <v>0.03</v>
      </c>
      <c r="AC374" s="12">
        <f t="shared" si="64"/>
        <v>10.5</v>
      </c>
      <c r="AD374" s="18">
        <f t="shared" si="65"/>
        <v>349.82000000000005</v>
      </c>
    </row>
    <row r="375" spans="1:30" ht="51" customHeight="1" x14ac:dyDescent="0.35">
      <c r="A375" s="9" t="s">
        <v>759</v>
      </c>
      <c r="B375" s="9" t="s">
        <v>760</v>
      </c>
      <c r="C375" s="9" t="s">
        <v>65</v>
      </c>
      <c r="D375" s="20" t="s">
        <v>53</v>
      </c>
      <c r="E375" s="9" t="s">
        <v>909</v>
      </c>
      <c r="F375" s="9" t="s">
        <v>910</v>
      </c>
      <c r="G375" s="8">
        <v>46168</v>
      </c>
      <c r="H375" s="7">
        <f t="shared" si="55"/>
        <v>2026</v>
      </c>
      <c r="I375" s="7" t="str">
        <f t="shared" si="56"/>
        <v>May</v>
      </c>
      <c r="J375" s="8" t="str">
        <f t="shared" si="57"/>
        <v>Tuesday</v>
      </c>
      <c r="K375" s="11">
        <v>0.3448148148148148</v>
      </c>
      <c r="L375" s="14">
        <f t="shared" si="58"/>
        <v>8</v>
      </c>
      <c r="M375" s="7">
        <f t="shared" si="59"/>
        <v>16</v>
      </c>
      <c r="N375" s="7">
        <f t="shared" si="60"/>
        <v>32</v>
      </c>
      <c r="O375" s="9" t="s">
        <v>40</v>
      </c>
      <c r="P375" s="9" t="s">
        <v>41</v>
      </c>
      <c r="Q375" s="9">
        <v>7</v>
      </c>
      <c r="R375" s="12">
        <v>190.55</v>
      </c>
      <c r="S375" s="12">
        <f>VLOOKUP(O375,'Product-cost'!A:B,2,)</f>
        <v>150</v>
      </c>
      <c r="T375" s="9" t="s">
        <v>49</v>
      </c>
      <c r="U375" s="9" t="s">
        <v>206</v>
      </c>
      <c r="V375" s="9" t="s">
        <v>875</v>
      </c>
      <c r="W375" s="9" t="s">
        <v>894</v>
      </c>
      <c r="X375" s="12">
        <f t="shared" si="61"/>
        <v>1333.8500000000001</v>
      </c>
      <c r="Y375" s="12">
        <f t="shared" si="62"/>
        <v>1050</v>
      </c>
      <c r="Z375" s="16">
        <f>VLOOKUP(T375,Taxrate!A:B,2,FALSE)</f>
        <v>0.12</v>
      </c>
      <c r="AA375" s="12">
        <f t="shared" si="63"/>
        <v>160.06200000000001</v>
      </c>
      <c r="AB375" s="16">
        <f>VLOOKUP('Sales Dataset'!O375,'Discount Rate'!A:B,2,)</f>
        <v>7.0000000000000007E-2</v>
      </c>
      <c r="AC375" s="12">
        <f t="shared" si="64"/>
        <v>73.5</v>
      </c>
      <c r="AD375" s="18">
        <f t="shared" si="65"/>
        <v>1049.8100000000002</v>
      </c>
    </row>
    <row r="376" spans="1:30" ht="51" customHeight="1" x14ac:dyDescent="0.35">
      <c r="A376" s="9" t="s">
        <v>761</v>
      </c>
      <c r="B376" s="9" t="s">
        <v>762</v>
      </c>
      <c r="C376" s="9" t="s">
        <v>114</v>
      </c>
      <c r="D376" s="20" t="s">
        <v>19</v>
      </c>
      <c r="E376" s="9" t="s">
        <v>903</v>
      </c>
      <c r="F376" s="9" t="s">
        <v>904</v>
      </c>
      <c r="G376" s="8">
        <v>45217</v>
      </c>
      <c r="H376" s="7">
        <f t="shared" si="55"/>
        <v>2023</v>
      </c>
      <c r="I376" s="7" t="str">
        <f t="shared" si="56"/>
        <v>October</v>
      </c>
      <c r="J376" s="8" t="str">
        <f t="shared" si="57"/>
        <v>Wednesday</v>
      </c>
      <c r="K376" s="11">
        <v>0.38891203703703703</v>
      </c>
      <c r="L376" s="14">
        <f t="shared" si="58"/>
        <v>9</v>
      </c>
      <c r="M376" s="7">
        <f t="shared" si="59"/>
        <v>20</v>
      </c>
      <c r="N376" s="7">
        <f t="shared" si="60"/>
        <v>2</v>
      </c>
      <c r="O376" s="9" t="s">
        <v>20</v>
      </c>
      <c r="P376" s="9" t="s">
        <v>21</v>
      </c>
      <c r="Q376" s="9">
        <v>14</v>
      </c>
      <c r="R376" s="12">
        <v>588.17999999999995</v>
      </c>
      <c r="S376" s="12">
        <f>VLOOKUP(O376,'Product-cost'!A:B,2,)</f>
        <v>300</v>
      </c>
      <c r="T376" s="9" t="s">
        <v>34</v>
      </c>
      <c r="U376" s="9" t="s">
        <v>46</v>
      </c>
      <c r="V376" s="9" t="s">
        <v>872</v>
      </c>
      <c r="W376" s="9" t="s">
        <v>896</v>
      </c>
      <c r="X376" s="12">
        <f t="shared" si="61"/>
        <v>8234.5199999999986</v>
      </c>
      <c r="Y376" s="12">
        <f t="shared" si="62"/>
        <v>4200</v>
      </c>
      <c r="Z376" s="16">
        <f>VLOOKUP(T376,Taxrate!A:B,2,FALSE)</f>
        <v>0.15</v>
      </c>
      <c r="AA376" s="12">
        <f t="shared" si="63"/>
        <v>1235.1779999999997</v>
      </c>
      <c r="AB376" s="16">
        <f>VLOOKUP('Sales Dataset'!O376,'Discount Rate'!A:B,2,)</f>
        <v>0.1</v>
      </c>
      <c r="AC376" s="12">
        <f t="shared" si="64"/>
        <v>420</v>
      </c>
      <c r="AD376" s="18">
        <f t="shared" si="65"/>
        <v>4199.75</v>
      </c>
    </row>
    <row r="377" spans="1:30" ht="51" customHeight="1" x14ac:dyDescent="0.35">
      <c r="A377" s="9" t="s">
        <v>763</v>
      </c>
      <c r="B377" s="9" t="s">
        <v>764</v>
      </c>
      <c r="C377" s="9" t="s">
        <v>65</v>
      </c>
      <c r="D377" s="20" t="s">
        <v>53</v>
      </c>
      <c r="E377" s="9" t="s">
        <v>909</v>
      </c>
      <c r="F377" s="9" t="s">
        <v>910</v>
      </c>
      <c r="G377" s="8">
        <v>46358</v>
      </c>
      <c r="H377" s="7">
        <f t="shared" si="55"/>
        <v>2026</v>
      </c>
      <c r="I377" s="7" t="str">
        <f t="shared" si="56"/>
        <v>December</v>
      </c>
      <c r="J377" s="8" t="str">
        <f t="shared" si="57"/>
        <v>Wednesday</v>
      </c>
      <c r="K377" s="11">
        <v>0.34177083333333336</v>
      </c>
      <c r="L377" s="14">
        <f t="shared" si="58"/>
        <v>8</v>
      </c>
      <c r="M377" s="7">
        <f t="shared" si="59"/>
        <v>12</v>
      </c>
      <c r="N377" s="7">
        <f t="shared" si="60"/>
        <v>9</v>
      </c>
      <c r="O377" s="9" t="s">
        <v>13</v>
      </c>
      <c r="P377" s="9" t="s">
        <v>14</v>
      </c>
      <c r="Q377" s="9">
        <v>1</v>
      </c>
      <c r="R377" s="12">
        <v>881.78</v>
      </c>
      <c r="S377" s="12">
        <f>VLOOKUP(O377,'Product-cost'!A:B,2,)</f>
        <v>600</v>
      </c>
      <c r="T377" s="9" t="s">
        <v>34</v>
      </c>
      <c r="U377" s="9" t="s">
        <v>68</v>
      </c>
      <c r="V377" s="9" t="s">
        <v>880</v>
      </c>
      <c r="W377" s="9" t="s">
        <v>894</v>
      </c>
      <c r="X377" s="12">
        <f t="shared" si="61"/>
        <v>881.78</v>
      </c>
      <c r="Y377" s="12">
        <f t="shared" si="62"/>
        <v>600</v>
      </c>
      <c r="Z377" s="16">
        <f>VLOOKUP(T377,Taxrate!A:B,2,FALSE)</f>
        <v>0.15</v>
      </c>
      <c r="AA377" s="12">
        <f t="shared" si="63"/>
        <v>132.267</v>
      </c>
      <c r="AB377" s="16">
        <f>VLOOKUP('Sales Dataset'!O377,'Discount Rate'!A:B,2,)</f>
        <v>0.05</v>
      </c>
      <c r="AC377" s="12">
        <f t="shared" si="64"/>
        <v>30</v>
      </c>
      <c r="AD377" s="18">
        <f t="shared" si="65"/>
        <v>599.80000000000007</v>
      </c>
    </row>
    <row r="378" spans="1:30" ht="51" customHeight="1" x14ac:dyDescent="0.35">
      <c r="A378" s="9" t="s">
        <v>765</v>
      </c>
      <c r="B378" s="9" t="s">
        <v>766</v>
      </c>
      <c r="C378" s="9" t="s">
        <v>65</v>
      </c>
      <c r="D378" s="20" t="s">
        <v>53</v>
      </c>
      <c r="E378" s="9" t="s">
        <v>909</v>
      </c>
      <c r="F378" s="9" t="s">
        <v>910</v>
      </c>
      <c r="G378" s="8">
        <v>45230</v>
      </c>
      <c r="H378" s="7">
        <f t="shared" si="55"/>
        <v>2023</v>
      </c>
      <c r="I378" s="7" t="str">
        <f t="shared" si="56"/>
        <v>October</v>
      </c>
      <c r="J378" s="8" t="str">
        <f t="shared" si="57"/>
        <v>Tuesday</v>
      </c>
      <c r="K378" s="11">
        <v>0.5452893518518519</v>
      </c>
      <c r="L378" s="14">
        <f t="shared" si="58"/>
        <v>13</v>
      </c>
      <c r="M378" s="7">
        <f t="shared" si="59"/>
        <v>5</v>
      </c>
      <c r="N378" s="7">
        <f t="shared" si="60"/>
        <v>13</v>
      </c>
      <c r="O378" s="9" t="s">
        <v>26</v>
      </c>
      <c r="P378" s="9" t="s">
        <v>27</v>
      </c>
      <c r="Q378" s="9">
        <v>3</v>
      </c>
      <c r="R378" s="12">
        <v>484.51</v>
      </c>
      <c r="S378" s="12">
        <f>VLOOKUP(O378,'Product-cost'!A:B,2,)</f>
        <v>200</v>
      </c>
      <c r="T378" s="9" t="s">
        <v>49</v>
      </c>
      <c r="U378" s="9" t="s">
        <v>68</v>
      </c>
      <c r="V378" s="9" t="s">
        <v>868</v>
      </c>
      <c r="W378" s="9" t="s">
        <v>894</v>
      </c>
      <c r="X378" s="12">
        <f t="shared" si="61"/>
        <v>1453.53</v>
      </c>
      <c r="Y378" s="12">
        <f t="shared" si="62"/>
        <v>600</v>
      </c>
      <c r="Z378" s="16">
        <f>VLOOKUP(T378,Taxrate!A:B,2,FALSE)</f>
        <v>0.12</v>
      </c>
      <c r="AA378" s="12">
        <f t="shared" si="63"/>
        <v>174.42359999999999</v>
      </c>
      <c r="AB378" s="16">
        <f>VLOOKUP('Sales Dataset'!O378,'Discount Rate'!A:B,2,)</f>
        <v>0.08</v>
      </c>
      <c r="AC378" s="12">
        <f t="shared" si="64"/>
        <v>48</v>
      </c>
      <c r="AD378" s="18">
        <f t="shared" si="65"/>
        <v>599.79999999999995</v>
      </c>
    </row>
    <row r="379" spans="1:30" ht="51" customHeight="1" x14ac:dyDescent="0.35">
      <c r="A379" s="9" t="s">
        <v>767</v>
      </c>
      <c r="B379" s="9" t="s">
        <v>768</v>
      </c>
      <c r="C379" s="9" t="s">
        <v>18</v>
      </c>
      <c r="D379" s="20" t="s">
        <v>19</v>
      </c>
      <c r="E379" s="9" t="s">
        <v>903</v>
      </c>
      <c r="F379" s="9" t="s">
        <v>904</v>
      </c>
      <c r="G379" s="8">
        <v>46313</v>
      </c>
      <c r="H379" s="7">
        <f t="shared" si="55"/>
        <v>2026</v>
      </c>
      <c r="I379" s="7" t="str">
        <f t="shared" si="56"/>
        <v>October</v>
      </c>
      <c r="J379" s="8" t="str">
        <f t="shared" si="57"/>
        <v>Sunday</v>
      </c>
      <c r="K379" s="11">
        <v>0.54256944444444444</v>
      </c>
      <c r="L379" s="14">
        <f t="shared" si="58"/>
        <v>13</v>
      </c>
      <c r="M379" s="7">
        <f t="shared" si="59"/>
        <v>1</v>
      </c>
      <c r="N379" s="7">
        <f t="shared" si="60"/>
        <v>18</v>
      </c>
      <c r="O379" s="9" t="s">
        <v>13</v>
      </c>
      <c r="P379" s="9" t="s">
        <v>14</v>
      </c>
      <c r="Q379" s="9">
        <v>10</v>
      </c>
      <c r="R379" s="12">
        <v>853.03</v>
      </c>
      <c r="S379" s="12">
        <f>VLOOKUP(O379,'Product-cost'!A:B,2,)</f>
        <v>600</v>
      </c>
      <c r="T379" s="9" t="s">
        <v>22</v>
      </c>
      <c r="U379" s="9" t="s">
        <v>23</v>
      </c>
      <c r="V379" s="9" t="s">
        <v>875</v>
      </c>
      <c r="W379" s="9" t="s">
        <v>894</v>
      </c>
      <c r="X379" s="12">
        <f t="shared" si="61"/>
        <v>8530.2999999999993</v>
      </c>
      <c r="Y379" s="12">
        <f t="shared" si="62"/>
        <v>6000</v>
      </c>
      <c r="Z379" s="16">
        <f>VLOOKUP(T379,Taxrate!A:B,2,FALSE)</f>
        <v>0.1</v>
      </c>
      <c r="AA379" s="12">
        <f t="shared" si="63"/>
        <v>853.03</v>
      </c>
      <c r="AB379" s="16">
        <f>VLOOKUP('Sales Dataset'!O379,'Discount Rate'!A:B,2,)</f>
        <v>0.05</v>
      </c>
      <c r="AC379" s="12">
        <f t="shared" si="64"/>
        <v>300</v>
      </c>
      <c r="AD379" s="18">
        <f t="shared" si="65"/>
        <v>5999.8499999999995</v>
      </c>
    </row>
    <row r="380" spans="1:30" ht="51" customHeight="1" x14ac:dyDescent="0.35">
      <c r="A380" s="9" t="s">
        <v>769</v>
      </c>
      <c r="B380" s="9" t="s">
        <v>770</v>
      </c>
      <c r="C380" s="9" t="s">
        <v>76</v>
      </c>
      <c r="D380" s="20" t="s">
        <v>33</v>
      </c>
      <c r="E380" s="9" t="s">
        <v>905</v>
      </c>
      <c r="F380" s="9" t="s">
        <v>906</v>
      </c>
      <c r="G380" s="8">
        <v>46151</v>
      </c>
      <c r="H380" s="7">
        <f t="shared" si="55"/>
        <v>2026</v>
      </c>
      <c r="I380" s="7" t="str">
        <f t="shared" si="56"/>
        <v>May</v>
      </c>
      <c r="J380" s="8" t="str">
        <f t="shared" si="57"/>
        <v>Saturday</v>
      </c>
      <c r="K380" s="11">
        <v>0.57414351851851853</v>
      </c>
      <c r="L380" s="14">
        <f t="shared" si="58"/>
        <v>13</v>
      </c>
      <c r="M380" s="7">
        <f t="shared" si="59"/>
        <v>46</v>
      </c>
      <c r="N380" s="7">
        <f t="shared" si="60"/>
        <v>46</v>
      </c>
      <c r="O380" s="9" t="s">
        <v>40</v>
      </c>
      <c r="P380" s="9" t="s">
        <v>41</v>
      </c>
      <c r="Q380" s="9">
        <v>14</v>
      </c>
      <c r="R380" s="12">
        <v>500</v>
      </c>
      <c r="S380" s="12">
        <f>VLOOKUP(O380,'Product-cost'!A:B,2,)</f>
        <v>150</v>
      </c>
      <c r="T380" s="9" t="s">
        <v>22</v>
      </c>
      <c r="U380" s="9" t="s">
        <v>77</v>
      </c>
      <c r="V380" s="9" t="s">
        <v>872</v>
      </c>
      <c r="W380" s="9" t="s">
        <v>896</v>
      </c>
      <c r="X380" s="12">
        <f t="shared" si="61"/>
        <v>7000</v>
      </c>
      <c r="Y380" s="12">
        <f t="shared" si="62"/>
        <v>2100</v>
      </c>
      <c r="Z380" s="16">
        <f>VLOOKUP(T380,Taxrate!A:B,2,FALSE)</f>
        <v>0.1</v>
      </c>
      <c r="AA380" s="12">
        <f t="shared" si="63"/>
        <v>700</v>
      </c>
      <c r="AB380" s="16">
        <f>VLOOKUP('Sales Dataset'!O380,'Discount Rate'!A:B,2,)</f>
        <v>7.0000000000000007E-2</v>
      </c>
      <c r="AC380" s="12">
        <f t="shared" si="64"/>
        <v>147</v>
      </c>
      <c r="AD380" s="18">
        <f t="shared" si="65"/>
        <v>2099.83</v>
      </c>
    </row>
    <row r="381" spans="1:30" ht="51" customHeight="1" x14ac:dyDescent="0.35">
      <c r="A381" s="9" t="s">
        <v>771</v>
      </c>
      <c r="B381" s="9" t="s">
        <v>660</v>
      </c>
      <c r="C381" s="9" t="s">
        <v>141</v>
      </c>
      <c r="D381" s="20" t="s">
        <v>142</v>
      </c>
      <c r="E381" s="9" t="s">
        <v>917</v>
      </c>
      <c r="F381" s="9" t="s">
        <v>918</v>
      </c>
      <c r="G381" s="8">
        <v>45262</v>
      </c>
      <c r="H381" s="7">
        <f t="shared" si="55"/>
        <v>2023</v>
      </c>
      <c r="I381" s="7" t="str">
        <f t="shared" si="56"/>
        <v>December</v>
      </c>
      <c r="J381" s="8" t="str">
        <f t="shared" si="57"/>
        <v>Saturday</v>
      </c>
      <c r="K381" s="11">
        <v>0.43390046296296297</v>
      </c>
      <c r="L381" s="14">
        <f t="shared" si="58"/>
        <v>10</v>
      </c>
      <c r="M381" s="7">
        <f t="shared" si="59"/>
        <v>24</v>
      </c>
      <c r="N381" s="7">
        <f t="shared" si="60"/>
        <v>49</v>
      </c>
      <c r="O381" s="9" t="s">
        <v>66</v>
      </c>
      <c r="P381" s="9" t="s">
        <v>67</v>
      </c>
      <c r="Q381" s="9">
        <v>13</v>
      </c>
      <c r="R381" s="12">
        <v>131.56</v>
      </c>
      <c r="S381" s="12">
        <f>VLOOKUP(O381,'Product-cost'!A:B,2,)</f>
        <v>50</v>
      </c>
      <c r="T381" s="9" t="s">
        <v>22</v>
      </c>
      <c r="U381" s="9" t="s">
        <v>235</v>
      </c>
      <c r="V381" s="9" t="s">
        <v>872</v>
      </c>
      <c r="W381" s="9" t="s">
        <v>896</v>
      </c>
      <c r="X381" s="12">
        <f t="shared" si="61"/>
        <v>1710.28</v>
      </c>
      <c r="Y381" s="12">
        <f t="shared" si="62"/>
        <v>650</v>
      </c>
      <c r="Z381" s="16">
        <f>VLOOKUP(T381,Taxrate!A:B,2,FALSE)</f>
        <v>0.1</v>
      </c>
      <c r="AA381" s="12">
        <f t="shared" si="63"/>
        <v>171.02800000000002</v>
      </c>
      <c r="AB381" s="16">
        <f>VLOOKUP('Sales Dataset'!O381,'Discount Rate'!A:B,2,)</f>
        <v>0.03</v>
      </c>
      <c r="AC381" s="12">
        <f t="shared" si="64"/>
        <v>19.5</v>
      </c>
      <c r="AD381" s="18">
        <f t="shared" si="65"/>
        <v>649.87</v>
      </c>
    </row>
    <row r="382" spans="1:30" ht="51" customHeight="1" x14ac:dyDescent="0.35">
      <c r="A382" s="9" t="s">
        <v>772</v>
      </c>
      <c r="B382" s="9" t="s">
        <v>773</v>
      </c>
      <c r="C382" s="9" t="s">
        <v>32</v>
      </c>
      <c r="D382" s="20" t="s">
        <v>33</v>
      </c>
      <c r="E382" s="9" t="s">
        <v>905</v>
      </c>
      <c r="F382" s="9" t="s">
        <v>906</v>
      </c>
      <c r="G382" s="8">
        <v>45929</v>
      </c>
      <c r="H382" s="7">
        <f t="shared" si="55"/>
        <v>2025</v>
      </c>
      <c r="I382" s="7" t="str">
        <f t="shared" si="56"/>
        <v>September</v>
      </c>
      <c r="J382" s="8" t="str">
        <f t="shared" si="57"/>
        <v>Monday</v>
      </c>
      <c r="K382" s="11">
        <v>0.60436342592592596</v>
      </c>
      <c r="L382" s="14">
        <f t="shared" si="58"/>
        <v>14</v>
      </c>
      <c r="M382" s="7">
        <f t="shared" si="59"/>
        <v>30</v>
      </c>
      <c r="N382" s="7">
        <f t="shared" si="60"/>
        <v>17</v>
      </c>
      <c r="O382" s="9" t="s">
        <v>40</v>
      </c>
      <c r="P382" s="9" t="s">
        <v>41</v>
      </c>
      <c r="Q382" s="9">
        <v>2</v>
      </c>
      <c r="R382" s="12">
        <v>265.20999999999998</v>
      </c>
      <c r="S382" s="12">
        <f>VLOOKUP(O382,'Product-cost'!A:B,2,)</f>
        <v>150</v>
      </c>
      <c r="T382" s="9" t="s">
        <v>49</v>
      </c>
      <c r="U382" s="9" t="s">
        <v>77</v>
      </c>
      <c r="V382" s="9" t="s">
        <v>881</v>
      </c>
      <c r="W382" s="9" t="s">
        <v>894</v>
      </c>
      <c r="X382" s="12">
        <f t="shared" si="61"/>
        <v>530.41999999999996</v>
      </c>
      <c r="Y382" s="12">
        <f t="shared" si="62"/>
        <v>300</v>
      </c>
      <c r="Z382" s="16">
        <f>VLOOKUP(T382,Taxrate!A:B,2,FALSE)</f>
        <v>0.12</v>
      </c>
      <c r="AA382" s="12">
        <f t="shared" si="63"/>
        <v>63.650399999999991</v>
      </c>
      <c r="AB382" s="16">
        <f>VLOOKUP('Sales Dataset'!O382,'Discount Rate'!A:B,2,)</f>
        <v>7.0000000000000007E-2</v>
      </c>
      <c r="AC382" s="12">
        <f t="shared" si="64"/>
        <v>21.000000000000004</v>
      </c>
      <c r="AD382" s="18">
        <f t="shared" si="65"/>
        <v>299.81</v>
      </c>
    </row>
    <row r="383" spans="1:30" ht="51" customHeight="1" x14ac:dyDescent="0.35">
      <c r="A383" s="9" t="s">
        <v>774</v>
      </c>
      <c r="B383" s="9" t="s">
        <v>775</v>
      </c>
      <c r="C383" s="9" t="s">
        <v>117</v>
      </c>
      <c r="D383" s="20" t="s">
        <v>19</v>
      </c>
      <c r="E383" s="9" t="s">
        <v>903</v>
      </c>
      <c r="F383" s="9" t="s">
        <v>904</v>
      </c>
      <c r="G383" s="8">
        <v>46006</v>
      </c>
      <c r="H383" s="7">
        <f t="shared" si="55"/>
        <v>2025</v>
      </c>
      <c r="I383" s="7" t="str">
        <f t="shared" si="56"/>
        <v>December</v>
      </c>
      <c r="J383" s="8" t="str">
        <f t="shared" si="57"/>
        <v>Monday</v>
      </c>
      <c r="K383" s="11">
        <v>0.52045138888888887</v>
      </c>
      <c r="L383" s="14">
        <f t="shared" si="58"/>
        <v>12</v>
      </c>
      <c r="M383" s="7">
        <f t="shared" si="59"/>
        <v>29</v>
      </c>
      <c r="N383" s="7">
        <f t="shared" si="60"/>
        <v>27</v>
      </c>
      <c r="O383" s="9" t="s">
        <v>13</v>
      </c>
      <c r="P383" s="9" t="s">
        <v>14</v>
      </c>
      <c r="Q383" s="9">
        <v>8</v>
      </c>
      <c r="R383" s="12">
        <v>1292.0899999999999</v>
      </c>
      <c r="S383" s="12">
        <f>VLOOKUP(O383,'Product-cost'!A:B,2,)</f>
        <v>600</v>
      </c>
      <c r="T383" s="9" t="s">
        <v>22</v>
      </c>
      <c r="U383" s="9" t="s">
        <v>130</v>
      </c>
      <c r="V383" s="9" t="s">
        <v>880</v>
      </c>
      <c r="W383" s="9" t="s">
        <v>894</v>
      </c>
      <c r="X383" s="12">
        <f t="shared" si="61"/>
        <v>10336.719999999999</v>
      </c>
      <c r="Y383" s="12">
        <f t="shared" si="62"/>
        <v>4800</v>
      </c>
      <c r="Z383" s="16">
        <f>VLOOKUP(T383,Taxrate!A:B,2,FALSE)</f>
        <v>0.1</v>
      </c>
      <c r="AA383" s="12">
        <f t="shared" si="63"/>
        <v>1033.672</v>
      </c>
      <c r="AB383" s="16">
        <f>VLOOKUP('Sales Dataset'!O383,'Discount Rate'!A:B,2,)</f>
        <v>0.05</v>
      </c>
      <c r="AC383" s="12">
        <f t="shared" si="64"/>
        <v>240</v>
      </c>
      <c r="AD383" s="18">
        <f t="shared" si="65"/>
        <v>4799.8499999999995</v>
      </c>
    </row>
    <row r="384" spans="1:30" ht="51" customHeight="1" x14ac:dyDescent="0.35">
      <c r="A384" s="9" t="s">
        <v>776</v>
      </c>
      <c r="B384" s="9" t="s">
        <v>777</v>
      </c>
      <c r="C384" s="9" t="s">
        <v>90</v>
      </c>
      <c r="D384" s="20" t="s">
        <v>91</v>
      </c>
      <c r="E384" s="9" t="s">
        <v>915</v>
      </c>
      <c r="F384" s="9" t="s">
        <v>916</v>
      </c>
      <c r="G384" s="8">
        <v>45120</v>
      </c>
      <c r="H384" s="7">
        <f t="shared" si="55"/>
        <v>2023</v>
      </c>
      <c r="I384" s="7" t="str">
        <f t="shared" si="56"/>
        <v>July</v>
      </c>
      <c r="J384" s="8" t="str">
        <f t="shared" si="57"/>
        <v>Thursday</v>
      </c>
      <c r="K384" s="11">
        <v>0.78236111111111106</v>
      </c>
      <c r="L384" s="14">
        <f t="shared" si="58"/>
        <v>18</v>
      </c>
      <c r="M384" s="7">
        <f t="shared" si="59"/>
        <v>46</v>
      </c>
      <c r="N384" s="7">
        <f t="shared" si="60"/>
        <v>36</v>
      </c>
      <c r="O384" s="9" t="s">
        <v>26</v>
      </c>
      <c r="P384" s="9" t="s">
        <v>27</v>
      </c>
      <c r="Q384" s="9">
        <v>10</v>
      </c>
      <c r="R384" s="12">
        <v>500</v>
      </c>
      <c r="S384" s="12">
        <f>VLOOKUP(O384,'Product-cost'!A:B,2,)</f>
        <v>200</v>
      </c>
      <c r="T384" s="9" t="s">
        <v>49</v>
      </c>
      <c r="U384" s="9" t="s">
        <v>92</v>
      </c>
      <c r="V384" s="9" t="s">
        <v>877</v>
      </c>
      <c r="W384" s="9" t="s">
        <v>894</v>
      </c>
      <c r="X384" s="12">
        <f t="shared" si="61"/>
        <v>5000</v>
      </c>
      <c r="Y384" s="12">
        <f t="shared" si="62"/>
        <v>2000</v>
      </c>
      <c r="Z384" s="16">
        <f>VLOOKUP(T384,Taxrate!A:B,2,FALSE)</f>
        <v>0.12</v>
      </c>
      <c r="AA384" s="12">
        <f t="shared" si="63"/>
        <v>600</v>
      </c>
      <c r="AB384" s="16">
        <f>VLOOKUP('Sales Dataset'!O384,'Discount Rate'!A:B,2,)</f>
        <v>0.08</v>
      </c>
      <c r="AC384" s="12">
        <f t="shared" si="64"/>
        <v>160</v>
      </c>
      <c r="AD384" s="18">
        <f t="shared" si="65"/>
        <v>1999.8000000000002</v>
      </c>
    </row>
    <row r="385" spans="1:30" ht="51" customHeight="1" x14ac:dyDescent="0.35">
      <c r="A385" s="9" t="s">
        <v>778</v>
      </c>
      <c r="B385" s="9" t="s">
        <v>406</v>
      </c>
      <c r="C385" s="9" t="s">
        <v>107</v>
      </c>
      <c r="D385" s="20" t="s">
        <v>53</v>
      </c>
      <c r="E385" s="9" t="s">
        <v>909</v>
      </c>
      <c r="F385" s="9" t="s">
        <v>910</v>
      </c>
      <c r="G385" s="8">
        <v>46129</v>
      </c>
      <c r="H385" s="7">
        <f t="shared" si="55"/>
        <v>2026</v>
      </c>
      <c r="I385" s="7" t="str">
        <f t="shared" si="56"/>
        <v>April</v>
      </c>
      <c r="J385" s="8" t="str">
        <f t="shared" si="57"/>
        <v>Friday</v>
      </c>
      <c r="K385" s="11">
        <v>0.86282407407407402</v>
      </c>
      <c r="L385" s="14">
        <f t="shared" si="58"/>
        <v>20</v>
      </c>
      <c r="M385" s="7">
        <f t="shared" si="59"/>
        <v>42</v>
      </c>
      <c r="N385" s="7">
        <f t="shared" si="60"/>
        <v>28</v>
      </c>
      <c r="O385" s="9" t="s">
        <v>40</v>
      </c>
      <c r="P385" s="9" t="s">
        <v>41</v>
      </c>
      <c r="Q385" s="9">
        <v>6</v>
      </c>
      <c r="R385" s="12">
        <v>271.85000000000002</v>
      </c>
      <c r="S385" s="12">
        <f>VLOOKUP(O385,'Product-cost'!A:B,2,)</f>
        <v>150</v>
      </c>
      <c r="T385" s="9" t="s">
        <v>28</v>
      </c>
      <c r="U385" s="9" t="s">
        <v>54</v>
      </c>
      <c r="V385" s="9" t="s">
        <v>872</v>
      </c>
      <c r="W385" s="9" t="s">
        <v>896</v>
      </c>
      <c r="X385" s="12">
        <f t="shared" si="61"/>
        <v>1631.1000000000001</v>
      </c>
      <c r="Y385" s="12">
        <f t="shared" si="62"/>
        <v>900</v>
      </c>
      <c r="Z385" s="16">
        <f>VLOOKUP(T385,Taxrate!A:B,2,FALSE)</f>
        <v>0.2</v>
      </c>
      <c r="AA385" s="12">
        <f t="shared" si="63"/>
        <v>326.22000000000003</v>
      </c>
      <c r="AB385" s="16">
        <f>VLOOKUP('Sales Dataset'!O385,'Discount Rate'!A:B,2,)</f>
        <v>7.0000000000000007E-2</v>
      </c>
      <c r="AC385" s="12">
        <f t="shared" si="64"/>
        <v>63.000000000000007</v>
      </c>
      <c r="AD385" s="18">
        <f t="shared" si="65"/>
        <v>899.7299999999999</v>
      </c>
    </row>
    <row r="386" spans="1:30" ht="51" customHeight="1" x14ac:dyDescent="0.35">
      <c r="A386" s="9" t="s">
        <v>779</v>
      </c>
      <c r="B386" s="9" t="s">
        <v>770</v>
      </c>
      <c r="C386" s="9" t="s">
        <v>141</v>
      </c>
      <c r="D386" s="20" t="s">
        <v>142</v>
      </c>
      <c r="E386" s="9" t="s">
        <v>917</v>
      </c>
      <c r="F386" s="9" t="s">
        <v>918</v>
      </c>
      <c r="G386" s="8">
        <v>44954</v>
      </c>
      <c r="H386" s="7">
        <f t="shared" si="55"/>
        <v>2023</v>
      </c>
      <c r="I386" s="7" t="str">
        <f t="shared" si="56"/>
        <v>January</v>
      </c>
      <c r="J386" s="8" t="str">
        <f t="shared" si="57"/>
        <v>Saturday</v>
      </c>
      <c r="K386" s="11">
        <v>0.7711689814814815</v>
      </c>
      <c r="L386" s="14">
        <f t="shared" si="58"/>
        <v>18</v>
      </c>
      <c r="M386" s="7">
        <f t="shared" si="59"/>
        <v>30</v>
      </c>
      <c r="N386" s="7">
        <f t="shared" si="60"/>
        <v>29</v>
      </c>
      <c r="O386" s="9" t="s">
        <v>66</v>
      </c>
      <c r="P386" s="9" t="s">
        <v>67</v>
      </c>
      <c r="Q386" s="9">
        <v>12</v>
      </c>
      <c r="R386" s="12">
        <v>156.5</v>
      </c>
      <c r="S386" s="12">
        <f>VLOOKUP(O386,'Product-cost'!A:B,2,)</f>
        <v>50</v>
      </c>
      <c r="T386" s="9" t="s">
        <v>49</v>
      </c>
      <c r="U386" s="9" t="s">
        <v>235</v>
      </c>
      <c r="V386" s="9" t="s">
        <v>879</v>
      </c>
      <c r="W386" s="9" t="s">
        <v>894</v>
      </c>
      <c r="X386" s="12">
        <f t="shared" si="61"/>
        <v>1878</v>
      </c>
      <c r="Y386" s="12">
        <f t="shared" si="62"/>
        <v>600</v>
      </c>
      <c r="Z386" s="16">
        <f>VLOOKUP(T386,Taxrate!A:B,2,FALSE)</f>
        <v>0.12</v>
      </c>
      <c r="AA386" s="12">
        <f t="shared" si="63"/>
        <v>225.35999999999999</v>
      </c>
      <c r="AB386" s="16">
        <f>VLOOKUP('Sales Dataset'!O386,'Discount Rate'!A:B,2,)</f>
        <v>0.03</v>
      </c>
      <c r="AC386" s="12">
        <f t="shared" si="64"/>
        <v>18</v>
      </c>
      <c r="AD386" s="18">
        <f t="shared" si="65"/>
        <v>599.85</v>
      </c>
    </row>
    <row r="387" spans="1:30" ht="51" customHeight="1" x14ac:dyDescent="0.35">
      <c r="A387" s="9" t="s">
        <v>780</v>
      </c>
      <c r="B387" s="9" t="s">
        <v>781</v>
      </c>
      <c r="C387" s="9" t="s">
        <v>11</v>
      </c>
      <c r="D387" s="20" t="s">
        <v>12</v>
      </c>
      <c r="E387" s="9" t="s">
        <v>901</v>
      </c>
      <c r="F387" s="9" t="s">
        <v>902</v>
      </c>
      <c r="G387" s="8">
        <v>46352</v>
      </c>
      <c r="H387" s="7">
        <f t="shared" ref="H387:H435" si="66">YEAR(G387)</f>
        <v>2026</v>
      </c>
      <c r="I387" s="7" t="str">
        <f t="shared" ref="I387:I435" si="67">TEXT(G387,"mmmm")</f>
        <v>November</v>
      </c>
      <c r="J387" s="8" t="str">
        <f t="shared" ref="J387:J435" si="68">TEXT(G387,"dddd")</f>
        <v>Thursday</v>
      </c>
      <c r="K387" s="11">
        <v>0.87584490740740739</v>
      </c>
      <c r="L387" s="14">
        <f t="shared" ref="L387:L435" si="69">HOUR(K387)</f>
        <v>21</v>
      </c>
      <c r="M387" s="7">
        <f t="shared" ref="M387:M435" si="70">MINUTE(K387)</f>
        <v>1</v>
      </c>
      <c r="N387" s="7">
        <f t="shared" ref="N387:N435" si="71">SECOND(K387)</f>
        <v>13</v>
      </c>
      <c r="O387" s="9" t="s">
        <v>66</v>
      </c>
      <c r="P387" s="9" t="s">
        <v>67</v>
      </c>
      <c r="Q387" s="9">
        <v>11</v>
      </c>
      <c r="R387" s="12">
        <v>183.16</v>
      </c>
      <c r="S387" s="12">
        <f>VLOOKUP(O387,'Product-cost'!A:B,2,)</f>
        <v>50</v>
      </c>
      <c r="T387" s="9" t="s">
        <v>49</v>
      </c>
      <c r="U387" s="9" t="s">
        <v>15</v>
      </c>
      <c r="V387" s="9" t="s">
        <v>875</v>
      </c>
      <c r="W387" s="9" t="s">
        <v>894</v>
      </c>
      <c r="X387" s="12">
        <f t="shared" ref="X387:X435" si="72">R387*Q387</f>
        <v>2014.76</v>
      </c>
      <c r="Y387" s="12">
        <f t="shared" ref="Y387:Y435" si="73">S387*Q387</f>
        <v>550</v>
      </c>
      <c r="Z387" s="16">
        <f>VLOOKUP(T387,Taxrate!A:B,2,FALSE)</f>
        <v>0.12</v>
      </c>
      <c r="AA387" s="12">
        <f t="shared" ref="AA387:AA435" si="74">X387*Z387</f>
        <v>241.77119999999999</v>
      </c>
      <c r="AB387" s="16">
        <f>VLOOKUP('Sales Dataset'!O387,'Discount Rate'!A:B,2,)</f>
        <v>0.03</v>
      </c>
      <c r="AC387" s="12">
        <f t="shared" ref="AC387:AC435" si="75">Y387*AB387</f>
        <v>16.5</v>
      </c>
      <c r="AD387" s="18">
        <f t="shared" ref="AD387:AD435" si="76">Y387-AB387-Z387</f>
        <v>549.85</v>
      </c>
    </row>
    <row r="388" spans="1:30" ht="51" customHeight="1" x14ac:dyDescent="0.35">
      <c r="A388" s="9" t="s">
        <v>782</v>
      </c>
      <c r="B388" s="9" t="s">
        <v>783</v>
      </c>
      <c r="C388" s="9" t="s">
        <v>126</v>
      </c>
      <c r="D388" s="20" t="s">
        <v>19</v>
      </c>
      <c r="E388" s="9" t="s">
        <v>903</v>
      </c>
      <c r="F388" s="9" t="s">
        <v>904</v>
      </c>
      <c r="G388" s="8">
        <v>45892</v>
      </c>
      <c r="H388" s="7">
        <f t="shared" si="66"/>
        <v>2025</v>
      </c>
      <c r="I388" s="7" t="str">
        <f t="shared" si="67"/>
        <v>August</v>
      </c>
      <c r="J388" s="8" t="str">
        <f t="shared" si="68"/>
        <v>Saturday</v>
      </c>
      <c r="K388" s="11">
        <v>0.89487268518518515</v>
      </c>
      <c r="L388" s="14">
        <f t="shared" si="69"/>
        <v>21</v>
      </c>
      <c r="M388" s="7">
        <f t="shared" si="70"/>
        <v>28</v>
      </c>
      <c r="N388" s="7">
        <f t="shared" si="71"/>
        <v>37</v>
      </c>
      <c r="O388" s="9" t="s">
        <v>20</v>
      </c>
      <c r="P388" s="9" t="s">
        <v>21</v>
      </c>
      <c r="Q388" s="9">
        <v>10</v>
      </c>
      <c r="R388" s="12">
        <v>597.52</v>
      </c>
      <c r="S388" s="12">
        <f>VLOOKUP(O388,'Product-cost'!A:B,2,)</f>
        <v>300</v>
      </c>
      <c r="T388" s="9" t="s">
        <v>22</v>
      </c>
      <c r="U388" s="9" t="s">
        <v>23</v>
      </c>
      <c r="V388" s="9" t="s">
        <v>882</v>
      </c>
      <c r="W388" s="9" t="s">
        <v>895</v>
      </c>
      <c r="X388" s="12">
        <f t="shared" si="72"/>
        <v>5975.2</v>
      </c>
      <c r="Y388" s="12">
        <f t="shared" si="73"/>
        <v>3000</v>
      </c>
      <c r="Z388" s="16">
        <f>VLOOKUP(T388,Taxrate!A:B,2,FALSE)</f>
        <v>0.1</v>
      </c>
      <c r="AA388" s="12">
        <f t="shared" si="74"/>
        <v>597.52</v>
      </c>
      <c r="AB388" s="16">
        <f>VLOOKUP('Sales Dataset'!O388,'Discount Rate'!A:B,2,)</f>
        <v>0.1</v>
      </c>
      <c r="AC388" s="12">
        <f t="shared" si="75"/>
        <v>300</v>
      </c>
      <c r="AD388" s="18">
        <f t="shared" si="76"/>
        <v>2999.8</v>
      </c>
    </row>
    <row r="389" spans="1:30" ht="51" customHeight="1" x14ac:dyDescent="0.35">
      <c r="A389" s="9" t="s">
        <v>784</v>
      </c>
      <c r="B389" s="9" t="s">
        <v>215</v>
      </c>
      <c r="C389" s="9" t="s">
        <v>107</v>
      </c>
      <c r="D389" s="20" t="s">
        <v>53</v>
      </c>
      <c r="E389" s="9" t="s">
        <v>909</v>
      </c>
      <c r="F389" s="9" t="s">
        <v>910</v>
      </c>
      <c r="G389" s="8">
        <v>45925</v>
      </c>
      <c r="H389" s="7">
        <f t="shared" si="66"/>
        <v>2025</v>
      </c>
      <c r="I389" s="7" t="str">
        <f t="shared" si="67"/>
        <v>September</v>
      </c>
      <c r="J389" s="8" t="str">
        <f t="shared" si="68"/>
        <v>Thursday</v>
      </c>
      <c r="K389" s="11">
        <v>0.64765046296296291</v>
      </c>
      <c r="L389" s="14">
        <f t="shared" si="69"/>
        <v>15</v>
      </c>
      <c r="M389" s="7">
        <f t="shared" si="70"/>
        <v>32</v>
      </c>
      <c r="N389" s="7">
        <f t="shared" si="71"/>
        <v>37</v>
      </c>
      <c r="O389" s="9" t="s">
        <v>40</v>
      </c>
      <c r="P389" s="9" t="s">
        <v>41</v>
      </c>
      <c r="Q389" s="9">
        <v>15</v>
      </c>
      <c r="R389" s="12">
        <v>229.67</v>
      </c>
      <c r="S389" s="12">
        <f>VLOOKUP(O389,'Product-cost'!A:B,2,)</f>
        <v>150</v>
      </c>
      <c r="T389" s="9" t="s">
        <v>45</v>
      </c>
      <c r="U389" s="9" t="s">
        <v>206</v>
      </c>
      <c r="V389" s="9" t="s">
        <v>883</v>
      </c>
      <c r="W389" s="9" t="s">
        <v>894</v>
      </c>
      <c r="X389" s="12">
        <f t="shared" si="72"/>
        <v>3445.0499999999997</v>
      </c>
      <c r="Y389" s="12">
        <f t="shared" si="73"/>
        <v>2250</v>
      </c>
      <c r="Z389" s="16">
        <f>VLOOKUP(T389,Taxrate!A:B,2,FALSE)</f>
        <v>7.0000000000000007E-2</v>
      </c>
      <c r="AA389" s="12">
        <f t="shared" si="74"/>
        <v>241.15350000000001</v>
      </c>
      <c r="AB389" s="16">
        <f>VLOOKUP('Sales Dataset'!O389,'Discount Rate'!A:B,2,)</f>
        <v>7.0000000000000007E-2</v>
      </c>
      <c r="AC389" s="12">
        <f t="shared" si="75"/>
        <v>157.50000000000003</v>
      </c>
      <c r="AD389" s="18">
        <f t="shared" si="76"/>
        <v>2249.8599999999997</v>
      </c>
    </row>
    <row r="390" spans="1:30" ht="51" customHeight="1" x14ac:dyDescent="0.35">
      <c r="A390" s="9" t="s">
        <v>785</v>
      </c>
      <c r="B390" s="9" t="s">
        <v>786</v>
      </c>
      <c r="C390" s="9" t="s">
        <v>65</v>
      </c>
      <c r="D390" s="20" t="s">
        <v>53</v>
      </c>
      <c r="E390" s="9" t="s">
        <v>909</v>
      </c>
      <c r="F390" s="9" t="s">
        <v>910</v>
      </c>
      <c r="G390" s="8">
        <v>45845</v>
      </c>
      <c r="H390" s="7">
        <f t="shared" si="66"/>
        <v>2025</v>
      </c>
      <c r="I390" s="7" t="str">
        <f t="shared" si="67"/>
        <v>July</v>
      </c>
      <c r="J390" s="8" t="str">
        <f t="shared" si="68"/>
        <v>Monday</v>
      </c>
      <c r="K390" s="11">
        <v>0.3404861111111111</v>
      </c>
      <c r="L390" s="14">
        <f t="shared" si="69"/>
        <v>8</v>
      </c>
      <c r="M390" s="7">
        <f t="shared" si="70"/>
        <v>10</v>
      </c>
      <c r="N390" s="7">
        <f t="shared" si="71"/>
        <v>18</v>
      </c>
      <c r="O390" s="9" t="s">
        <v>20</v>
      </c>
      <c r="P390" s="9" t="s">
        <v>21</v>
      </c>
      <c r="Q390" s="9">
        <v>8</v>
      </c>
      <c r="R390" s="12">
        <v>545.91</v>
      </c>
      <c r="S390" s="12">
        <f>VLOOKUP(O390,'Product-cost'!A:B,2,)</f>
        <v>300</v>
      </c>
      <c r="T390" s="9" t="s">
        <v>22</v>
      </c>
      <c r="U390" s="9" t="s">
        <v>206</v>
      </c>
      <c r="V390" s="9" t="s">
        <v>872</v>
      </c>
      <c r="W390" s="9" t="s">
        <v>896</v>
      </c>
      <c r="X390" s="12">
        <f t="shared" si="72"/>
        <v>4367.28</v>
      </c>
      <c r="Y390" s="12">
        <f t="shared" si="73"/>
        <v>2400</v>
      </c>
      <c r="Z390" s="16">
        <f>VLOOKUP(T390,Taxrate!A:B,2,FALSE)</f>
        <v>0.1</v>
      </c>
      <c r="AA390" s="12">
        <f t="shared" si="74"/>
        <v>436.72800000000001</v>
      </c>
      <c r="AB390" s="16">
        <f>VLOOKUP('Sales Dataset'!O390,'Discount Rate'!A:B,2,)</f>
        <v>0.1</v>
      </c>
      <c r="AC390" s="12">
        <f t="shared" si="75"/>
        <v>240</v>
      </c>
      <c r="AD390" s="18">
        <f t="shared" si="76"/>
        <v>2399.8000000000002</v>
      </c>
    </row>
    <row r="391" spans="1:30" ht="51" customHeight="1" x14ac:dyDescent="0.35">
      <c r="A391" s="9" t="s">
        <v>787</v>
      </c>
      <c r="B391" s="9" t="s">
        <v>788</v>
      </c>
      <c r="C391" s="9" t="s">
        <v>32</v>
      </c>
      <c r="D391" s="20" t="s">
        <v>33</v>
      </c>
      <c r="E391" s="9" t="s">
        <v>905</v>
      </c>
      <c r="F391" s="9" t="s">
        <v>906</v>
      </c>
      <c r="G391" s="8">
        <v>45258</v>
      </c>
      <c r="H391" s="7">
        <f t="shared" si="66"/>
        <v>2023</v>
      </c>
      <c r="I391" s="7" t="str">
        <f t="shared" si="67"/>
        <v>November</v>
      </c>
      <c r="J391" s="8" t="str">
        <f t="shared" si="68"/>
        <v>Tuesday</v>
      </c>
      <c r="K391" s="11">
        <v>0.53109953703703705</v>
      </c>
      <c r="L391" s="14">
        <f t="shared" si="69"/>
        <v>12</v>
      </c>
      <c r="M391" s="7">
        <f t="shared" si="70"/>
        <v>44</v>
      </c>
      <c r="N391" s="7">
        <f t="shared" si="71"/>
        <v>47</v>
      </c>
      <c r="O391" s="9" t="s">
        <v>13</v>
      </c>
      <c r="P391" s="9" t="s">
        <v>14</v>
      </c>
      <c r="Q391" s="9">
        <v>3</v>
      </c>
      <c r="R391" s="12">
        <v>878.16</v>
      </c>
      <c r="S391" s="12">
        <f>VLOOKUP(O391,'Product-cost'!A:B,2,)</f>
        <v>600</v>
      </c>
      <c r="T391" s="9" t="s">
        <v>34</v>
      </c>
      <c r="U391" s="9" t="s">
        <v>35</v>
      </c>
      <c r="V391" s="9" t="s">
        <v>872</v>
      </c>
      <c r="W391" s="9" t="s">
        <v>896</v>
      </c>
      <c r="X391" s="12">
        <f t="shared" si="72"/>
        <v>2634.48</v>
      </c>
      <c r="Y391" s="12">
        <f t="shared" si="73"/>
        <v>1800</v>
      </c>
      <c r="Z391" s="16">
        <f>VLOOKUP(T391,Taxrate!A:B,2,FALSE)</f>
        <v>0.15</v>
      </c>
      <c r="AA391" s="12">
        <f t="shared" si="74"/>
        <v>395.17199999999997</v>
      </c>
      <c r="AB391" s="16">
        <f>VLOOKUP('Sales Dataset'!O391,'Discount Rate'!A:B,2,)</f>
        <v>0.05</v>
      </c>
      <c r="AC391" s="12">
        <f t="shared" si="75"/>
        <v>90</v>
      </c>
      <c r="AD391" s="18">
        <f t="shared" si="76"/>
        <v>1799.8</v>
      </c>
    </row>
    <row r="392" spans="1:30" ht="51" customHeight="1" x14ac:dyDescent="0.35">
      <c r="A392" s="9" t="s">
        <v>789</v>
      </c>
      <c r="B392" s="9" t="s">
        <v>685</v>
      </c>
      <c r="C392" s="9" t="s">
        <v>172</v>
      </c>
      <c r="D392" s="20" t="s">
        <v>142</v>
      </c>
      <c r="E392" s="9" t="s">
        <v>917</v>
      </c>
      <c r="F392" s="9" t="s">
        <v>918</v>
      </c>
      <c r="G392" s="8">
        <v>46313</v>
      </c>
      <c r="H392" s="7">
        <f t="shared" si="66"/>
        <v>2026</v>
      </c>
      <c r="I392" s="7" t="str">
        <f t="shared" si="67"/>
        <v>October</v>
      </c>
      <c r="J392" s="8" t="str">
        <f t="shared" si="68"/>
        <v>Sunday</v>
      </c>
      <c r="K392" s="11">
        <v>0.45341435185185186</v>
      </c>
      <c r="L392" s="14">
        <f t="shared" si="69"/>
        <v>10</v>
      </c>
      <c r="M392" s="7">
        <f t="shared" si="70"/>
        <v>52</v>
      </c>
      <c r="N392" s="7">
        <f t="shared" si="71"/>
        <v>55</v>
      </c>
      <c r="O392" s="9" t="s">
        <v>40</v>
      </c>
      <c r="P392" s="9" t="s">
        <v>41</v>
      </c>
      <c r="Q392" s="9">
        <v>7</v>
      </c>
      <c r="R392" s="12">
        <v>500</v>
      </c>
      <c r="S392" s="12">
        <f>VLOOKUP(O392,'Product-cost'!A:B,2,)</f>
        <v>150</v>
      </c>
      <c r="T392" s="9" t="s">
        <v>34</v>
      </c>
      <c r="U392" s="9" t="s">
        <v>143</v>
      </c>
      <c r="V392" s="9" t="s">
        <v>875</v>
      </c>
      <c r="W392" s="9" t="s">
        <v>894</v>
      </c>
      <c r="X392" s="12">
        <f t="shared" si="72"/>
        <v>3500</v>
      </c>
      <c r="Y392" s="12">
        <f t="shared" si="73"/>
        <v>1050</v>
      </c>
      <c r="Z392" s="16">
        <f>VLOOKUP(T392,Taxrate!A:B,2,FALSE)</f>
        <v>0.15</v>
      </c>
      <c r="AA392" s="12">
        <f t="shared" si="74"/>
        <v>525</v>
      </c>
      <c r="AB392" s="16">
        <f>VLOOKUP('Sales Dataset'!O392,'Discount Rate'!A:B,2,)</f>
        <v>7.0000000000000007E-2</v>
      </c>
      <c r="AC392" s="12">
        <f t="shared" si="75"/>
        <v>73.5</v>
      </c>
      <c r="AD392" s="18">
        <f t="shared" si="76"/>
        <v>1049.78</v>
      </c>
    </row>
    <row r="393" spans="1:30" ht="51" customHeight="1" x14ac:dyDescent="0.35">
      <c r="A393" s="9" t="s">
        <v>790</v>
      </c>
      <c r="B393" s="9" t="s">
        <v>169</v>
      </c>
      <c r="C393" s="9" t="s">
        <v>57</v>
      </c>
      <c r="D393" s="20" t="s">
        <v>12</v>
      </c>
      <c r="E393" s="9" t="s">
        <v>901</v>
      </c>
      <c r="F393" s="9" t="s">
        <v>902</v>
      </c>
      <c r="G393" s="8">
        <v>45088</v>
      </c>
      <c r="H393" s="7">
        <f t="shared" si="66"/>
        <v>2023</v>
      </c>
      <c r="I393" s="7" t="str">
        <f t="shared" si="67"/>
        <v>June</v>
      </c>
      <c r="J393" s="8" t="str">
        <f t="shared" si="68"/>
        <v>Sunday</v>
      </c>
      <c r="K393" s="11">
        <v>0.79443287037037036</v>
      </c>
      <c r="L393" s="14">
        <f t="shared" si="69"/>
        <v>19</v>
      </c>
      <c r="M393" s="7">
        <f t="shared" si="70"/>
        <v>3</v>
      </c>
      <c r="N393" s="7">
        <f t="shared" si="71"/>
        <v>59</v>
      </c>
      <c r="O393" s="9" t="s">
        <v>66</v>
      </c>
      <c r="P393" s="9" t="s">
        <v>67</v>
      </c>
      <c r="Q393" s="9">
        <v>14</v>
      </c>
      <c r="R393" s="12">
        <v>193.1</v>
      </c>
      <c r="S393" s="12">
        <f>VLOOKUP(O393,'Product-cost'!A:B,2,)</f>
        <v>50</v>
      </c>
      <c r="T393" s="9" t="s">
        <v>49</v>
      </c>
      <c r="U393" s="9" t="s">
        <v>15</v>
      </c>
      <c r="V393" s="9" t="s">
        <v>880</v>
      </c>
      <c r="W393" s="9" t="s">
        <v>894</v>
      </c>
      <c r="X393" s="12">
        <f t="shared" si="72"/>
        <v>2703.4</v>
      </c>
      <c r="Y393" s="12">
        <f t="shared" si="73"/>
        <v>700</v>
      </c>
      <c r="Z393" s="16">
        <f>VLOOKUP(T393,Taxrate!A:B,2,FALSE)</f>
        <v>0.12</v>
      </c>
      <c r="AA393" s="12">
        <f t="shared" si="74"/>
        <v>324.40800000000002</v>
      </c>
      <c r="AB393" s="16">
        <f>VLOOKUP('Sales Dataset'!O393,'Discount Rate'!A:B,2,)</f>
        <v>0.03</v>
      </c>
      <c r="AC393" s="12">
        <f t="shared" si="75"/>
        <v>21</v>
      </c>
      <c r="AD393" s="18">
        <f t="shared" si="76"/>
        <v>699.85</v>
      </c>
    </row>
    <row r="394" spans="1:30" ht="51" customHeight="1" x14ac:dyDescent="0.35">
      <c r="A394" s="9" t="s">
        <v>791</v>
      </c>
      <c r="B394" s="9" t="s">
        <v>287</v>
      </c>
      <c r="C394" s="9" t="s">
        <v>32</v>
      </c>
      <c r="D394" s="20" t="s">
        <v>33</v>
      </c>
      <c r="E394" s="9" t="s">
        <v>905</v>
      </c>
      <c r="F394" s="9" t="s">
        <v>906</v>
      </c>
      <c r="G394" s="8">
        <v>45525</v>
      </c>
      <c r="H394" s="7">
        <f t="shared" si="66"/>
        <v>2024</v>
      </c>
      <c r="I394" s="7" t="str">
        <f t="shared" si="67"/>
        <v>August</v>
      </c>
      <c r="J394" s="8" t="str">
        <f t="shared" si="68"/>
        <v>Wednesday</v>
      </c>
      <c r="K394" s="11">
        <v>0.85591435185185183</v>
      </c>
      <c r="L394" s="14">
        <f t="shared" si="69"/>
        <v>20</v>
      </c>
      <c r="M394" s="7">
        <f t="shared" si="70"/>
        <v>32</v>
      </c>
      <c r="N394" s="7">
        <f t="shared" si="71"/>
        <v>31</v>
      </c>
      <c r="O394" s="9" t="s">
        <v>13</v>
      </c>
      <c r="P394" s="9" t="s">
        <v>14</v>
      </c>
      <c r="Q394" s="9">
        <v>6</v>
      </c>
      <c r="R394" s="12">
        <v>868.89</v>
      </c>
      <c r="S394" s="12">
        <f>VLOOKUP(O394,'Product-cost'!A:B,2,)</f>
        <v>600</v>
      </c>
      <c r="T394" s="9" t="s">
        <v>28</v>
      </c>
      <c r="U394" s="9" t="s">
        <v>77</v>
      </c>
      <c r="V394" s="9" t="s">
        <v>871</v>
      </c>
      <c r="W394" s="9" t="s">
        <v>894</v>
      </c>
      <c r="X394" s="12">
        <f t="shared" si="72"/>
        <v>5213.34</v>
      </c>
      <c r="Y394" s="12">
        <f t="shared" si="73"/>
        <v>3600</v>
      </c>
      <c r="Z394" s="16">
        <f>VLOOKUP(T394,Taxrate!A:B,2,FALSE)</f>
        <v>0.2</v>
      </c>
      <c r="AA394" s="12">
        <f t="shared" si="74"/>
        <v>1042.6680000000001</v>
      </c>
      <c r="AB394" s="16">
        <f>VLOOKUP('Sales Dataset'!O394,'Discount Rate'!A:B,2,)</f>
        <v>0.05</v>
      </c>
      <c r="AC394" s="12">
        <f t="shared" si="75"/>
        <v>180</v>
      </c>
      <c r="AD394" s="18">
        <f t="shared" si="76"/>
        <v>3599.75</v>
      </c>
    </row>
    <row r="395" spans="1:30" ht="51" customHeight="1" x14ac:dyDescent="0.35">
      <c r="A395" s="9" t="s">
        <v>792</v>
      </c>
      <c r="B395" s="9" t="s">
        <v>721</v>
      </c>
      <c r="C395" s="9" t="s">
        <v>60</v>
      </c>
      <c r="D395" s="20" t="s">
        <v>61</v>
      </c>
      <c r="E395" s="9" t="s">
        <v>911</v>
      </c>
      <c r="F395" s="9" t="s">
        <v>912</v>
      </c>
      <c r="G395" s="8">
        <v>45659</v>
      </c>
      <c r="H395" s="7">
        <f t="shared" si="66"/>
        <v>2025</v>
      </c>
      <c r="I395" s="7" t="str">
        <f t="shared" si="67"/>
        <v>January</v>
      </c>
      <c r="J395" s="8" t="str">
        <f t="shared" si="68"/>
        <v>Thursday</v>
      </c>
      <c r="K395" s="11">
        <v>0.56993055555555561</v>
      </c>
      <c r="L395" s="14">
        <f t="shared" si="69"/>
        <v>13</v>
      </c>
      <c r="M395" s="7">
        <f t="shared" si="70"/>
        <v>40</v>
      </c>
      <c r="N395" s="7">
        <f t="shared" si="71"/>
        <v>42</v>
      </c>
      <c r="O395" s="9" t="s">
        <v>20</v>
      </c>
      <c r="P395" s="9" t="s">
        <v>21</v>
      </c>
      <c r="Q395" s="9">
        <v>13</v>
      </c>
      <c r="R395" s="12">
        <v>716.16</v>
      </c>
      <c r="S395" s="12">
        <f>VLOOKUP(O395,'Product-cost'!A:B,2,)</f>
        <v>300</v>
      </c>
      <c r="T395" s="9" t="s">
        <v>28</v>
      </c>
      <c r="U395" s="9" t="s">
        <v>62</v>
      </c>
      <c r="V395" s="9" t="s">
        <v>874</v>
      </c>
      <c r="W395" s="9" t="s">
        <v>894</v>
      </c>
      <c r="X395" s="12">
        <f t="shared" si="72"/>
        <v>9310.08</v>
      </c>
      <c r="Y395" s="12">
        <f t="shared" si="73"/>
        <v>3900</v>
      </c>
      <c r="Z395" s="16">
        <f>VLOOKUP(T395,Taxrate!A:B,2,FALSE)</f>
        <v>0.2</v>
      </c>
      <c r="AA395" s="12">
        <f t="shared" si="74"/>
        <v>1862.0160000000001</v>
      </c>
      <c r="AB395" s="16">
        <f>VLOOKUP('Sales Dataset'!O395,'Discount Rate'!A:B,2,)</f>
        <v>0.1</v>
      </c>
      <c r="AC395" s="12">
        <f t="shared" si="75"/>
        <v>390</v>
      </c>
      <c r="AD395" s="18">
        <f t="shared" si="76"/>
        <v>3899.7000000000003</v>
      </c>
    </row>
    <row r="396" spans="1:30" ht="51" customHeight="1" x14ac:dyDescent="0.35">
      <c r="A396" s="9" t="s">
        <v>793</v>
      </c>
      <c r="B396" s="9" t="s">
        <v>794</v>
      </c>
      <c r="C396" s="9" t="s">
        <v>126</v>
      </c>
      <c r="D396" s="20" t="s">
        <v>19</v>
      </c>
      <c r="E396" s="9" t="s">
        <v>903</v>
      </c>
      <c r="F396" s="9" t="s">
        <v>904</v>
      </c>
      <c r="G396" s="8">
        <v>44947</v>
      </c>
      <c r="H396" s="7">
        <f t="shared" si="66"/>
        <v>2023</v>
      </c>
      <c r="I396" s="7" t="str">
        <f t="shared" si="67"/>
        <v>January</v>
      </c>
      <c r="J396" s="8" t="str">
        <f t="shared" si="68"/>
        <v>Saturday</v>
      </c>
      <c r="K396" s="11">
        <v>0.38981481481481484</v>
      </c>
      <c r="L396" s="14">
        <f t="shared" si="69"/>
        <v>9</v>
      </c>
      <c r="M396" s="7">
        <f t="shared" si="70"/>
        <v>21</v>
      </c>
      <c r="N396" s="7">
        <f t="shared" si="71"/>
        <v>20</v>
      </c>
      <c r="O396" s="9" t="s">
        <v>66</v>
      </c>
      <c r="P396" s="9" t="s">
        <v>67</v>
      </c>
      <c r="Q396" s="9">
        <v>3</v>
      </c>
      <c r="R396" s="12">
        <v>149.49</v>
      </c>
      <c r="S396" s="12">
        <f>VLOOKUP(O396,'Product-cost'!A:B,2,)</f>
        <v>50</v>
      </c>
      <c r="T396" s="9" t="s">
        <v>45</v>
      </c>
      <c r="U396" s="9" t="s">
        <v>130</v>
      </c>
      <c r="V396" s="9" t="s">
        <v>880</v>
      </c>
      <c r="W396" s="9" t="s">
        <v>894</v>
      </c>
      <c r="X396" s="12">
        <f t="shared" si="72"/>
        <v>448.47</v>
      </c>
      <c r="Y396" s="12">
        <f t="shared" si="73"/>
        <v>150</v>
      </c>
      <c r="Z396" s="16">
        <f>VLOOKUP(T396,Taxrate!A:B,2,FALSE)</f>
        <v>7.0000000000000007E-2</v>
      </c>
      <c r="AA396" s="12">
        <f t="shared" si="74"/>
        <v>31.392900000000004</v>
      </c>
      <c r="AB396" s="16">
        <f>VLOOKUP('Sales Dataset'!O396,'Discount Rate'!A:B,2,)</f>
        <v>0.03</v>
      </c>
      <c r="AC396" s="12">
        <f t="shared" si="75"/>
        <v>4.5</v>
      </c>
      <c r="AD396" s="18">
        <f t="shared" si="76"/>
        <v>149.9</v>
      </c>
    </row>
    <row r="397" spans="1:30" ht="51" customHeight="1" x14ac:dyDescent="0.35">
      <c r="A397" s="9" t="s">
        <v>795</v>
      </c>
      <c r="B397" s="9" t="s">
        <v>796</v>
      </c>
      <c r="C397" s="9" t="s">
        <v>114</v>
      </c>
      <c r="D397" s="20" t="s">
        <v>19</v>
      </c>
      <c r="E397" s="9" t="s">
        <v>903</v>
      </c>
      <c r="F397" s="9" t="s">
        <v>904</v>
      </c>
      <c r="G397" s="8">
        <v>45874</v>
      </c>
      <c r="H397" s="7">
        <f t="shared" si="66"/>
        <v>2025</v>
      </c>
      <c r="I397" s="7" t="str">
        <f t="shared" si="67"/>
        <v>August</v>
      </c>
      <c r="J397" s="8" t="str">
        <f t="shared" si="68"/>
        <v>Tuesday</v>
      </c>
      <c r="K397" s="11">
        <v>0.78096064814814814</v>
      </c>
      <c r="L397" s="14">
        <f t="shared" si="69"/>
        <v>18</v>
      </c>
      <c r="M397" s="7">
        <f t="shared" si="70"/>
        <v>44</v>
      </c>
      <c r="N397" s="7">
        <f t="shared" si="71"/>
        <v>35</v>
      </c>
      <c r="O397" s="9" t="s">
        <v>26</v>
      </c>
      <c r="P397" s="9" t="s">
        <v>27</v>
      </c>
      <c r="Q397" s="9">
        <v>6</v>
      </c>
      <c r="R397" s="12">
        <v>321.58</v>
      </c>
      <c r="S397" s="12">
        <f>VLOOKUP(O397,'Product-cost'!A:B,2,)</f>
        <v>200</v>
      </c>
      <c r="T397" s="9" t="s">
        <v>22</v>
      </c>
      <c r="U397" s="9" t="s">
        <v>46</v>
      </c>
      <c r="V397" s="9" t="s">
        <v>879</v>
      </c>
      <c r="W397" s="9" t="s">
        <v>894</v>
      </c>
      <c r="X397" s="12">
        <f t="shared" si="72"/>
        <v>1929.48</v>
      </c>
      <c r="Y397" s="12">
        <f t="shared" si="73"/>
        <v>1200</v>
      </c>
      <c r="Z397" s="16">
        <f>VLOOKUP(T397,Taxrate!A:B,2,FALSE)</f>
        <v>0.1</v>
      </c>
      <c r="AA397" s="12">
        <f t="shared" si="74"/>
        <v>192.94800000000001</v>
      </c>
      <c r="AB397" s="16">
        <f>VLOOKUP('Sales Dataset'!O397,'Discount Rate'!A:B,2,)</f>
        <v>0.08</v>
      </c>
      <c r="AC397" s="12">
        <f t="shared" si="75"/>
        <v>96</v>
      </c>
      <c r="AD397" s="18">
        <f t="shared" si="76"/>
        <v>1199.8200000000002</v>
      </c>
    </row>
    <row r="398" spans="1:30" ht="51" customHeight="1" x14ac:dyDescent="0.35">
      <c r="A398" s="9" t="s">
        <v>797</v>
      </c>
      <c r="B398" s="9" t="s">
        <v>559</v>
      </c>
      <c r="C398" s="9" t="s">
        <v>83</v>
      </c>
      <c r="D398" s="20" t="s">
        <v>84</v>
      </c>
      <c r="E398" s="9" t="s">
        <v>913</v>
      </c>
      <c r="F398" s="9" t="s">
        <v>914</v>
      </c>
      <c r="G398" s="8">
        <v>45832</v>
      </c>
      <c r="H398" s="7">
        <f t="shared" si="66"/>
        <v>2025</v>
      </c>
      <c r="I398" s="7" t="str">
        <f t="shared" si="67"/>
        <v>June</v>
      </c>
      <c r="J398" s="8" t="str">
        <f t="shared" si="68"/>
        <v>Tuesday</v>
      </c>
      <c r="K398" s="11">
        <v>0.86853009259259262</v>
      </c>
      <c r="L398" s="14">
        <f t="shared" si="69"/>
        <v>20</v>
      </c>
      <c r="M398" s="7">
        <f t="shared" si="70"/>
        <v>50</v>
      </c>
      <c r="N398" s="7">
        <f t="shared" si="71"/>
        <v>41</v>
      </c>
      <c r="O398" s="9" t="s">
        <v>66</v>
      </c>
      <c r="P398" s="9" t="s">
        <v>67</v>
      </c>
      <c r="Q398" s="9">
        <v>15</v>
      </c>
      <c r="R398" s="12">
        <v>122.77</v>
      </c>
      <c r="S398" s="12">
        <f>VLOOKUP(O398,'Product-cost'!A:B,2,)</f>
        <v>50</v>
      </c>
      <c r="T398" s="9" t="s">
        <v>22</v>
      </c>
      <c r="U398" s="9" t="s">
        <v>85</v>
      </c>
      <c r="V398" s="9" t="s">
        <v>881</v>
      </c>
      <c r="W398" s="9" t="s">
        <v>894</v>
      </c>
      <c r="X398" s="12">
        <f t="shared" si="72"/>
        <v>1841.55</v>
      </c>
      <c r="Y398" s="12">
        <f t="shared" si="73"/>
        <v>750</v>
      </c>
      <c r="Z398" s="16">
        <f>VLOOKUP(T398,Taxrate!A:B,2,FALSE)</f>
        <v>0.1</v>
      </c>
      <c r="AA398" s="12">
        <f t="shared" si="74"/>
        <v>184.155</v>
      </c>
      <c r="AB398" s="16">
        <f>VLOOKUP('Sales Dataset'!O398,'Discount Rate'!A:B,2,)</f>
        <v>0.03</v>
      </c>
      <c r="AC398" s="12">
        <f t="shared" si="75"/>
        <v>22.5</v>
      </c>
      <c r="AD398" s="18">
        <f t="shared" si="76"/>
        <v>749.87</v>
      </c>
    </row>
    <row r="399" spans="1:30" ht="51" customHeight="1" x14ac:dyDescent="0.35">
      <c r="A399" s="9" t="s">
        <v>798</v>
      </c>
      <c r="B399" s="9" t="s">
        <v>336</v>
      </c>
      <c r="C399" s="9" t="s">
        <v>107</v>
      </c>
      <c r="D399" s="20" t="s">
        <v>53</v>
      </c>
      <c r="E399" s="9" t="s">
        <v>909</v>
      </c>
      <c r="F399" s="9" t="s">
        <v>910</v>
      </c>
      <c r="G399" s="8">
        <v>46228</v>
      </c>
      <c r="H399" s="7">
        <f t="shared" si="66"/>
        <v>2026</v>
      </c>
      <c r="I399" s="7" t="str">
        <f t="shared" si="67"/>
        <v>July</v>
      </c>
      <c r="J399" s="8" t="str">
        <f t="shared" si="68"/>
        <v>Saturday</v>
      </c>
      <c r="K399" s="11">
        <v>0.33467592592592593</v>
      </c>
      <c r="L399" s="14">
        <f t="shared" si="69"/>
        <v>8</v>
      </c>
      <c r="M399" s="7">
        <f t="shared" si="70"/>
        <v>1</v>
      </c>
      <c r="N399" s="7">
        <f t="shared" si="71"/>
        <v>56</v>
      </c>
      <c r="O399" s="9" t="s">
        <v>40</v>
      </c>
      <c r="P399" s="9" t="s">
        <v>41</v>
      </c>
      <c r="Q399" s="9">
        <v>4</v>
      </c>
      <c r="R399" s="12">
        <v>209.43</v>
      </c>
      <c r="S399" s="12">
        <f>VLOOKUP(O399,'Product-cost'!A:B,2,)</f>
        <v>150</v>
      </c>
      <c r="T399" s="9" t="s">
        <v>34</v>
      </c>
      <c r="U399" s="9" t="s">
        <v>54</v>
      </c>
      <c r="V399" s="9" t="s">
        <v>869</v>
      </c>
      <c r="W399" s="9" t="s">
        <v>894</v>
      </c>
      <c r="X399" s="12">
        <f t="shared" si="72"/>
        <v>837.72</v>
      </c>
      <c r="Y399" s="12">
        <f t="shared" si="73"/>
        <v>600</v>
      </c>
      <c r="Z399" s="16">
        <f>VLOOKUP(T399,Taxrate!A:B,2,FALSE)</f>
        <v>0.15</v>
      </c>
      <c r="AA399" s="12">
        <f t="shared" si="74"/>
        <v>125.658</v>
      </c>
      <c r="AB399" s="16">
        <f>VLOOKUP('Sales Dataset'!O399,'Discount Rate'!A:B,2,)</f>
        <v>7.0000000000000007E-2</v>
      </c>
      <c r="AC399" s="12">
        <f t="shared" si="75"/>
        <v>42.000000000000007</v>
      </c>
      <c r="AD399" s="18">
        <f t="shared" si="76"/>
        <v>599.78</v>
      </c>
    </row>
    <row r="400" spans="1:30" ht="51" customHeight="1" x14ac:dyDescent="0.35">
      <c r="A400" s="9" t="s">
        <v>799</v>
      </c>
      <c r="B400" s="9" t="s">
        <v>800</v>
      </c>
      <c r="C400" s="9" t="s">
        <v>11</v>
      </c>
      <c r="D400" s="20" t="s">
        <v>12</v>
      </c>
      <c r="E400" s="9" t="s">
        <v>901</v>
      </c>
      <c r="F400" s="9" t="s">
        <v>902</v>
      </c>
      <c r="G400" s="8">
        <v>45331</v>
      </c>
      <c r="H400" s="7">
        <f t="shared" si="66"/>
        <v>2024</v>
      </c>
      <c r="I400" s="7" t="str">
        <f t="shared" si="67"/>
        <v>February</v>
      </c>
      <c r="J400" s="8" t="str">
        <f t="shared" si="68"/>
        <v>Friday</v>
      </c>
      <c r="K400" s="11">
        <v>0.63975694444444442</v>
      </c>
      <c r="L400" s="14">
        <f t="shared" si="69"/>
        <v>15</v>
      </c>
      <c r="M400" s="7">
        <f t="shared" si="70"/>
        <v>21</v>
      </c>
      <c r="N400" s="7">
        <f t="shared" si="71"/>
        <v>15</v>
      </c>
      <c r="O400" s="9" t="s">
        <v>40</v>
      </c>
      <c r="P400" s="9" t="s">
        <v>41</v>
      </c>
      <c r="Q400" s="9">
        <v>15</v>
      </c>
      <c r="R400" s="12">
        <v>249.21</v>
      </c>
      <c r="S400" s="12">
        <f>VLOOKUP(O400,'Product-cost'!A:B,2,)</f>
        <v>150</v>
      </c>
      <c r="T400" s="9" t="s">
        <v>49</v>
      </c>
      <c r="U400" s="9" t="s">
        <v>29</v>
      </c>
      <c r="V400" s="9" t="s">
        <v>876</v>
      </c>
      <c r="W400" s="9" t="s">
        <v>896</v>
      </c>
      <c r="X400" s="12">
        <f t="shared" si="72"/>
        <v>3738.15</v>
      </c>
      <c r="Y400" s="12">
        <f t="shared" si="73"/>
        <v>2250</v>
      </c>
      <c r="Z400" s="16">
        <f>VLOOKUP(T400,Taxrate!A:B,2,FALSE)</f>
        <v>0.12</v>
      </c>
      <c r="AA400" s="12">
        <f t="shared" si="74"/>
        <v>448.57799999999997</v>
      </c>
      <c r="AB400" s="16">
        <f>VLOOKUP('Sales Dataset'!O400,'Discount Rate'!A:B,2,)</f>
        <v>7.0000000000000007E-2</v>
      </c>
      <c r="AC400" s="12">
        <f t="shared" si="75"/>
        <v>157.50000000000003</v>
      </c>
      <c r="AD400" s="18">
        <f t="shared" si="76"/>
        <v>2249.81</v>
      </c>
    </row>
    <row r="401" spans="1:30" ht="51" customHeight="1" x14ac:dyDescent="0.35">
      <c r="A401" s="9" t="s">
        <v>801</v>
      </c>
      <c r="B401" s="9" t="s">
        <v>182</v>
      </c>
      <c r="C401" s="9" t="s">
        <v>114</v>
      </c>
      <c r="D401" s="20" t="s">
        <v>19</v>
      </c>
      <c r="E401" s="9" t="s">
        <v>903</v>
      </c>
      <c r="F401" s="9" t="s">
        <v>904</v>
      </c>
      <c r="G401" s="8">
        <v>45901</v>
      </c>
      <c r="H401" s="7">
        <f t="shared" si="66"/>
        <v>2025</v>
      </c>
      <c r="I401" s="7" t="str">
        <f t="shared" si="67"/>
        <v>September</v>
      </c>
      <c r="J401" s="8" t="str">
        <f t="shared" si="68"/>
        <v>Monday</v>
      </c>
      <c r="K401" s="11">
        <v>0.38177083333333334</v>
      </c>
      <c r="L401" s="14">
        <f t="shared" si="69"/>
        <v>9</v>
      </c>
      <c r="M401" s="7">
        <f t="shared" si="70"/>
        <v>9</v>
      </c>
      <c r="N401" s="7">
        <f t="shared" si="71"/>
        <v>45</v>
      </c>
      <c r="O401" s="9" t="s">
        <v>66</v>
      </c>
      <c r="P401" s="9" t="s">
        <v>67</v>
      </c>
      <c r="Q401" s="9">
        <v>2</v>
      </c>
      <c r="R401" s="12">
        <v>500</v>
      </c>
      <c r="S401" s="12">
        <f>VLOOKUP(O401,'Product-cost'!A:B,2,)</f>
        <v>50</v>
      </c>
      <c r="T401" s="9" t="s">
        <v>34</v>
      </c>
      <c r="U401" s="9" t="s">
        <v>23</v>
      </c>
      <c r="V401" s="9" t="s">
        <v>869</v>
      </c>
      <c r="W401" s="9" t="s">
        <v>894</v>
      </c>
      <c r="X401" s="12">
        <f t="shared" si="72"/>
        <v>1000</v>
      </c>
      <c r="Y401" s="12">
        <f t="shared" si="73"/>
        <v>100</v>
      </c>
      <c r="Z401" s="16">
        <f>VLOOKUP(T401,Taxrate!A:B,2,FALSE)</f>
        <v>0.15</v>
      </c>
      <c r="AA401" s="12">
        <f t="shared" si="74"/>
        <v>150</v>
      </c>
      <c r="AB401" s="16">
        <f>VLOOKUP('Sales Dataset'!O401,'Discount Rate'!A:B,2,)</f>
        <v>0.03</v>
      </c>
      <c r="AC401" s="12">
        <f t="shared" si="75"/>
        <v>3</v>
      </c>
      <c r="AD401" s="18">
        <f t="shared" si="76"/>
        <v>99.82</v>
      </c>
    </row>
    <row r="402" spans="1:30" ht="51" customHeight="1" x14ac:dyDescent="0.35">
      <c r="A402" s="9" t="s">
        <v>802</v>
      </c>
      <c r="B402" s="9" t="s">
        <v>803</v>
      </c>
      <c r="C402" s="9" t="s">
        <v>141</v>
      </c>
      <c r="D402" s="20" t="s">
        <v>142</v>
      </c>
      <c r="E402" s="9" t="s">
        <v>917</v>
      </c>
      <c r="F402" s="9" t="s">
        <v>918</v>
      </c>
      <c r="G402" s="8">
        <v>46330</v>
      </c>
      <c r="H402" s="7">
        <f t="shared" si="66"/>
        <v>2026</v>
      </c>
      <c r="I402" s="7" t="str">
        <f t="shared" si="67"/>
        <v>November</v>
      </c>
      <c r="J402" s="8" t="str">
        <f t="shared" si="68"/>
        <v>Wednesday</v>
      </c>
      <c r="K402" s="11">
        <v>0.76907407407407402</v>
      </c>
      <c r="L402" s="14">
        <f t="shared" si="69"/>
        <v>18</v>
      </c>
      <c r="M402" s="7">
        <f t="shared" si="70"/>
        <v>27</v>
      </c>
      <c r="N402" s="7">
        <f t="shared" si="71"/>
        <v>28</v>
      </c>
      <c r="O402" s="9" t="s">
        <v>66</v>
      </c>
      <c r="P402" s="9" t="s">
        <v>67</v>
      </c>
      <c r="Q402" s="9">
        <v>7</v>
      </c>
      <c r="R402" s="12">
        <v>130.83000000000001</v>
      </c>
      <c r="S402" s="12">
        <f>VLOOKUP(O402,'Product-cost'!A:B,2,)</f>
        <v>50</v>
      </c>
      <c r="T402" s="9" t="s">
        <v>28</v>
      </c>
      <c r="U402" s="9" t="s">
        <v>143</v>
      </c>
      <c r="V402" s="9" t="s">
        <v>881</v>
      </c>
      <c r="W402" s="9" t="s">
        <v>894</v>
      </c>
      <c r="X402" s="12">
        <f t="shared" si="72"/>
        <v>915.81000000000006</v>
      </c>
      <c r="Y402" s="12">
        <f t="shared" si="73"/>
        <v>350</v>
      </c>
      <c r="Z402" s="16">
        <f>VLOOKUP(T402,Taxrate!A:B,2,FALSE)</f>
        <v>0.2</v>
      </c>
      <c r="AA402" s="12">
        <f t="shared" si="74"/>
        <v>183.16200000000003</v>
      </c>
      <c r="AB402" s="16">
        <f>VLOOKUP('Sales Dataset'!O402,'Discount Rate'!A:B,2,)</f>
        <v>0.03</v>
      </c>
      <c r="AC402" s="12">
        <f t="shared" si="75"/>
        <v>10.5</v>
      </c>
      <c r="AD402" s="18">
        <f t="shared" si="76"/>
        <v>349.77000000000004</v>
      </c>
    </row>
    <row r="403" spans="1:30" ht="51" customHeight="1" x14ac:dyDescent="0.35">
      <c r="A403" s="9" t="s">
        <v>804</v>
      </c>
      <c r="B403" s="9" t="s">
        <v>805</v>
      </c>
      <c r="C403" s="9" t="s">
        <v>38</v>
      </c>
      <c r="D403" s="20" t="s">
        <v>39</v>
      </c>
      <c r="E403" s="9" t="s">
        <v>907</v>
      </c>
      <c r="F403" s="9" t="s">
        <v>908</v>
      </c>
      <c r="G403" s="8">
        <v>45248</v>
      </c>
      <c r="H403" s="7">
        <f t="shared" si="66"/>
        <v>2023</v>
      </c>
      <c r="I403" s="7" t="str">
        <f t="shared" si="67"/>
        <v>November</v>
      </c>
      <c r="J403" s="8" t="str">
        <f t="shared" si="68"/>
        <v>Saturday</v>
      </c>
      <c r="K403" s="11">
        <v>0.40201388888888889</v>
      </c>
      <c r="L403" s="14">
        <f t="shared" si="69"/>
        <v>9</v>
      </c>
      <c r="M403" s="7">
        <f t="shared" si="70"/>
        <v>38</v>
      </c>
      <c r="N403" s="7">
        <f t="shared" si="71"/>
        <v>54</v>
      </c>
      <c r="O403" s="9" t="s">
        <v>66</v>
      </c>
      <c r="P403" s="9" t="s">
        <v>67</v>
      </c>
      <c r="Q403" s="9">
        <v>6</v>
      </c>
      <c r="R403" s="12">
        <v>123.02</v>
      </c>
      <c r="S403" s="12">
        <f>VLOOKUP(O403,'Product-cost'!A:B,2,)</f>
        <v>50</v>
      </c>
      <c r="T403" s="9" t="s">
        <v>28</v>
      </c>
      <c r="U403" s="9" t="s">
        <v>80</v>
      </c>
      <c r="V403" s="9" t="s">
        <v>872</v>
      </c>
      <c r="W403" s="9" t="s">
        <v>896</v>
      </c>
      <c r="X403" s="12">
        <f t="shared" si="72"/>
        <v>738.12</v>
      </c>
      <c r="Y403" s="12">
        <f t="shared" si="73"/>
        <v>300</v>
      </c>
      <c r="Z403" s="16">
        <f>VLOOKUP(T403,Taxrate!A:B,2,FALSE)</f>
        <v>0.2</v>
      </c>
      <c r="AA403" s="12">
        <f t="shared" si="74"/>
        <v>147.624</v>
      </c>
      <c r="AB403" s="16">
        <f>VLOOKUP('Sales Dataset'!O403,'Discount Rate'!A:B,2,)</f>
        <v>0.03</v>
      </c>
      <c r="AC403" s="12">
        <f t="shared" si="75"/>
        <v>9</v>
      </c>
      <c r="AD403" s="18">
        <f t="shared" si="76"/>
        <v>299.77000000000004</v>
      </c>
    </row>
    <row r="404" spans="1:30" ht="51" customHeight="1" x14ac:dyDescent="0.35">
      <c r="A404" s="9" t="s">
        <v>806</v>
      </c>
      <c r="B404" s="9" t="s">
        <v>360</v>
      </c>
      <c r="C404" s="9" t="s">
        <v>90</v>
      </c>
      <c r="D404" s="20" t="s">
        <v>91</v>
      </c>
      <c r="E404" s="9" t="s">
        <v>915</v>
      </c>
      <c r="F404" s="9" t="s">
        <v>916</v>
      </c>
      <c r="G404" s="8">
        <v>45551</v>
      </c>
      <c r="H404" s="7">
        <f t="shared" si="66"/>
        <v>2024</v>
      </c>
      <c r="I404" s="7" t="str">
        <f t="shared" si="67"/>
        <v>September</v>
      </c>
      <c r="J404" s="8" t="str">
        <f t="shared" si="68"/>
        <v>Monday</v>
      </c>
      <c r="K404" s="11">
        <v>0.46657407407407409</v>
      </c>
      <c r="L404" s="14">
        <f t="shared" si="69"/>
        <v>11</v>
      </c>
      <c r="M404" s="7">
        <f t="shared" si="70"/>
        <v>11</v>
      </c>
      <c r="N404" s="7">
        <f t="shared" si="71"/>
        <v>52</v>
      </c>
      <c r="O404" s="9" t="s">
        <v>66</v>
      </c>
      <c r="P404" s="9" t="s">
        <v>67</v>
      </c>
      <c r="Q404" s="9">
        <v>7</v>
      </c>
      <c r="R404" s="12">
        <v>125.07</v>
      </c>
      <c r="S404" s="12">
        <f>VLOOKUP(O404,'Product-cost'!A:B,2,)</f>
        <v>50</v>
      </c>
      <c r="T404" s="9" t="s">
        <v>45</v>
      </c>
      <c r="U404" s="9" t="s">
        <v>95</v>
      </c>
      <c r="V404" s="9" t="s">
        <v>878</v>
      </c>
      <c r="W404" s="9" t="s">
        <v>894</v>
      </c>
      <c r="X404" s="12">
        <f t="shared" si="72"/>
        <v>875.49</v>
      </c>
      <c r="Y404" s="12">
        <f t="shared" si="73"/>
        <v>350</v>
      </c>
      <c r="Z404" s="16">
        <f>VLOOKUP(T404,Taxrate!A:B,2,FALSE)</f>
        <v>7.0000000000000007E-2</v>
      </c>
      <c r="AA404" s="12">
        <f t="shared" si="74"/>
        <v>61.284300000000009</v>
      </c>
      <c r="AB404" s="16">
        <f>VLOOKUP('Sales Dataset'!O404,'Discount Rate'!A:B,2,)</f>
        <v>0.03</v>
      </c>
      <c r="AC404" s="12">
        <f t="shared" si="75"/>
        <v>10.5</v>
      </c>
      <c r="AD404" s="18">
        <f t="shared" si="76"/>
        <v>349.90000000000003</v>
      </c>
    </row>
    <row r="405" spans="1:30" ht="51" customHeight="1" x14ac:dyDescent="0.35">
      <c r="A405" s="9" t="s">
        <v>807</v>
      </c>
      <c r="B405" s="9" t="s">
        <v>808</v>
      </c>
      <c r="C405" s="9" t="s">
        <v>117</v>
      </c>
      <c r="D405" s="20" t="s">
        <v>19</v>
      </c>
      <c r="E405" s="9" t="s">
        <v>903</v>
      </c>
      <c r="F405" s="9" t="s">
        <v>904</v>
      </c>
      <c r="G405" s="8">
        <v>45960</v>
      </c>
      <c r="H405" s="7">
        <f t="shared" si="66"/>
        <v>2025</v>
      </c>
      <c r="I405" s="7" t="str">
        <f t="shared" si="67"/>
        <v>October</v>
      </c>
      <c r="J405" s="8" t="str">
        <f t="shared" si="68"/>
        <v>Thursday</v>
      </c>
      <c r="K405" s="11">
        <v>0.85326388888888893</v>
      </c>
      <c r="L405" s="14">
        <f t="shared" si="69"/>
        <v>20</v>
      </c>
      <c r="M405" s="7">
        <f t="shared" si="70"/>
        <v>28</v>
      </c>
      <c r="N405" s="7">
        <f t="shared" si="71"/>
        <v>42</v>
      </c>
      <c r="O405" s="9" t="s">
        <v>66</v>
      </c>
      <c r="P405" s="9" t="s">
        <v>67</v>
      </c>
      <c r="Q405" s="9">
        <v>12</v>
      </c>
      <c r="R405" s="12">
        <v>179.99</v>
      </c>
      <c r="S405" s="12">
        <f>VLOOKUP(O405,'Product-cost'!A:B,2,)</f>
        <v>50</v>
      </c>
      <c r="T405" s="9" t="s">
        <v>49</v>
      </c>
      <c r="U405" s="9" t="s">
        <v>46</v>
      </c>
      <c r="V405" s="9" t="s">
        <v>880</v>
      </c>
      <c r="W405" s="9" t="s">
        <v>894</v>
      </c>
      <c r="X405" s="12">
        <f t="shared" si="72"/>
        <v>2159.88</v>
      </c>
      <c r="Y405" s="12">
        <f t="shared" si="73"/>
        <v>600</v>
      </c>
      <c r="Z405" s="16">
        <f>VLOOKUP(T405,Taxrate!A:B,2,FALSE)</f>
        <v>0.12</v>
      </c>
      <c r="AA405" s="12">
        <f t="shared" si="74"/>
        <v>259.18560000000002</v>
      </c>
      <c r="AB405" s="16">
        <f>VLOOKUP('Sales Dataset'!O405,'Discount Rate'!A:B,2,)</f>
        <v>0.03</v>
      </c>
      <c r="AC405" s="12">
        <f t="shared" si="75"/>
        <v>18</v>
      </c>
      <c r="AD405" s="18">
        <f t="shared" si="76"/>
        <v>599.85</v>
      </c>
    </row>
    <row r="406" spans="1:30" ht="51" customHeight="1" x14ac:dyDescent="0.35">
      <c r="A406" s="9" t="s">
        <v>809</v>
      </c>
      <c r="B406" s="9" t="s">
        <v>810</v>
      </c>
      <c r="C406" s="9" t="s">
        <v>60</v>
      </c>
      <c r="D406" s="20" t="s">
        <v>61</v>
      </c>
      <c r="E406" s="9" t="s">
        <v>911</v>
      </c>
      <c r="F406" s="9" t="s">
        <v>912</v>
      </c>
      <c r="G406" s="8">
        <v>46375</v>
      </c>
      <c r="H406" s="7">
        <f t="shared" si="66"/>
        <v>2026</v>
      </c>
      <c r="I406" s="7" t="str">
        <f t="shared" si="67"/>
        <v>December</v>
      </c>
      <c r="J406" s="8" t="str">
        <f t="shared" si="68"/>
        <v>Saturday</v>
      </c>
      <c r="K406" s="11">
        <v>0.73668981481481477</v>
      </c>
      <c r="L406" s="14">
        <f t="shared" si="69"/>
        <v>17</v>
      </c>
      <c r="M406" s="7">
        <f t="shared" si="70"/>
        <v>40</v>
      </c>
      <c r="N406" s="7">
        <f t="shared" si="71"/>
        <v>50</v>
      </c>
      <c r="O406" s="9" t="s">
        <v>26</v>
      </c>
      <c r="P406" s="9" t="s">
        <v>27</v>
      </c>
      <c r="Q406" s="9">
        <v>2</v>
      </c>
      <c r="R406" s="12">
        <v>337.03</v>
      </c>
      <c r="S406" s="12">
        <f>VLOOKUP(O406,'Product-cost'!A:B,2,)</f>
        <v>200</v>
      </c>
      <c r="T406" s="9" t="s">
        <v>49</v>
      </c>
      <c r="U406" s="9" t="s">
        <v>158</v>
      </c>
      <c r="V406" s="9" t="s">
        <v>881</v>
      </c>
      <c r="W406" s="9" t="s">
        <v>894</v>
      </c>
      <c r="X406" s="12">
        <f t="shared" si="72"/>
        <v>674.06</v>
      </c>
      <c r="Y406" s="12">
        <f t="shared" si="73"/>
        <v>400</v>
      </c>
      <c r="Z406" s="16">
        <f>VLOOKUP(T406,Taxrate!A:B,2,FALSE)</f>
        <v>0.12</v>
      </c>
      <c r="AA406" s="12">
        <f t="shared" si="74"/>
        <v>80.887199999999993</v>
      </c>
      <c r="AB406" s="16">
        <f>VLOOKUP('Sales Dataset'!O406,'Discount Rate'!A:B,2,)</f>
        <v>0.08</v>
      </c>
      <c r="AC406" s="12">
        <f t="shared" si="75"/>
        <v>32</v>
      </c>
      <c r="AD406" s="18">
        <f t="shared" si="76"/>
        <v>399.8</v>
      </c>
    </row>
    <row r="407" spans="1:30" ht="51" customHeight="1" x14ac:dyDescent="0.35">
      <c r="A407" s="9" t="s">
        <v>811</v>
      </c>
      <c r="B407" s="9" t="s">
        <v>812</v>
      </c>
      <c r="C407" s="9" t="s">
        <v>57</v>
      </c>
      <c r="D407" s="20" t="s">
        <v>12</v>
      </c>
      <c r="E407" s="9" t="s">
        <v>901</v>
      </c>
      <c r="F407" s="9" t="s">
        <v>902</v>
      </c>
      <c r="G407" s="8">
        <v>45140</v>
      </c>
      <c r="H407" s="7">
        <f t="shared" si="66"/>
        <v>2023</v>
      </c>
      <c r="I407" s="7" t="str">
        <f t="shared" si="67"/>
        <v>August</v>
      </c>
      <c r="J407" s="8" t="str">
        <f t="shared" si="68"/>
        <v>Wednesday</v>
      </c>
      <c r="K407" s="11">
        <v>0.84253472222222225</v>
      </c>
      <c r="L407" s="14">
        <f t="shared" si="69"/>
        <v>20</v>
      </c>
      <c r="M407" s="7">
        <f t="shared" si="70"/>
        <v>13</v>
      </c>
      <c r="N407" s="7">
        <f t="shared" si="71"/>
        <v>15</v>
      </c>
      <c r="O407" s="9" t="s">
        <v>40</v>
      </c>
      <c r="P407" s="9" t="s">
        <v>41</v>
      </c>
      <c r="Q407" s="9">
        <v>13</v>
      </c>
      <c r="R407" s="12">
        <v>211.25</v>
      </c>
      <c r="S407" s="12">
        <f>VLOOKUP(O407,'Product-cost'!A:B,2,)</f>
        <v>150</v>
      </c>
      <c r="T407" s="9" t="s">
        <v>49</v>
      </c>
      <c r="U407" s="9" t="s">
        <v>29</v>
      </c>
      <c r="V407" s="9" t="s">
        <v>882</v>
      </c>
      <c r="W407" s="9" t="s">
        <v>895</v>
      </c>
      <c r="X407" s="12">
        <f t="shared" si="72"/>
        <v>2746.25</v>
      </c>
      <c r="Y407" s="12">
        <f t="shared" si="73"/>
        <v>1950</v>
      </c>
      <c r="Z407" s="16">
        <f>VLOOKUP(T407,Taxrate!A:B,2,FALSE)</f>
        <v>0.12</v>
      </c>
      <c r="AA407" s="12">
        <f t="shared" si="74"/>
        <v>329.55</v>
      </c>
      <c r="AB407" s="16">
        <f>VLOOKUP('Sales Dataset'!O407,'Discount Rate'!A:B,2,)</f>
        <v>7.0000000000000007E-2</v>
      </c>
      <c r="AC407" s="12">
        <f t="shared" si="75"/>
        <v>136.5</v>
      </c>
      <c r="AD407" s="18">
        <f t="shared" si="76"/>
        <v>1949.8100000000002</v>
      </c>
    </row>
    <row r="408" spans="1:30" ht="51" customHeight="1" x14ac:dyDescent="0.35">
      <c r="A408" s="9" t="s">
        <v>813</v>
      </c>
      <c r="B408" s="9" t="s">
        <v>814</v>
      </c>
      <c r="C408" s="9" t="s">
        <v>172</v>
      </c>
      <c r="D408" s="20" t="s">
        <v>142</v>
      </c>
      <c r="E408" s="9" t="s">
        <v>917</v>
      </c>
      <c r="F408" s="9" t="s">
        <v>918</v>
      </c>
      <c r="G408" s="8">
        <v>45161</v>
      </c>
      <c r="H408" s="7">
        <f t="shared" si="66"/>
        <v>2023</v>
      </c>
      <c r="I408" s="7" t="str">
        <f t="shared" si="67"/>
        <v>August</v>
      </c>
      <c r="J408" s="8" t="str">
        <f t="shared" si="68"/>
        <v>Wednesday</v>
      </c>
      <c r="K408" s="11">
        <v>0.67381944444444442</v>
      </c>
      <c r="L408" s="14">
        <f t="shared" si="69"/>
        <v>16</v>
      </c>
      <c r="M408" s="7">
        <f t="shared" si="70"/>
        <v>10</v>
      </c>
      <c r="N408" s="7">
        <f t="shared" si="71"/>
        <v>18</v>
      </c>
      <c r="O408" s="9" t="s">
        <v>20</v>
      </c>
      <c r="P408" s="9" t="s">
        <v>21</v>
      </c>
      <c r="Q408" s="9">
        <v>13</v>
      </c>
      <c r="R408" s="12">
        <v>500</v>
      </c>
      <c r="S408" s="12">
        <f>VLOOKUP(O408,'Product-cost'!A:B,2,)</f>
        <v>300</v>
      </c>
      <c r="T408" s="9" t="s">
        <v>22</v>
      </c>
      <c r="U408" s="9" t="s">
        <v>235</v>
      </c>
      <c r="V408" s="9" t="s">
        <v>878</v>
      </c>
      <c r="W408" s="9" t="s">
        <v>894</v>
      </c>
      <c r="X408" s="12">
        <f t="shared" si="72"/>
        <v>6500</v>
      </c>
      <c r="Y408" s="12">
        <f t="shared" si="73"/>
        <v>3900</v>
      </c>
      <c r="Z408" s="16">
        <f>VLOOKUP(T408,Taxrate!A:B,2,FALSE)</f>
        <v>0.1</v>
      </c>
      <c r="AA408" s="12">
        <f t="shared" si="74"/>
        <v>650</v>
      </c>
      <c r="AB408" s="16">
        <f>VLOOKUP('Sales Dataset'!O408,'Discount Rate'!A:B,2,)</f>
        <v>0.1</v>
      </c>
      <c r="AC408" s="12">
        <f t="shared" si="75"/>
        <v>390</v>
      </c>
      <c r="AD408" s="18">
        <f t="shared" si="76"/>
        <v>3899.8</v>
      </c>
    </row>
    <row r="409" spans="1:30" ht="51" customHeight="1" x14ac:dyDescent="0.35">
      <c r="A409" s="9" t="s">
        <v>815</v>
      </c>
      <c r="B409" s="9" t="s">
        <v>565</v>
      </c>
      <c r="C409" s="9" t="s">
        <v>76</v>
      </c>
      <c r="D409" s="20" t="s">
        <v>33</v>
      </c>
      <c r="E409" s="9" t="s">
        <v>905</v>
      </c>
      <c r="F409" s="9" t="s">
        <v>906</v>
      </c>
      <c r="G409" s="8">
        <v>45772</v>
      </c>
      <c r="H409" s="7">
        <f t="shared" si="66"/>
        <v>2025</v>
      </c>
      <c r="I409" s="7" t="str">
        <f t="shared" si="67"/>
        <v>April</v>
      </c>
      <c r="J409" s="8" t="str">
        <f t="shared" si="68"/>
        <v>Friday</v>
      </c>
      <c r="K409" s="11">
        <v>0.51726851851851852</v>
      </c>
      <c r="L409" s="14">
        <f t="shared" si="69"/>
        <v>12</v>
      </c>
      <c r="M409" s="7">
        <f t="shared" si="70"/>
        <v>24</v>
      </c>
      <c r="N409" s="7">
        <f t="shared" si="71"/>
        <v>52</v>
      </c>
      <c r="O409" s="9" t="s">
        <v>13</v>
      </c>
      <c r="P409" s="9" t="s">
        <v>14</v>
      </c>
      <c r="Q409" s="9">
        <v>7</v>
      </c>
      <c r="R409" s="12">
        <v>1098.5</v>
      </c>
      <c r="S409" s="12">
        <f>VLOOKUP(O409,'Product-cost'!A:B,2,)</f>
        <v>600</v>
      </c>
      <c r="T409" s="9" t="s">
        <v>28</v>
      </c>
      <c r="U409" s="9" t="s">
        <v>77</v>
      </c>
      <c r="V409" s="9" t="s">
        <v>870</v>
      </c>
      <c r="W409" s="9" t="s">
        <v>894</v>
      </c>
      <c r="X409" s="12">
        <f t="shared" si="72"/>
        <v>7689.5</v>
      </c>
      <c r="Y409" s="12">
        <f t="shared" si="73"/>
        <v>4200</v>
      </c>
      <c r="Z409" s="16">
        <f>VLOOKUP(T409,Taxrate!A:B,2,FALSE)</f>
        <v>0.2</v>
      </c>
      <c r="AA409" s="12">
        <f t="shared" si="74"/>
        <v>1537.9</v>
      </c>
      <c r="AB409" s="16">
        <f>VLOOKUP('Sales Dataset'!O409,'Discount Rate'!A:B,2,)</f>
        <v>0.05</v>
      </c>
      <c r="AC409" s="12">
        <f t="shared" si="75"/>
        <v>210</v>
      </c>
      <c r="AD409" s="18">
        <f t="shared" si="76"/>
        <v>4199.75</v>
      </c>
    </row>
    <row r="410" spans="1:30" ht="51" customHeight="1" x14ac:dyDescent="0.35">
      <c r="A410" s="9" t="s">
        <v>816</v>
      </c>
      <c r="B410" s="9" t="s">
        <v>817</v>
      </c>
      <c r="C410" s="9" t="s">
        <v>65</v>
      </c>
      <c r="D410" s="20" t="s">
        <v>53</v>
      </c>
      <c r="E410" s="9" t="s">
        <v>909</v>
      </c>
      <c r="F410" s="9" t="s">
        <v>910</v>
      </c>
      <c r="G410" s="8">
        <v>45761</v>
      </c>
      <c r="H410" s="7">
        <f t="shared" si="66"/>
        <v>2025</v>
      </c>
      <c r="I410" s="7" t="str">
        <f t="shared" si="67"/>
        <v>April</v>
      </c>
      <c r="J410" s="8" t="str">
        <f t="shared" si="68"/>
        <v>Monday</v>
      </c>
      <c r="K410" s="11">
        <v>0.34554398148148147</v>
      </c>
      <c r="L410" s="14">
        <f t="shared" si="69"/>
        <v>8</v>
      </c>
      <c r="M410" s="7">
        <f t="shared" si="70"/>
        <v>17</v>
      </c>
      <c r="N410" s="7">
        <f t="shared" si="71"/>
        <v>35</v>
      </c>
      <c r="O410" s="9" t="s">
        <v>40</v>
      </c>
      <c r="P410" s="9" t="s">
        <v>41</v>
      </c>
      <c r="Q410" s="9">
        <v>4</v>
      </c>
      <c r="R410" s="12">
        <v>247.67</v>
      </c>
      <c r="S410" s="12">
        <f>VLOOKUP(O410,'Product-cost'!A:B,2,)</f>
        <v>150</v>
      </c>
      <c r="T410" s="9" t="s">
        <v>28</v>
      </c>
      <c r="U410" s="9" t="s">
        <v>68</v>
      </c>
      <c r="V410" s="9" t="s">
        <v>881</v>
      </c>
      <c r="W410" s="9" t="s">
        <v>894</v>
      </c>
      <c r="X410" s="12">
        <f t="shared" si="72"/>
        <v>990.68</v>
      </c>
      <c r="Y410" s="12">
        <f t="shared" si="73"/>
        <v>600</v>
      </c>
      <c r="Z410" s="16">
        <f>VLOOKUP(T410,Taxrate!A:B,2,FALSE)</f>
        <v>0.2</v>
      </c>
      <c r="AA410" s="12">
        <f t="shared" si="74"/>
        <v>198.136</v>
      </c>
      <c r="AB410" s="16">
        <f>VLOOKUP('Sales Dataset'!O410,'Discount Rate'!A:B,2,)</f>
        <v>7.0000000000000007E-2</v>
      </c>
      <c r="AC410" s="12">
        <f t="shared" si="75"/>
        <v>42.000000000000007</v>
      </c>
      <c r="AD410" s="18">
        <f t="shared" si="76"/>
        <v>599.7299999999999</v>
      </c>
    </row>
    <row r="411" spans="1:30" ht="51" customHeight="1" x14ac:dyDescent="0.35">
      <c r="A411" s="9" t="s">
        <v>818</v>
      </c>
      <c r="B411" s="9" t="s">
        <v>726</v>
      </c>
      <c r="C411" s="9" t="s">
        <v>18</v>
      </c>
      <c r="D411" s="20" t="s">
        <v>19</v>
      </c>
      <c r="E411" s="9" t="s">
        <v>903</v>
      </c>
      <c r="F411" s="9" t="s">
        <v>904</v>
      </c>
      <c r="G411" s="8">
        <v>46297</v>
      </c>
      <c r="H411" s="7">
        <f t="shared" si="66"/>
        <v>2026</v>
      </c>
      <c r="I411" s="7" t="str">
        <f t="shared" si="67"/>
        <v>October</v>
      </c>
      <c r="J411" s="8" t="str">
        <f t="shared" si="68"/>
        <v>Friday</v>
      </c>
      <c r="K411" s="11">
        <v>0.33393518518518517</v>
      </c>
      <c r="L411" s="14">
        <f t="shared" si="69"/>
        <v>8</v>
      </c>
      <c r="M411" s="7">
        <f t="shared" si="70"/>
        <v>0</v>
      </c>
      <c r="N411" s="7">
        <f t="shared" si="71"/>
        <v>52</v>
      </c>
      <c r="O411" s="9" t="s">
        <v>66</v>
      </c>
      <c r="P411" s="9" t="s">
        <v>67</v>
      </c>
      <c r="Q411" s="9">
        <v>10</v>
      </c>
      <c r="R411" s="12">
        <v>192.91</v>
      </c>
      <c r="S411" s="12">
        <f>VLOOKUP(O411,'Product-cost'!A:B,2,)</f>
        <v>50</v>
      </c>
      <c r="T411" s="9" t="s">
        <v>45</v>
      </c>
      <c r="U411" s="9" t="s">
        <v>23</v>
      </c>
      <c r="V411" s="9" t="s">
        <v>872</v>
      </c>
      <c r="W411" s="9" t="s">
        <v>896</v>
      </c>
      <c r="X411" s="12">
        <f t="shared" si="72"/>
        <v>1929.1</v>
      </c>
      <c r="Y411" s="12">
        <f t="shared" si="73"/>
        <v>500</v>
      </c>
      <c r="Z411" s="16">
        <f>VLOOKUP(T411,Taxrate!A:B,2,FALSE)</f>
        <v>7.0000000000000007E-2</v>
      </c>
      <c r="AA411" s="12">
        <f t="shared" si="74"/>
        <v>135.03700000000001</v>
      </c>
      <c r="AB411" s="16">
        <f>VLOOKUP('Sales Dataset'!O411,'Discount Rate'!A:B,2,)</f>
        <v>0.03</v>
      </c>
      <c r="AC411" s="12">
        <f t="shared" si="75"/>
        <v>15</v>
      </c>
      <c r="AD411" s="18">
        <f t="shared" si="76"/>
        <v>499.90000000000003</v>
      </c>
    </row>
    <row r="412" spans="1:30" ht="51" customHeight="1" x14ac:dyDescent="0.35">
      <c r="A412" s="9" t="s">
        <v>819</v>
      </c>
      <c r="B412" s="9" t="s">
        <v>667</v>
      </c>
      <c r="C412" s="9" t="s">
        <v>163</v>
      </c>
      <c r="D412" s="20" t="s">
        <v>53</v>
      </c>
      <c r="E412" s="9" t="s">
        <v>909</v>
      </c>
      <c r="F412" s="9" t="s">
        <v>910</v>
      </c>
      <c r="G412" s="8">
        <v>45020</v>
      </c>
      <c r="H412" s="7">
        <f t="shared" si="66"/>
        <v>2023</v>
      </c>
      <c r="I412" s="7" t="str">
        <f t="shared" si="67"/>
        <v>April</v>
      </c>
      <c r="J412" s="8" t="str">
        <f t="shared" si="68"/>
        <v>Tuesday</v>
      </c>
      <c r="K412" s="11">
        <v>0.8156944444444445</v>
      </c>
      <c r="L412" s="14">
        <f t="shared" si="69"/>
        <v>19</v>
      </c>
      <c r="M412" s="7">
        <f t="shared" si="70"/>
        <v>34</v>
      </c>
      <c r="N412" s="7">
        <f t="shared" si="71"/>
        <v>36</v>
      </c>
      <c r="O412" s="9" t="s">
        <v>13</v>
      </c>
      <c r="P412" s="9" t="s">
        <v>14</v>
      </c>
      <c r="Q412" s="9">
        <v>7</v>
      </c>
      <c r="R412" s="12">
        <v>1215.25</v>
      </c>
      <c r="S412" s="12">
        <f>VLOOKUP(O412,'Product-cost'!A:B,2,)</f>
        <v>600</v>
      </c>
      <c r="T412" s="9" t="s">
        <v>49</v>
      </c>
      <c r="U412" s="9" t="s">
        <v>206</v>
      </c>
      <c r="V412" s="9" t="s">
        <v>881</v>
      </c>
      <c r="W412" s="9" t="s">
        <v>894</v>
      </c>
      <c r="X412" s="12">
        <f t="shared" si="72"/>
        <v>8506.75</v>
      </c>
      <c r="Y412" s="12">
        <f t="shared" si="73"/>
        <v>4200</v>
      </c>
      <c r="Z412" s="16">
        <f>VLOOKUP(T412,Taxrate!A:B,2,FALSE)</f>
        <v>0.12</v>
      </c>
      <c r="AA412" s="12">
        <f t="shared" si="74"/>
        <v>1020.81</v>
      </c>
      <c r="AB412" s="16">
        <f>VLOOKUP('Sales Dataset'!O412,'Discount Rate'!A:B,2,)</f>
        <v>0.05</v>
      </c>
      <c r="AC412" s="12">
        <f t="shared" si="75"/>
        <v>210</v>
      </c>
      <c r="AD412" s="18">
        <f t="shared" si="76"/>
        <v>4199.83</v>
      </c>
    </row>
    <row r="413" spans="1:30" ht="51" customHeight="1" x14ac:dyDescent="0.35">
      <c r="A413" s="9" t="s">
        <v>820</v>
      </c>
      <c r="B413" s="9" t="s">
        <v>552</v>
      </c>
      <c r="C413" s="9" t="s">
        <v>172</v>
      </c>
      <c r="D413" s="20" t="s">
        <v>142</v>
      </c>
      <c r="E413" s="9" t="s">
        <v>917</v>
      </c>
      <c r="F413" s="9" t="s">
        <v>918</v>
      </c>
      <c r="G413" s="8">
        <v>45486</v>
      </c>
      <c r="H413" s="7">
        <f t="shared" si="66"/>
        <v>2024</v>
      </c>
      <c r="I413" s="7" t="str">
        <f t="shared" si="67"/>
        <v>July</v>
      </c>
      <c r="J413" s="8" t="str">
        <f t="shared" si="68"/>
        <v>Saturday</v>
      </c>
      <c r="K413" s="11">
        <v>0.76413194444444443</v>
      </c>
      <c r="L413" s="14">
        <f t="shared" si="69"/>
        <v>18</v>
      </c>
      <c r="M413" s="7">
        <f t="shared" si="70"/>
        <v>20</v>
      </c>
      <c r="N413" s="7">
        <f t="shared" si="71"/>
        <v>21</v>
      </c>
      <c r="O413" s="9" t="s">
        <v>20</v>
      </c>
      <c r="P413" s="9" t="s">
        <v>21</v>
      </c>
      <c r="Q413" s="9">
        <v>10</v>
      </c>
      <c r="R413" s="12">
        <v>754.21</v>
      </c>
      <c r="S413" s="12">
        <f>VLOOKUP(O413,'Product-cost'!A:B,2,)</f>
        <v>300</v>
      </c>
      <c r="T413" s="9" t="s">
        <v>28</v>
      </c>
      <c r="U413" s="9" t="s">
        <v>143</v>
      </c>
      <c r="V413" s="9" t="s">
        <v>868</v>
      </c>
      <c r="W413" s="9" t="s">
        <v>894</v>
      </c>
      <c r="X413" s="12">
        <f t="shared" si="72"/>
        <v>7542.1</v>
      </c>
      <c r="Y413" s="12">
        <f t="shared" si="73"/>
        <v>3000</v>
      </c>
      <c r="Z413" s="16">
        <f>VLOOKUP(T413,Taxrate!A:B,2,FALSE)</f>
        <v>0.2</v>
      </c>
      <c r="AA413" s="12">
        <f t="shared" si="74"/>
        <v>1508.42</v>
      </c>
      <c r="AB413" s="16">
        <f>VLOOKUP('Sales Dataset'!O413,'Discount Rate'!A:B,2,)</f>
        <v>0.1</v>
      </c>
      <c r="AC413" s="12">
        <f t="shared" si="75"/>
        <v>300</v>
      </c>
      <c r="AD413" s="18">
        <f t="shared" si="76"/>
        <v>2999.7000000000003</v>
      </c>
    </row>
    <row r="414" spans="1:30" ht="51" customHeight="1" x14ac:dyDescent="0.35">
      <c r="A414" s="9" t="s">
        <v>821</v>
      </c>
      <c r="B414" s="9" t="s">
        <v>687</v>
      </c>
      <c r="C414" s="9" t="s">
        <v>65</v>
      </c>
      <c r="D414" s="20" t="s">
        <v>53</v>
      </c>
      <c r="E414" s="9" t="s">
        <v>909</v>
      </c>
      <c r="F414" s="9" t="s">
        <v>910</v>
      </c>
      <c r="G414" s="8">
        <v>46204</v>
      </c>
      <c r="H414" s="7">
        <f t="shared" si="66"/>
        <v>2026</v>
      </c>
      <c r="I414" s="7" t="str">
        <f t="shared" si="67"/>
        <v>July</v>
      </c>
      <c r="J414" s="8" t="str">
        <f t="shared" si="68"/>
        <v>Wednesday</v>
      </c>
      <c r="K414" s="11">
        <v>0.87269675925925927</v>
      </c>
      <c r="L414" s="14">
        <f t="shared" si="69"/>
        <v>20</v>
      </c>
      <c r="M414" s="7">
        <f t="shared" si="70"/>
        <v>56</v>
      </c>
      <c r="N414" s="7">
        <f t="shared" si="71"/>
        <v>41</v>
      </c>
      <c r="O414" s="9" t="s">
        <v>13</v>
      </c>
      <c r="P414" s="9" t="s">
        <v>14</v>
      </c>
      <c r="Q414" s="9">
        <v>15</v>
      </c>
      <c r="R414" s="12">
        <v>1135.81</v>
      </c>
      <c r="S414" s="12">
        <f>VLOOKUP(O414,'Product-cost'!A:B,2,)</f>
        <v>600</v>
      </c>
      <c r="T414" s="9" t="s">
        <v>45</v>
      </c>
      <c r="U414" s="9" t="s">
        <v>206</v>
      </c>
      <c r="V414" s="9" t="s">
        <v>869</v>
      </c>
      <c r="W414" s="9" t="s">
        <v>894</v>
      </c>
      <c r="X414" s="12">
        <f t="shared" si="72"/>
        <v>17037.149999999998</v>
      </c>
      <c r="Y414" s="12">
        <f t="shared" si="73"/>
        <v>9000</v>
      </c>
      <c r="Z414" s="16">
        <f>VLOOKUP(T414,Taxrate!A:B,2,FALSE)</f>
        <v>7.0000000000000007E-2</v>
      </c>
      <c r="AA414" s="12">
        <f t="shared" si="74"/>
        <v>1192.6005</v>
      </c>
      <c r="AB414" s="16">
        <f>VLOOKUP('Sales Dataset'!O414,'Discount Rate'!A:B,2,)</f>
        <v>0.05</v>
      </c>
      <c r="AC414" s="12">
        <f t="shared" si="75"/>
        <v>450</v>
      </c>
      <c r="AD414" s="18">
        <f t="shared" si="76"/>
        <v>8999.880000000001</v>
      </c>
    </row>
    <row r="415" spans="1:30" ht="51" customHeight="1" x14ac:dyDescent="0.35">
      <c r="A415" s="9" t="s">
        <v>822</v>
      </c>
      <c r="B415" s="9" t="s">
        <v>87</v>
      </c>
      <c r="C415" s="9" t="s">
        <v>11</v>
      </c>
      <c r="D415" s="20" t="s">
        <v>12</v>
      </c>
      <c r="E415" s="9" t="s">
        <v>901</v>
      </c>
      <c r="F415" s="9" t="s">
        <v>902</v>
      </c>
      <c r="G415" s="8">
        <v>45685</v>
      </c>
      <c r="H415" s="7">
        <f t="shared" si="66"/>
        <v>2025</v>
      </c>
      <c r="I415" s="7" t="str">
        <f t="shared" si="67"/>
        <v>January</v>
      </c>
      <c r="J415" s="8" t="str">
        <f t="shared" si="68"/>
        <v>Tuesday</v>
      </c>
      <c r="K415" s="11">
        <v>0.62516203703703699</v>
      </c>
      <c r="L415" s="14">
        <f t="shared" si="69"/>
        <v>15</v>
      </c>
      <c r="M415" s="7">
        <f t="shared" si="70"/>
        <v>0</v>
      </c>
      <c r="N415" s="7">
        <f t="shared" si="71"/>
        <v>14</v>
      </c>
      <c r="O415" s="9" t="s">
        <v>13</v>
      </c>
      <c r="P415" s="9" t="s">
        <v>14</v>
      </c>
      <c r="Q415" s="9">
        <v>11</v>
      </c>
      <c r="R415" s="12">
        <v>978.91</v>
      </c>
      <c r="S415" s="12">
        <f>VLOOKUP(O415,'Product-cost'!A:B,2,)</f>
        <v>600</v>
      </c>
      <c r="T415" s="9" t="s">
        <v>45</v>
      </c>
      <c r="U415" s="9" t="s">
        <v>29</v>
      </c>
      <c r="V415" s="9" t="s">
        <v>871</v>
      </c>
      <c r="W415" s="9" t="s">
        <v>894</v>
      </c>
      <c r="X415" s="12">
        <f t="shared" si="72"/>
        <v>10768.01</v>
      </c>
      <c r="Y415" s="12">
        <f t="shared" si="73"/>
        <v>6600</v>
      </c>
      <c r="Z415" s="16">
        <f>VLOOKUP(T415,Taxrate!A:B,2,FALSE)</f>
        <v>7.0000000000000007E-2</v>
      </c>
      <c r="AA415" s="12">
        <f t="shared" si="74"/>
        <v>753.76070000000004</v>
      </c>
      <c r="AB415" s="16">
        <f>VLOOKUP('Sales Dataset'!O415,'Discount Rate'!A:B,2,)</f>
        <v>0.05</v>
      </c>
      <c r="AC415" s="12">
        <f t="shared" si="75"/>
        <v>330</v>
      </c>
      <c r="AD415" s="18">
        <f t="shared" si="76"/>
        <v>6599.88</v>
      </c>
    </row>
    <row r="416" spans="1:30" ht="51" customHeight="1" x14ac:dyDescent="0.35">
      <c r="A416" s="9" t="s">
        <v>823</v>
      </c>
      <c r="B416" s="9" t="s">
        <v>824</v>
      </c>
      <c r="C416" s="9" t="s">
        <v>65</v>
      </c>
      <c r="D416" s="20" t="s">
        <v>53</v>
      </c>
      <c r="E416" s="9" t="s">
        <v>909</v>
      </c>
      <c r="F416" s="9" t="s">
        <v>910</v>
      </c>
      <c r="G416" s="8">
        <v>44941</v>
      </c>
      <c r="H416" s="7">
        <f t="shared" si="66"/>
        <v>2023</v>
      </c>
      <c r="I416" s="7" t="str">
        <f t="shared" si="67"/>
        <v>January</v>
      </c>
      <c r="J416" s="8" t="str">
        <f t="shared" si="68"/>
        <v>Sunday</v>
      </c>
      <c r="K416" s="11">
        <v>0.90306712962962965</v>
      </c>
      <c r="L416" s="14">
        <f t="shared" si="69"/>
        <v>21</v>
      </c>
      <c r="M416" s="7">
        <f t="shared" si="70"/>
        <v>40</v>
      </c>
      <c r="N416" s="7">
        <f t="shared" si="71"/>
        <v>25</v>
      </c>
      <c r="O416" s="9" t="s">
        <v>13</v>
      </c>
      <c r="P416" s="9" t="s">
        <v>14</v>
      </c>
      <c r="Q416" s="9">
        <v>10</v>
      </c>
      <c r="R416" s="12">
        <v>885.24</v>
      </c>
      <c r="S416" s="12">
        <f>VLOOKUP(O416,'Product-cost'!A:B,2,)</f>
        <v>600</v>
      </c>
      <c r="T416" s="9" t="s">
        <v>28</v>
      </c>
      <c r="U416" s="9" t="s">
        <v>68</v>
      </c>
      <c r="V416" s="9" t="s">
        <v>872</v>
      </c>
      <c r="W416" s="9" t="s">
        <v>896</v>
      </c>
      <c r="X416" s="12">
        <f t="shared" si="72"/>
        <v>8852.4</v>
      </c>
      <c r="Y416" s="12">
        <f t="shared" si="73"/>
        <v>6000</v>
      </c>
      <c r="Z416" s="16">
        <f>VLOOKUP(T416,Taxrate!A:B,2,FALSE)</f>
        <v>0.2</v>
      </c>
      <c r="AA416" s="12">
        <f t="shared" si="74"/>
        <v>1770.48</v>
      </c>
      <c r="AB416" s="16">
        <f>VLOOKUP('Sales Dataset'!O416,'Discount Rate'!A:B,2,)</f>
        <v>0.05</v>
      </c>
      <c r="AC416" s="12">
        <f t="shared" si="75"/>
        <v>300</v>
      </c>
      <c r="AD416" s="18">
        <f t="shared" si="76"/>
        <v>5999.75</v>
      </c>
    </row>
    <row r="417" spans="1:30" ht="51" customHeight="1" x14ac:dyDescent="0.35">
      <c r="A417" s="9" t="s">
        <v>825</v>
      </c>
      <c r="B417" s="9" t="s">
        <v>711</v>
      </c>
      <c r="C417" s="9" t="s">
        <v>150</v>
      </c>
      <c r="D417" s="20" t="s">
        <v>33</v>
      </c>
      <c r="E417" s="9" t="s">
        <v>905</v>
      </c>
      <c r="F417" s="9" t="s">
        <v>906</v>
      </c>
      <c r="G417" s="8">
        <v>45850</v>
      </c>
      <c r="H417" s="7">
        <f t="shared" si="66"/>
        <v>2025</v>
      </c>
      <c r="I417" s="7" t="str">
        <f t="shared" si="67"/>
        <v>July</v>
      </c>
      <c r="J417" s="8" t="str">
        <f t="shared" si="68"/>
        <v>Saturday</v>
      </c>
      <c r="K417" s="11">
        <v>0.49633101851851852</v>
      </c>
      <c r="L417" s="14">
        <f t="shared" si="69"/>
        <v>11</v>
      </c>
      <c r="M417" s="7">
        <f t="shared" si="70"/>
        <v>54</v>
      </c>
      <c r="N417" s="7">
        <f t="shared" si="71"/>
        <v>43</v>
      </c>
      <c r="O417" s="9" t="s">
        <v>13</v>
      </c>
      <c r="P417" s="9" t="s">
        <v>14</v>
      </c>
      <c r="Q417" s="9">
        <v>12</v>
      </c>
      <c r="R417" s="12">
        <v>1107.23</v>
      </c>
      <c r="S417" s="12">
        <f>VLOOKUP(O417,'Product-cost'!A:B,2,)</f>
        <v>600</v>
      </c>
      <c r="T417" s="9" t="s">
        <v>49</v>
      </c>
      <c r="U417" s="9" t="s">
        <v>77</v>
      </c>
      <c r="V417" s="9" t="s">
        <v>880</v>
      </c>
      <c r="W417" s="9" t="s">
        <v>894</v>
      </c>
      <c r="X417" s="12">
        <f t="shared" si="72"/>
        <v>13286.76</v>
      </c>
      <c r="Y417" s="12">
        <f t="shared" si="73"/>
        <v>7200</v>
      </c>
      <c r="Z417" s="16">
        <f>VLOOKUP(T417,Taxrate!A:B,2,FALSE)</f>
        <v>0.12</v>
      </c>
      <c r="AA417" s="12">
        <f t="shared" si="74"/>
        <v>1594.4112</v>
      </c>
      <c r="AB417" s="16">
        <f>VLOOKUP('Sales Dataset'!O417,'Discount Rate'!A:B,2,)</f>
        <v>0.05</v>
      </c>
      <c r="AC417" s="12">
        <f t="shared" si="75"/>
        <v>360</v>
      </c>
      <c r="AD417" s="18">
        <f t="shared" si="76"/>
        <v>7199.83</v>
      </c>
    </row>
    <row r="418" spans="1:30" ht="51" customHeight="1" x14ac:dyDescent="0.35">
      <c r="A418" s="9" t="s">
        <v>826</v>
      </c>
      <c r="B418" s="9" t="s">
        <v>382</v>
      </c>
      <c r="C418" s="9" t="s">
        <v>172</v>
      </c>
      <c r="D418" s="20" t="s">
        <v>142</v>
      </c>
      <c r="E418" s="9" t="s">
        <v>917</v>
      </c>
      <c r="F418" s="9" t="s">
        <v>918</v>
      </c>
      <c r="G418" s="8">
        <v>46319</v>
      </c>
      <c r="H418" s="7">
        <f t="shared" si="66"/>
        <v>2026</v>
      </c>
      <c r="I418" s="7" t="str">
        <f t="shared" si="67"/>
        <v>October</v>
      </c>
      <c r="J418" s="8" t="str">
        <f t="shared" si="68"/>
        <v>Saturday</v>
      </c>
      <c r="K418" s="11">
        <v>0.64135416666666667</v>
      </c>
      <c r="L418" s="14">
        <f t="shared" si="69"/>
        <v>15</v>
      </c>
      <c r="M418" s="7">
        <f t="shared" si="70"/>
        <v>23</v>
      </c>
      <c r="N418" s="7">
        <f t="shared" si="71"/>
        <v>33</v>
      </c>
      <c r="O418" s="9" t="s">
        <v>13</v>
      </c>
      <c r="P418" s="9" t="s">
        <v>14</v>
      </c>
      <c r="Q418" s="9">
        <v>4</v>
      </c>
      <c r="R418" s="12">
        <v>500</v>
      </c>
      <c r="S418" s="12">
        <f>VLOOKUP(O418,'Product-cost'!A:B,2,)</f>
        <v>600</v>
      </c>
      <c r="T418" s="9" t="s">
        <v>34</v>
      </c>
      <c r="U418" s="9" t="s">
        <v>235</v>
      </c>
      <c r="V418" s="9" t="s">
        <v>872</v>
      </c>
      <c r="W418" s="9" t="s">
        <v>896</v>
      </c>
      <c r="X418" s="12">
        <f t="shared" si="72"/>
        <v>2000</v>
      </c>
      <c r="Y418" s="12">
        <f t="shared" si="73"/>
        <v>2400</v>
      </c>
      <c r="Z418" s="16">
        <f>VLOOKUP(T418,Taxrate!A:B,2,FALSE)</f>
        <v>0.15</v>
      </c>
      <c r="AA418" s="12">
        <f t="shared" si="74"/>
        <v>300</v>
      </c>
      <c r="AB418" s="16">
        <f>VLOOKUP('Sales Dataset'!O418,'Discount Rate'!A:B,2,)</f>
        <v>0.05</v>
      </c>
      <c r="AC418" s="12">
        <f t="shared" si="75"/>
        <v>120</v>
      </c>
      <c r="AD418" s="18">
        <f t="shared" si="76"/>
        <v>2399.7999999999997</v>
      </c>
    </row>
    <row r="419" spans="1:30" ht="51" customHeight="1" x14ac:dyDescent="0.35">
      <c r="A419" s="9" t="s">
        <v>827</v>
      </c>
      <c r="B419" s="9" t="s">
        <v>828</v>
      </c>
      <c r="C419" s="9" t="s">
        <v>18</v>
      </c>
      <c r="D419" s="20" t="s">
        <v>19</v>
      </c>
      <c r="E419" s="9" t="s">
        <v>903</v>
      </c>
      <c r="F419" s="9" t="s">
        <v>904</v>
      </c>
      <c r="G419" s="8">
        <v>44963</v>
      </c>
      <c r="H419" s="7">
        <f t="shared" si="66"/>
        <v>2023</v>
      </c>
      <c r="I419" s="7" t="str">
        <f t="shared" si="67"/>
        <v>February</v>
      </c>
      <c r="J419" s="8" t="str">
        <f t="shared" si="68"/>
        <v>Monday</v>
      </c>
      <c r="K419" s="11">
        <v>0.46552083333333333</v>
      </c>
      <c r="L419" s="14">
        <f t="shared" si="69"/>
        <v>11</v>
      </c>
      <c r="M419" s="7">
        <f t="shared" si="70"/>
        <v>10</v>
      </c>
      <c r="N419" s="7">
        <f t="shared" si="71"/>
        <v>21</v>
      </c>
      <c r="O419" s="9" t="s">
        <v>26</v>
      </c>
      <c r="P419" s="9" t="s">
        <v>27</v>
      </c>
      <c r="Q419" s="9">
        <v>7</v>
      </c>
      <c r="R419" s="12">
        <v>325.57</v>
      </c>
      <c r="S419" s="12">
        <f>VLOOKUP(O419,'Product-cost'!A:B,2,)</f>
        <v>200</v>
      </c>
      <c r="T419" s="9" t="s">
        <v>34</v>
      </c>
      <c r="U419" s="9" t="s">
        <v>23</v>
      </c>
      <c r="V419" s="9" t="s">
        <v>878</v>
      </c>
      <c r="W419" s="9" t="s">
        <v>894</v>
      </c>
      <c r="X419" s="12">
        <f t="shared" si="72"/>
        <v>2278.9899999999998</v>
      </c>
      <c r="Y419" s="12">
        <f t="shared" si="73"/>
        <v>1400</v>
      </c>
      <c r="Z419" s="16">
        <f>VLOOKUP(T419,Taxrate!A:B,2,FALSE)</f>
        <v>0.15</v>
      </c>
      <c r="AA419" s="12">
        <f t="shared" si="74"/>
        <v>341.84849999999994</v>
      </c>
      <c r="AB419" s="16">
        <f>VLOOKUP('Sales Dataset'!O419,'Discount Rate'!A:B,2,)</f>
        <v>0.08</v>
      </c>
      <c r="AC419" s="12">
        <f t="shared" si="75"/>
        <v>112</v>
      </c>
      <c r="AD419" s="18">
        <f t="shared" si="76"/>
        <v>1399.77</v>
      </c>
    </row>
    <row r="420" spans="1:30" ht="51" customHeight="1" x14ac:dyDescent="0.35">
      <c r="A420" s="9" t="s">
        <v>829</v>
      </c>
      <c r="B420" s="9" t="s">
        <v>317</v>
      </c>
      <c r="C420" s="9" t="s">
        <v>38</v>
      </c>
      <c r="D420" s="20" t="s">
        <v>39</v>
      </c>
      <c r="E420" s="9" t="s">
        <v>907</v>
      </c>
      <c r="F420" s="9" t="s">
        <v>908</v>
      </c>
      <c r="G420" s="8">
        <v>45991</v>
      </c>
      <c r="H420" s="7">
        <f t="shared" si="66"/>
        <v>2025</v>
      </c>
      <c r="I420" s="7" t="str">
        <f t="shared" si="67"/>
        <v>November</v>
      </c>
      <c r="J420" s="8" t="str">
        <f t="shared" si="68"/>
        <v>Sunday</v>
      </c>
      <c r="K420" s="11">
        <v>0.40946759259259258</v>
      </c>
      <c r="L420" s="14">
        <f t="shared" si="69"/>
        <v>9</v>
      </c>
      <c r="M420" s="7">
        <f t="shared" si="70"/>
        <v>49</v>
      </c>
      <c r="N420" s="7">
        <f t="shared" si="71"/>
        <v>38</v>
      </c>
      <c r="O420" s="9" t="s">
        <v>40</v>
      </c>
      <c r="P420" s="9" t="s">
        <v>41</v>
      </c>
      <c r="Q420" s="9">
        <v>2</v>
      </c>
      <c r="R420" s="12">
        <v>239.68</v>
      </c>
      <c r="S420" s="12">
        <f>VLOOKUP(O420,'Product-cost'!A:B,2,)</f>
        <v>150</v>
      </c>
      <c r="T420" s="9" t="s">
        <v>45</v>
      </c>
      <c r="U420" s="9" t="s">
        <v>42</v>
      </c>
      <c r="V420" s="9" t="s">
        <v>883</v>
      </c>
      <c r="W420" s="9" t="s">
        <v>894</v>
      </c>
      <c r="X420" s="12">
        <f t="shared" si="72"/>
        <v>479.36</v>
      </c>
      <c r="Y420" s="12">
        <f t="shared" si="73"/>
        <v>300</v>
      </c>
      <c r="Z420" s="16">
        <f>VLOOKUP(T420,Taxrate!A:B,2,FALSE)</f>
        <v>7.0000000000000007E-2</v>
      </c>
      <c r="AA420" s="12">
        <f t="shared" si="74"/>
        <v>33.555200000000006</v>
      </c>
      <c r="AB420" s="16">
        <f>VLOOKUP('Sales Dataset'!O420,'Discount Rate'!A:B,2,)</f>
        <v>7.0000000000000007E-2</v>
      </c>
      <c r="AC420" s="12">
        <f t="shared" si="75"/>
        <v>21.000000000000004</v>
      </c>
      <c r="AD420" s="18">
        <f t="shared" si="76"/>
        <v>299.86</v>
      </c>
    </row>
    <row r="421" spans="1:30" ht="51" customHeight="1" x14ac:dyDescent="0.35">
      <c r="A421" s="9" t="s">
        <v>830</v>
      </c>
      <c r="B421" s="9" t="s">
        <v>831</v>
      </c>
      <c r="C421" s="9" t="s">
        <v>107</v>
      </c>
      <c r="D421" s="20" t="s">
        <v>53</v>
      </c>
      <c r="E421" s="9" t="s">
        <v>909</v>
      </c>
      <c r="F421" s="9" t="s">
        <v>910</v>
      </c>
      <c r="G421" s="8">
        <v>45061</v>
      </c>
      <c r="H421" s="7">
        <f t="shared" si="66"/>
        <v>2023</v>
      </c>
      <c r="I421" s="7" t="str">
        <f t="shared" si="67"/>
        <v>May</v>
      </c>
      <c r="J421" s="8" t="str">
        <f t="shared" si="68"/>
        <v>Monday</v>
      </c>
      <c r="K421" s="11">
        <v>0.75248842592592591</v>
      </c>
      <c r="L421" s="14">
        <f t="shared" si="69"/>
        <v>18</v>
      </c>
      <c r="M421" s="7">
        <f t="shared" si="70"/>
        <v>3</v>
      </c>
      <c r="N421" s="7">
        <f t="shared" si="71"/>
        <v>35</v>
      </c>
      <c r="O421" s="9" t="s">
        <v>13</v>
      </c>
      <c r="P421" s="9" t="s">
        <v>14</v>
      </c>
      <c r="Q421" s="9">
        <v>7</v>
      </c>
      <c r="R421" s="12">
        <v>1108.6500000000001</v>
      </c>
      <c r="S421" s="12">
        <f>VLOOKUP(O421,'Product-cost'!A:B,2,)</f>
        <v>600</v>
      </c>
      <c r="T421" s="9" t="s">
        <v>34</v>
      </c>
      <c r="U421" s="9" t="s">
        <v>54</v>
      </c>
      <c r="V421" s="9" t="s">
        <v>868</v>
      </c>
      <c r="W421" s="9" t="s">
        <v>894</v>
      </c>
      <c r="X421" s="12">
        <f t="shared" si="72"/>
        <v>7760.5500000000011</v>
      </c>
      <c r="Y421" s="12">
        <f t="shared" si="73"/>
        <v>4200</v>
      </c>
      <c r="Z421" s="16">
        <f>VLOOKUP(T421,Taxrate!A:B,2,FALSE)</f>
        <v>0.15</v>
      </c>
      <c r="AA421" s="12">
        <f t="shared" si="74"/>
        <v>1164.0825000000002</v>
      </c>
      <c r="AB421" s="16">
        <f>VLOOKUP('Sales Dataset'!O421,'Discount Rate'!A:B,2,)</f>
        <v>0.05</v>
      </c>
      <c r="AC421" s="12">
        <f t="shared" si="75"/>
        <v>210</v>
      </c>
      <c r="AD421" s="18">
        <f t="shared" si="76"/>
        <v>4199.8</v>
      </c>
    </row>
    <row r="422" spans="1:30" ht="51" customHeight="1" x14ac:dyDescent="0.35">
      <c r="A422" s="9" t="s">
        <v>832</v>
      </c>
      <c r="B422" s="9" t="s">
        <v>833</v>
      </c>
      <c r="C422" s="9" t="s">
        <v>83</v>
      </c>
      <c r="D422" s="20" t="s">
        <v>84</v>
      </c>
      <c r="E422" s="9" t="s">
        <v>913</v>
      </c>
      <c r="F422" s="9" t="s">
        <v>914</v>
      </c>
      <c r="G422" s="8">
        <v>45622</v>
      </c>
      <c r="H422" s="7">
        <f t="shared" si="66"/>
        <v>2024</v>
      </c>
      <c r="I422" s="7" t="str">
        <f t="shared" si="67"/>
        <v>November</v>
      </c>
      <c r="J422" s="8" t="str">
        <f t="shared" si="68"/>
        <v>Tuesday</v>
      </c>
      <c r="K422" s="11">
        <v>0.64815972222222218</v>
      </c>
      <c r="L422" s="14">
        <f t="shared" si="69"/>
        <v>15</v>
      </c>
      <c r="M422" s="7">
        <f t="shared" si="70"/>
        <v>33</v>
      </c>
      <c r="N422" s="7">
        <f t="shared" si="71"/>
        <v>21</v>
      </c>
      <c r="O422" s="9" t="s">
        <v>40</v>
      </c>
      <c r="P422" s="9" t="s">
        <v>41</v>
      </c>
      <c r="Q422" s="9">
        <v>2</v>
      </c>
      <c r="R422" s="12">
        <v>500</v>
      </c>
      <c r="S422" s="12">
        <f>VLOOKUP(O422,'Product-cost'!A:B,2,)</f>
        <v>150</v>
      </c>
      <c r="T422" s="9" t="s">
        <v>45</v>
      </c>
      <c r="U422" s="9" t="s">
        <v>183</v>
      </c>
      <c r="V422" s="9" t="s">
        <v>876</v>
      </c>
      <c r="W422" s="9" t="s">
        <v>896</v>
      </c>
      <c r="X422" s="12">
        <f t="shared" si="72"/>
        <v>1000</v>
      </c>
      <c r="Y422" s="12">
        <f t="shared" si="73"/>
        <v>300</v>
      </c>
      <c r="Z422" s="16">
        <f>VLOOKUP(T422,Taxrate!A:B,2,FALSE)</f>
        <v>7.0000000000000007E-2</v>
      </c>
      <c r="AA422" s="12">
        <f t="shared" si="74"/>
        <v>70</v>
      </c>
      <c r="AB422" s="16">
        <f>VLOOKUP('Sales Dataset'!O422,'Discount Rate'!A:B,2,)</f>
        <v>7.0000000000000007E-2</v>
      </c>
      <c r="AC422" s="12">
        <f t="shared" si="75"/>
        <v>21.000000000000004</v>
      </c>
      <c r="AD422" s="18">
        <f t="shared" si="76"/>
        <v>299.86</v>
      </c>
    </row>
    <row r="423" spans="1:30" ht="51" customHeight="1" x14ac:dyDescent="0.35">
      <c r="A423" s="9" t="s">
        <v>834</v>
      </c>
      <c r="B423" s="9" t="s">
        <v>835</v>
      </c>
      <c r="C423" s="9" t="s">
        <v>83</v>
      </c>
      <c r="D423" s="20" t="s">
        <v>84</v>
      </c>
      <c r="E423" s="9" t="s">
        <v>913</v>
      </c>
      <c r="F423" s="9" t="s">
        <v>914</v>
      </c>
      <c r="G423" s="8">
        <v>45307</v>
      </c>
      <c r="H423" s="7">
        <f t="shared" si="66"/>
        <v>2024</v>
      </c>
      <c r="I423" s="7" t="str">
        <f t="shared" si="67"/>
        <v>January</v>
      </c>
      <c r="J423" s="8" t="str">
        <f t="shared" si="68"/>
        <v>Tuesday</v>
      </c>
      <c r="K423" s="11">
        <v>0.45210648148148147</v>
      </c>
      <c r="L423" s="14">
        <f t="shared" si="69"/>
        <v>10</v>
      </c>
      <c r="M423" s="7">
        <f t="shared" si="70"/>
        <v>51</v>
      </c>
      <c r="N423" s="7">
        <f t="shared" si="71"/>
        <v>2</v>
      </c>
      <c r="O423" s="9" t="s">
        <v>13</v>
      </c>
      <c r="P423" s="9" t="s">
        <v>14</v>
      </c>
      <c r="Q423" s="9">
        <v>10</v>
      </c>
      <c r="R423" s="12">
        <v>1279.8699999999999</v>
      </c>
      <c r="S423" s="12">
        <f>VLOOKUP(O423,'Product-cost'!A:B,2,)</f>
        <v>600</v>
      </c>
      <c r="T423" s="9" t="s">
        <v>22</v>
      </c>
      <c r="U423" s="9" t="s">
        <v>102</v>
      </c>
      <c r="V423" s="9" t="s">
        <v>876</v>
      </c>
      <c r="W423" s="9" t="s">
        <v>896</v>
      </c>
      <c r="X423" s="12">
        <f t="shared" si="72"/>
        <v>12798.699999999999</v>
      </c>
      <c r="Y423" s="12">
        <f t="shared" si="73"/>
        <v>6000</v>
      </c>
      <c r="Z423" s="16">
        <f>VLOOKUP(T423,Taxrate!A:B,2,FALSE)</f>
        <v>0.1</v>
      </c>
      <c r="AA423" s="12">
        <f t="shared" si="74"/>
        <v>1279.8699999999999</v>
      </c>
      <c r="AB423" s="16">
        <f>VLOOKUP('Sales Dataset'!O423,'Discount Rate'!A:B,2,)</f>
        <v>0.05</v>
      </c>
      <c r="AC423" s="12">
        <f t="shared" si="75"/>
        <v>300</v>
      </c>
      <c r="AD423" s="18">
        <f t="shared" si="76"/>
        <v>5999.8499999999995</v>
      </c>
    </row>
    <row r="424" spans="1:30" ht="51" customHeight="1" x14ac:dyDescent="0.35">
      <c r="A424" s="9" t="s">
        <v>836</v>
      </c>
      <c r="B424" s="9" t="s">
        <v>87</v>
      </c>
      <c r="C424" s="9" t="s">
        <v>114</v>
      </c>
      <c r="D424" s="20" t="s">
        <v>19</v>
      </c>
      <c r="E424" s="9" t="s">
        <v>903</v>
      </c>
      <c r="F424" s="9" t="s">
        <v>904</v>
      </c>
      <c r="G424" s="8">
        <v>45044</v>
      </c>
      <c r="H424" s="7">
        <f t="shared" si="66"/>
        <v>2023</v>
      </c>
      <c r="I424" s="7" t="str">
        <f t="shared" si="67"/>
        <v>April</v>
      </c>
      <c r="J424" s="8" t="str">
        <f t="shared" si="68"/>
        <v>Friday</v>
      </c>
      <c r="K424" s="11">
        <v>0.70339120370370367</v>
      </c>
      <c r="L424" s="14">
        <f t="shared" si="69"/>
        <v>16</v>
      </c>
      <c r="M424" s="7">
        <f t="shared" si="70"/>
        <v>52</v>
      </c>
      <c r="N424" s="7">
        <f t="shared" si="71"/>
        <v>53</v>
      </c>
      <c r="O424" s="9" t="s">
        <v>40</v>
      </c>
      <c r="P424" s="9" t="s">
        <v>41</v>
      </c>
      <c r="Q424" s="9">
        <v>7</v>
      </c>
      <c r="R424" s="12">
        <v>283.42</v>
      </c>
      <c r="S424" s="12">
        <f>VLOOKUP(O424,'Product-cost'!A:B,2,)</f>
        <v>150</v>
      </c>
      <c r="T424" s="9" t="s">
        <v>28</v>
      </c>
      <c r="U424" s="9" t="s">
        <v>23</v>
      </c>
      <c r="V424" s="9" t="s">
        <v>874</v>
      </c>
      <c r="W424" s="9" t="s">
        <v>894</v>
      </c>
      <c r="X424" s="12">
        <f t="shared" si="72"/>
        <v>1983.94</v>
      </c>
      <c r="Y424" s="12">
        <f t="shared" si="73"/>
        <v>1050</v>
      </c>
      <c r="Z424" s="16">
        <f>VLOOKUP(T424,Taxrate!A:B,2,FALSE)</f>
        <v>0.2</v>
      </c>
      <c r="AA424" s="12">
        <f t="shared" si="74"/>
        <v>396.78800000000001</v>
      </c>
      <c r="AB424" s="16">
        <f>VLOOKUP('Sales Dataset'!O424,'Discount Rate'!A:B,2,)</f>
        <v>7.0000000000000007E-2</v>
      </c>
      <c r="AC424" s="12">
        <f t="shared" si="75"/>
        <v>73.5</v>
      </c>
      <c r="AD424" s="18">
        <f t="shared" si="76"/>
        <v>1049.73</v>
      </c>
    </row>
    <row r="425" spans="1:30" ht="51" customHeight="1" x14ac:dyDescent="0.35">
      <c r="A425" s="9" t="s">
        <v>837</v>
      </c>
      <c r="B425" s="9" t="s">
        <v>838</v>
      </c>
      <c r="C425" s="9" t="s">
        <v>83</v>
      </c>
      <c r="D425" s="20" t="s">
        <v>84</v>
      </c>
      <c r="E425" s="9" t="s">
        <v>913</v>
      </c>
      <c r="F425" s="9" t="s">
        <v>914</v>
      </c>
      <c r="G425" s="8">
        <v>45843</v>
      </c>
      <c r="H425" s="7">
        <f t="shared" si="66"/>
        <v>2025</v>
      </c>
      <c r="I425" s="7" t="str">
        <f t="shared" si="67"/>
        <v>July</v>
      </c>
      <c r="J425" s="8" t="str">
        <f t="shared" si="68"/>
        <v>Saturday</v>
      </c>
      <c r="K425" s="11">
        <v>0.42116898148148146</v>
      </c>
      <c r="L425" s="14">
        <f t="shared" si="69"/>
        <v>10</v>
      </c>
      <c r="M425" s="7">
        <f t="shared" si="70"/>
        <v>6</v>
      </c>
      <c r="N425" s="7">
        <f t="shared" si="71"/>
        <v>29</v>
      </c>
      <c r="O425" s="9" t="s">
        <v>13</v>
      </c>
      <c r="P425" s="9" t="s">
        <v>14</v>
      </c>
      <c r="Q425" s="9">
        <v>15</v>
      </c>
      <c r="R425" s="12">
        <v>500</v>
      </c>
      <c r="S425" s="12">
        <f>VLOOKUP(O425,'Product-cost'!A:B,2,)</f>
        <v>600</v>
      </c>
      <c r="T425" s="9" t="s">
        <v>28</v>
      </c>
      <c r="U425" s="9" t="s">
        <v>102</v>
      </c>
      <c r="V425" s="9" t="s">
        <v>875</v>
      </c>
      <c r="W425" s="9" t="s">
        <v>894</v>
      </c>
      <c r="X425" s="12">
        <f t="shared" si="72"/>
        <v>7500</v>
      </c>
      <c r="Y425" s="12">
        <f t="shared" si="73"/>
        <v>9000</v>
      </c>
      <c r="Z425" s="16">
        <f>VLOOKUP(T425,Taxrate!A:B,2,FALSE)</f>
        <v>0.2</v>
      </c>
      <c r="AA425" s="12">
        <f t="shared" si="74"/>
        <v>1500</v>
      </c>
      <c r="AB425" s="16">
        <f>VLOOKUP('Sales Dataset'!O425,'Discount Rate'!A:B,2,)</f>
        <v>0.05</v>
      </c>
      <c r="AC425" s="12">
        <f t="shared" si="75"/>
        <v>450</v>
      </c>
      <c r="AD425" s="18">
        <f t="shared" si="76"/>
        <v>8999.75</v>
      </c>
    </row>
    <row r="426" spans="1:30" ht="51" customHeight="1" x14ac:dyDescent="0.35">
      <c r="A426" s="9" t="s">
        <v>839</v>
      </c>
      <c r="B426" s="9" t="s">
        <v>840</v>
      </c>
      <c r="C426" s="9" t="s">
        <v>141</v>
      </c>
      <c r="D426" s="20" t="s">
        <v>142</v>
      </c>
      <c r="E426" s="9" t="s">
        <v>917</v>
      </c>
      <c r="F426" s="9" t="s">
        <v>918</v>
      </c>
      <c r="G426" s="8">
        <v>45746</v>
      </c>
      <c r="H426" s="7">
        <f t="shared" si="66"/>
        <v>2025</v>
      </c>
      <c r="I426" s="7" t="str">
        <f t="shared" si="67"/>
        <v>March</v>
      </c>
      <c r="J426" s="8" t="str">
        <f t="shared" si="68"/>
        <v>Sunday</v>
      </c>
      <c r="K426" s="11">
        <v>0.87526620370370367</v>
      </c>
      <c r="L426" s="14">
        <f t="shared" si="69"/>
        <v>21</v>
      </c>
      <c r="M426" s="7">
        <f t="shared" si="70"/>
        <v>0</v>
      </c>
      <c r="N426" s="7">
        <f t="shared" si="71"/>
        <v>23</v>
      </c>
      <c r="O426" s="9" t="s">
        <v>13</v>
      </c>
      <c r="P426" s="9" t="s">
        <v>14</v>
      </c>
      <c r="Q426" s="9">
        <v>7</v>
      </c>
      <c r="R426" s="12">
        <v>500</v>
      </c>
      <c r="S426" s="12">
        <f>VLOOKUP(O426,'Product-cost'!A:B,2,)</f>
        <v>600</v>
      </c>
      <c r="T426" s="9" t="s">
        <v>45</v>
      </c>
      <c r="U426" s="9" t="s">
        <v>235</v>
      </c>
      <c r="V426" s="9" t="s">
        <v>872</v>
      </c>
      <c r="W426" s="9" t="s">
        <v>896</v>
      </c>
      <c r="X426" s="12">
        <f t="shared" si="72"/>
        <v>3500</v>
      </c>
      <c r="Y426" s="12">
        <f t="shared" si="73"/>
        <v>4200</v>
      </c>
      <c r="Z426" s="16">
        <f>VLOOKUP(T426,Taxrate!A:B,2,FALSE)</f>
        <v>7.0000000000000007E-2</v>
      </c>
      <c r="AA426" s="12">
        <f t="shared" si="74"/>
        <v>245.00000000000003</v>
      </c>
      <c r="AB426" s="16">
        <f>VLOOKUP('Sales Dataset'!O426,'Discount Rate'!A:B,2,)</f>
        <v>0.05</v>
      </c>
      <c r="AC426" s="12">
        <f t="shared" si="75"/>
        <v>210</v>
      </c>
      <c r="AD426" s="18">
        <f t="shared" si="76"/>
        <v>4199.88</v>
      </c>
    </row>
    <row r="427" spans="1:30" ht="51" customHeight="1" x14ac:dyDescent="0.35">
      <c r="A427" s="9" t="s">
        <v>841</v>
      </c>
      <c r="B427" s="9" t="s">
        <v>842</v>
      </c>
      <c r="C427" s="9" t="s">
        <v>18</v>
      </c>
      <c r="D427" s="20" t="s">
        <v>19</v>
      </c>
      <c r="E427" s="9" t="s">
        <v>903</v>
      </c>
      <c r="F427" s="9" t="s">
        <v>904</v>
      </c>
      <c r="G427" s="8">
        <v>45283</v>
      </c>
      <c r="H427" s="7">
        <f t="shared" si="66"/>
        <v>2023</v>
      </c>
      <c r="I427" s="7" t="str">
        <f t="shared" si="67"/>
        <v>December</v>
      </c>
      <c r="J427" s="8" t="str">
        <f t="shared" si="68"/>
        <v>Saturday</v>
      </c>
      <c r="K427" s="11">
        <v>0.89947916666666672</v>
      </c>
      <c r="L427" s="14">
        <f t="shared" si="69"/>
        <v>21</v>
      </c>
      <c r="M427" s="7">
        <f t="shared" si="70"/>
        <v>35</v>
      </c>
      <c r="N427" s="7">
        <f t="shared" si="71"/>
        <v>15</v>
      </c>
      <c r="O427" s="9" t="s">
        <v>20</v>
      </c>
      <c r="P427" s="9" t="s">
        <v>21</v>
      </c>
      <c r="Q427" s="9">
        <v>3</v>
      </c>
      <c r="R427" s="12">
        <v>753.19</v>
      </c>
      <c r="S427" s="12">
        <f>VLOOKUP(O427,'Product-cost'!A:B,2,)</f>
        <v>300</v>
      </c>
      <c r="T427" s="9" t="s">
        <v>45</v>
      </c>
      <c r="U427" s="9" t="s">
        <v>23</v>
      </c>
      <c r="V427" s="9" t="s">
        <v>870</v>
      </c>
      <c r="W427" s="9" t="s">
        <v>894</v>
      </c>
      <c r="X427" s="12">
        <f t="shared" si="72"/>
        <v>2259.5700000000002</v>
      </c>
      <c r="Y427" s="12">
        <f t="shared" si="73"/>
        <v>900</v>
      </c>
      <c r="Z427" s="16">
        <f>VLOOKUP(T427,Taxrate!A:B,2,FALSE)</f>
        <v>7.0000000000000007E-2</v>
      </c>
      <c r="AA427" s="12">
        <f t="shared" si="74"/>
        <v>158.16990000000001</v>
      </c>
      <c r="AB427" s="16">
        <f>VLOOKUP('Sales Dataset'!O427,'Discount Rate'!A:B,2,)</f>
        <v>0.1</v>
      </c>
      <c r="AC427" s="12">
        <f t="shared" si="75"/>
        <v>90</v>
      </c>
      <c r="AD427" s="18">
        <f t="shared" si="76"/>
        <v>899.82999999999993</v>
      </c>
    </row>
    <row r="428" spans="1:30" ht="51" customHeight="1" x14ac:dyDescent="0.35">
      <c r="A428" s="9" t="s">
        <v>843</v>
      </c>
      <c r="B428" s="9" t="s">
        <v>844</v>
      </c>
      <c r="C428" s="9" t="s">
        <v>32</v>
      </c>
      <c r="D428" s="20" t="s">
        <v>33</v>
      </c>
      <c r="E428" s="9" t="s">
        <v>905</v>
      </c>
      <c r="F428" s="9" t="s">
        <v>906</v>
      </c>
      <c r="G428" s="8">
        <v>46006</v>
      </c>
      <c r="H428" s="7">
        <f t="shared" si="66"/>
        <v>2025</v>
      </c>
      <c r="I428" s="7" t="str">
        <f t="shared" si="67"/>
        <v>December</v>
      </c>
      <c r="J428" s="8" t="str">
        <f t="shared" si="68"/>
        <v>Monday</v>
      </c>
      <c r="K428" s="11">
        <v>0.794525462962963</v>
      </c>
      <c r="L428" s="14">
        <f t="shared" si="69"/>
        <v>19</v>
      </c>
      <c r="M428" s="7">
        <f t="shared" si="70"/>
        <v>4</v>
      </c>
      <c r="N428" s="7">
        <f t="shared" si="71"/>
        <v>7</v>
      </c>
      <c r="O428" s="9" t="s">
        <v>20</v>
      </c>
      <c r="P428" s="9" t="s">
        <v>21</v>
      </c>
      <c r="Q428" s="9">
        <v>3</v>
      </c>
      <c r="R428" s="12">
        <v>537.5</v>
      </c>
      <c r="S428" s="12">
        <f>VLOOKUP(O428,'Product-cost'!A:B,2,)</f>
        <v>300</v>
      </c>
      <c r="T428" s="9" t="s">
        <v>34</v>
      </c>
      <c r="U428" s="9" t="s">
        <v>77</v>
      </c>
      <c r="V428" s="9" t="s">
        <v>871</v>
      </c>
      <c r="W428" s="9" t="s">
        <v>894</v>
      </c>
      <c r="X428" s="12">
        <f t="shared" si="72"/>
        <v>1612.5</v>
      </c>
      <c r="Y428" s="12">
        <f t="shared" si="73"/>
        <v>900</v>
      </c>
      <c r="Z428" s="16">
        <f>VLOOKUP(T428,Taxrate!A:B,2,FALSE)</f>
        <v>0.15</v>
      </c>
      <c r="AA428" s="12">
        <f t="shared" si="74"/>
        <v>241.875</v>
      </c>
      <c r="AB428" s="16">
        <f>VLOOKUP('Sales Dataset'!O428,'Discount Rate'!A:B,2,)</f>
        <v>0.1</v>
      </c>
      <c r="AC428" s="12">
        <f t="shared" si="75"/>
        <v>90</v>
      </c>
      <c r="AD428" s="18">
        <f t="shared" si="76"/>
        <v>899.75</v>
      </c>
    </row>
    <row r="429" spans="1:30" ht="51" customHeight="1" x14ac:dyDescent="0.35">
      <c r="A429" s="9" t="s">
        <v>845</v>
      </c>
      <c r="B429" s="9" t="s">
        <v>846</v>
      </c>
      <c r="C429" s="9" t="s">
        <v>57</v>
      </c>
      <c r="D429" s="20" t="s">
        <v>12</v>
      </c>
      <c r="E429" s="9" t="s">
        <v>901</v>
      </c>
      <c r="F429" s="9" t="s">
        <v>902</v>
      </c>
      <c r="G429" s="8">
        <v>44937</v>
      </c>
      <c r="H429" s="7">
        <f t="shared" si="66"/>
        <v>2023</v>
      </c>
      <c r="I429" s="7" t="str">
        <f t="shared" si="67"/>
        <v>January</v>
      </c>
      <c r="J429" s="8" t="str">
        <f t="shared" si="68"/>
        <v>Wednesday</v>
      </c>
      <c r="K429" s="11">
        <v>0.46087962962962964</v>
      </c>
      <c r="L429" s="14">
        <f t="shared" si="69"/>
        <v>11</v>
      </c>
      <c r="M429" s="7">
        <f t="shared" si="70"/>
        <v>3</v>
      </c>
      <c r="N429" s="7">
        <f t="shared" si="71"/>
        <v>40</v>
      </c>
      <c r="O429" s="9" t="s">
        <v>26</v>
      </c>
      <c r="P429" s="9" t="s">
        <v>27</v>
      </c>
      <c r="Q429" s="9">
        <v>14</v>
      </c>
      <c r="R429" s="12">
        <v>436.82</v>
      </c>
      <c r="S429" s="12">
        <f>VLOOKUP(O429,'Product-cost'!A:B,2,)</f>
        <v>200</v>
      </c>
      <c r="T429" s="9" t="s">
        <v>34</v>
      </c>
      <c r="U429" s="9" t="s">
        <v>15</v>
      </c>
      <c r="V429" s="9" t="s">
        <v>883</v>
      </c>
      <c r="W429" s="9" t="s">
        <v>894</v>
      </c>
      <c r="X429" s="12">
        <f t="shared" si="72"/>
        <v>6115.48</v>
      </c>
      <c r="Y429" s="12">
        <f t="shared" si="73"/>
        <v>2800</v>
      </c>
      <c r="Z429" s="16">
        <f>VLOOKUP(T429,Taxrate!A:B,2,FALSE)</f>
        <v>0.15</v>
      </c>
      <c r="AA429" s="12">
        <f t="shared" si="74"/>
        <v>917.32199999999989</v>
      </c>
      <c r="AB429" s="16">
        <f>VLOOKUP('Sales Dataset'!O429,'Discount Rate'!A:B,2,)</f>
        <v>0.08</v>
      </c>
      <c r="AC429" s="12">
        <f t="shared" si="75"/>
        <v>224</v>
      </c>
      <c r="AD429" s="18">
        <f t="shared" si="76"/>
        <v>2799.77</v>
      </c>
    </row>
    <row r="430" spans="1:30" ht="51" customHeight="1" x14ac:dyDescent="0.35">
      <c r="A430" s="9" t="s">
        <v>847</v>
      </c>
      <c r="B430" s="9" t="s">
        <v>848</v>
      </c>
      <c r="C430" s="9" t="s">
        <v>114</v>
      </c>
      <c r="D430" s="20" t="s">
        <v>19</v>
      </c>
      <c r="E430" s="9" t="s">
        <v>903</v>
      </c>
      <c r="F430" s="9" t="s">
        <v>904</v>
      </c>
      <c r="G430" s="8">
        <v>45948</v>
      </c>
      <c r="H430" s="7">
        <f t="shared" si="66"/>
        <v>2025</v>
      </c>
      <c r="I430" s="7" t="str">
        <f t="shared" si="67"/>
        <v>October</v>
      </c>
      <c r="J430" s="8" t="str">
        <f t="shared" si="68"/>
        <v>Saturday</v>
      </c>
      <c r="K430" s="11">
        <v>0.43107638888888888</v>
      </c>
      <c r="L430" s="14">
        <f t="shared" si="69"/>
        <v>10</v>
      </c>
      <c r="M430" s="7">
        <f t="shared" si="70"/>
        <v>20</v>
      </c>
      <c r="N430" s="7">
        <f t="shared" si="71"/>
        <v>45</v>
      </c>
      <c r="O430" s="9" t="s">
        <v>26</v>
      </c>
      <c r="P430" s="9" t="s">
        <v>27</v>
      </c>
      <c r="Q430" s="9">
        <v>8</v>
      </c>
      <c r="R430" s="12">
        <v>418.96</v>
      </c>
      <c r="S430" s="12">
        <f>VLOOKUP(O430,'Product-cost'!A:B,2,)</f>
        <v>200</v>
      </c>
      <c r="T430" s="9" t="s">
        <v>22</v>
      </c>
      <c r="U430" s="9" t="s">
        <v>46</v>
      </c>
      <c r="V430" s="9" t="s">
        <v>880</v>
      </c>
      <c r="W430" s="9" t="s">
        <v>894</v>
      </c>
      <c r="X430" s="12">
        <f t="shared" si="72"/>
        <v>3351.68</v>
      </c>
      <c r="Y430" s="12">
        <f t="shared" si="73"/>
        <v>1600</v>
      </c>
      <c r="Z430" s="16">
        <f>VLOOKUP(T430,Taxrate!A:B,2,FALSE)</f>
        <v>0.1</v>
      </c>
      <c r="AA430" s="12">
        <f t="shared" si="74"/>
        <v>335.16800000000001</v>
      </c>
      <c r="AB430" s="16">
        <f>VLOOKUP('Sales Dataset'!O430,'Discount Rate'!A:B,2,)</f>
        <v>0.08</v>
      </c>
      <c r="AC430" s="12">
        <f t="shared" si="75"/>
        <v>128</v>
      </c>
      <c r="AD430" s="18">
        <f t="shared" si="76"/>
        <v>1599.8200000000002</v>
      </c>
    </row>
    <row r="431" spans="1:30" ht="51" customHeight="1" x14ac:dyDescent="0.35">
      <c r="A431" s="9" t="s">
        <v>849</v>
      </c>
      <c r="B431" s="9" t="s">
        <v>760</v>
      </c>
      <c r="C431" s="9" t="s">
        <v>141</v>
      </c>
      <c r="D431" s="20" t="s">
        <v>142</v>
      </c>
      <c r="E431" s="9" t="s">
        <v>917</v>
      </c>
      <c r="F431" s="9" t="s">
        <v>918</v>
      </c>
      <c r="G431" s="8">
        <v>45553</v>
      </c>
      <c r="H431" s="7">
        <f t="shared" si="66"/>
        <v>2024</v>
      </c>
      <c r="I431" s="7" t="str">
        <f t="shared" si="67"/>
        <v>September</v>
      </c>
      <c r="J431" s="8" t="str">
        <f t="shared" si="68"/>
        <v>Wednesday</v>
      </c>
      <c r="K431" s="11">
        <v>0.60844907407407411</v>
      </c>
      <c r="L431" s="14">
        <f t="shared" si="69"/>
        <v>14</v>
      </c>
      <c r="M431" s="7">
        <f t="shared" si="70"/>
        <v>36</v>
      </c>
      <c r="N431" s="7">
        <f t="shared" si="71"/>
        <v>10</v>
      </c>
      <c r="O431" s="9" t="s">
        <v>26</v>
      </c>
      <c r="P431" s="9" t="s">
        <v>27</v>
      </c>
      <c r="Q431" s="9">
        <v>2</v>
      </c>
      <c r="R431" s="12">
        <v>336.81</v>
      </c>
      <c r="S431" s="12">
        <f>VLOOKUP(O431,'Product-cost'!A:B,2,)</f>
        <v>200</v>
      </c>
      <c r="T431" s="9" t="s">
        <v>34</v>
      </c>
      <c r="U431" s="9" t="s">
        <v>235</v>
      </c>
      <c r="V431" s="9" t="s">
        <v>881</v>
      </c>
      <c r="W431" s="9" t="s">
        <v>894</v>
      </c>
      <c r="X431" s="12">
        <f t="shared" si="72"/>
        <v>673.62</v>
      </c>
      <c r="Y431" s="12">
        <f t="shared" si="73"/>
        <v>400</v>
      </c>
      <c r="Z431" s="16">
        <f>VLOOKUP(T431,Taxrate!A:B,2,FALSE)</f>
        <v>0.15</v>
      </c>
      <c r="AA431" s="12">
        <f t="shared" si="74"/>
        <v>101.04299999999999</v>
      </c>
      <c r="AB431" s="16">
        <f>VLOOKUP('Sales Dataset'!O431,'Discount Rate'!A:B,2,)</f>
        <v>0.08</v>
      </c>
      <c r="AC431" s="12">
        <f t="shared" si="75"/>
        <v>32</v>
      </c>
      <c r="AD431" s="18">
        <f t="shared" si="76"/>
        <v>399.77000000000004</v>
      </c>
    </row>
    <row r="432" spans="1:30" ht="51" customHeight="1" x14ac:dyDescent="0.35">
      <c r="A432" s="9" t="s">
        <v>850</v>
      </c>
      <c r="B432" s="9" t="s">
        <v>851</v>
      </c>
      <c r="C432" s="9" t="s">
        <v>32</v>
      </c>
      <c r="D432" s="20" t="s">
        <v>33</v>
      </c>
      <c r="E432" s="9" t="s">
        <v>905</v>
      </c>
      <c r="F432" s="9" t="s">
        <v>906</v>
      </c>
      <c r="G432" s="8">
        <v>45606</v>
      </c>
      <c r="H432" s="7">
        <f t="shared" si="66"/>
        <v>2024</v>
      </c>
      <c r="I432" s="7" t="str">
        <f t="shared" si="67"/>
        <v>November</v>
      </c>
      <c r="J432" s="8" t="str">
        <f t="shared" si="68"/>
        <v>Sunday</v>
      </c>
      <c r="K432" s="11">
        <v>0.58415509259259257</v>
      </c>
      <c r="L432" s="14">
        <f t="shared" si="69"/>
        <v>14</v>
      </c>
      <c r="M432" s="7">
        <f t="shared" si="70"/>
        <v>1</v>
      </c>
      <c r="N432" s="7">
        <f t="shared" si="71"/>
        <v>11</v>
      </c>
      <c r="O432" s="9" t="s">
        <v>66</v>
      </c>
      <c r="P432" s="9" t="s">
        <v>67</v>
      </c>
      <c r="Q432" s="9">
        <v>11</v>
      </c>
      <c r="R432" s="12">
        <v>500</v>
      </c>
      <c r="S432" s="12">
        <f>VLOOKUP(O432,'Product-cost'!A:B,2,)</f>
        <v>50</v>
      </c>
      <c r="T432" s="9" t="s">
        <v>45</v>
      </c>
      <c r="U432" s="9" t="s">
        <v>35</v>
      </c>
      <c r="V432" s="9" t="s">
        <v>883</v>
      </c>
      <c r="W432" s="9" t="s">
        <v>894</v>
      </c>
      <c r="X432" s="12">
        <f t="shared" si="72"/>
        <v>5500</v>
      </c>
      <c r="Y432" s="12">
        <f t="shared" si="73"/>
        <v>550</v>
      </c>
      <c r="Z432" s="16">
        <f>VLOOKUP(T432,Taxrate!A:B,2,FALSE)</f>
        <v>7.0000000000000007E-2</v>
      </c>
      <c r="AA432" s="12">
        <f t="shared" si="74"/>
        <v>385.00000000000006</v>
      </c>
      <c r="AB432" s="16">
        <f>VLOOKUP('Sales Dataset'!O432,'Discount Rate'!A:B,2,)</f>
        <v>0.03</v>
      </c>
      <c r="AC432" s="12">
        <f t="shared" si="75"/>
        <v>16.5</v>
      </c>
      <c r="AD432" s="18">
        <f t="shared" si="76"/>
        <v>549.9</v>
      </c>
    </row>
    <row r="433" spans="1:30" ht="51" customHeight="1" x14ac:dyDescent="0.35">
      <c r="A433" s="9" t="s">
        <v>852</v>
      </c>
      <c r="B433" s="9" t="s">
        <v>539</v>
      </c>
      <c r="C433" s="9" t="s">
        <v>32</v>
      </c>
      <c r="D433" s="20" t="s">
        <v>33</v>
      </c>
      <c r="E433" s="9" t="s">
        <v>905</v>
      </c>
      <c r="F433" s="9" t="s">
        <v>906</v>
      </c>
      <c r="G433" s="8">
        <v>46045</v>
      </c>
      <c r="H433" s="7">
        <f t="shared" si="66"/>
        <v>2026</v>
      </c>
      <c r="I433" s="7" t="str">
        <f t="shared" si="67"/>
        <v>January</v>
      </c>
      <c r="J433" s="8" t="str">
        <f t="shared" si="68"/>
        <v>Friday</v>
      </c>
      <c r="K433" s="11">
        <v>0.55049768518518516</v>
      </c>
      <c r="L433" s="14">
        <f t="shared" si="69"/>
        <v>13</v>
      </c>
      <c r="M433" s="7">
        <f t="shared" si="70"/>
        <v>12</v>
      </c>
      <c r="N433" s="7">
        <f t="shared" si="71"/>
        <v>43</v>
      </c>
      <c r="O433" s="9" t="s">
        <v>26</v>
      </c>
      <c r="P433" s="9" t="s">
        <v>27</v>
      </c>
      <c r="Q433" s="9">
        <v>12</v>
      </c>
      <c r="R433" s="12">
        <v>456.71</v>
      </c>
      <c r="S433" s="12">
        <f>VLOOKUP(O433,'Product-cost'!A:B,2,)</f>
        <v>200</v>
      </c>
      <c r="T433" s="9" t="s">
        <v>22</v>
      </c>
      <c r="U433" s="9" t="s">
        <v>77</v>
      </c>
      <c r="V433" s="9" t="s">
        <v>872</v>
      </c>
      <c r="W433" s="9" t="s">
        <v>896</v>
      </c>
      <c r="X433" s="12">
        <f t="shared" si="72"/>
        <v>5480.5199999999995</v>
      </c>
      <c r="Y433" s="12">
        <f t="shared" si="73"/>
        <v>2400</v>
      </c>
      <c r="Z433" s="16">
        <f>VLOOKUP(T433,Taxrate!A:B,2,FALSE)</f>
        <v>0.1</v>
      </c>
      <c r="AA433" s="12">
        <f t="shared" si="74"/>
        <v>548.05200000000002</v>
      </c>
      <c r="AB433" s="16">
        <f>VLOOKUP('Sales Dataset'!O433,'Discount Rate'!A:B,2,)</f>
        <v>0.08</v>
      </c>
      <c r="AC433" s="12">
        <f t="shared" si="75"/>
        <v>192</v>
      </c>
      <c r="AD433" s="18">
        <f t="shared" si="76"/>
        <v>2399.8200000000002</v>
      </c>
    </row>
    <row r="434" spans="1:30" ht="51" customHeight="1" x14ac:dyDescent="0.35">
      <c r="A434" s="9" t="s">
        <v>853</v>
      </c>
      <c r="B434" s="9" t="s">
        <v>854</v>
      </c>
      <c r="C434" s="9" t="s">
        <v>141</v>
      </c>
      <c r="D434" s="20" t="s">
        <v>142</v>
      </c>
      <c r="E434" s="9" t="s">
        <v>917</v>
      </c>
      <c r="F434" s="9" t="s">
        <v>918</v>
      </c>
      <c r="G434" s="8">
        <v>46057</v>
      </c>
      <c r="H434" s="7">
        <f t="shared" si="66"/>
        <v>2026</v>
      </c>
      <c r="I434" s="7" t="str">
        <f t="shared" si="67"/>
        <v>February</v>
      </c>
      <c r="J434" s="8" t="str">
        <f t="shared" si="68"/>
        <v>Wednesday</v>
      </c>
      <c r="K434" s="11">
        <v>0.65384259259259259</v>
      </c>
      <c r="L434" s="14">
        <f t="shared" si="69"/>
        <v>15</v>
      </c>
      <c r="M434" s="7">
        <f t="shared" si="70"/>
        <v>41</v>
      </c>
      <c r="N434" s="7">
        <f t="shared" si="71"/>
        <v>32</v>
      </c>
      <c r="O434" s="9" t="s">
        <v>20</v>
      </c>
      <c r="P434" s="9" t="s">
        <v>21</v>
      </c>
      <c r="Q434" s="9">
        <v>4</v>
      </c>
      <c r="R434" s="12">
        <v>704.74</v>
      </c>
      <c r="S434" s="12">
        <f>VLOOKUP(O434,'Product-cost'!A:B,2,)</f>
        <v>300</v>
      </c>
      <c r="T434" s="9" t="s">
        <v>34</v>
      </c>
      <c r="U434" s="9" t="s">
        <v>143</v>
      </c>
      <c r="V434" s="9" t="s">
        <v>874</v>
      </c>
      <c r="W434" s="9" t="s">
        <v>894</v>
      </c>
      <c r="X434" s="12">
        <f t="shared" si="72"/>
        <v>2818.96</v>
      </c>
      <c r="Y434" s="12">
        <f t="shared" si="73"/>
        <v>1200</v>
      </c>
      <c r="Z434" s="16">
        <f>VLOOKUP(T434,Taxrate!A:B,2,FALSE)</f>
        <v>0.15</v>
      </c>
      <c r="AA434" s="12">
        <f t="shared" si="74"/>
        <v>422.84399999999999</v>
      </c>
      <c r="AB434" s="16">
        <f>VLOOKUP('Sales Dataset'!O434,'Discount Rate'!A:B,2,)</f>
        <v>0.1</v>
      </c>
      <c r="AC434" s="12">
        <f t="shared" si="75"/>
        <v>120</v>
      </c>
      <c r="AD434" s="18">
        <f t="shared" si="76"/>
        <v>1199.75</v>
      </c>
    </row>
    <row r="435" spans="1:30" ht="51" customHeight="1" x14ac:dyDescent="0.35">
      <c r="A435" s="9" t="s">
        <v>855</v>
      </c>
      <c r="B435" s="9" t="s">
        <v>856</v>
      </c>
      <c r="C435" s="9" t="s">
        <v>163</v>
      </c>
      <c r="D435" s="20" t="s">
        <v>53</v>
      </c>
      <c r="E435" s="9" t="s">
        <v>909</v>
      </c>
      <c r="F435" s="9" t="s">
        <v>910</v>
      </c>
      <c r="G435" s="8">
        <v>46356</v>
      </c>
      <c r="H435" s="7">
        <f t="shared" si="66"/>
        <v>2026</v>
      </c>
      <c r="I435" s="7" t="str">
        <f t="shared" si="67"/>
        <v>November</v>
      </c>
      <c r="J435" s="8" t="str">
        <f t="shared" si="68"/>
        <v>Monday</v>
      </c>
      <c r="K435" s="11">
        <v>0.47810185185185183</v>
      </c>
      <c r="L435" s="14">
        <f t="shared" si="69"/>
        <v>11</v>
      </c>
      <c r="M435" s="7">
        <f t="shared" si="70"/>
        <v>28</v>
      </c>
      <c r="N435" s="7">
        <f t="shared" si="71"/>
        <v>28</v>
      </c>
      <c r="O435" s="9" t="s">
        <v>40</v>
      </c>
      <c r="P435" s="9" t="s">
        <v>41</v>
      </c>
      <c r="Q435" s="9">
        <v>7</v>
      </c>
      <c r="R435" s="12">
        <v>500</v>
      </c>
      <c r="S435" s="12">
        <f>VLOOKUP(O435,'Product-cost'!A:B,2,)</f>
        <v>150</v>
      </c>
      <c r="T435" s="9" t="s">
        <v>49</v>
      </c>
      <c r="U435" s="9" t="s">
        <v>893</v>
      </c>
      <c r="V435" s="9" t="s">
        <v>872</v>
      </c>
      <c r="W435" s="9" t="s">
        <v>896</v>
      </c>
      <c r="X435" s="12">
        <f t="shared" si="72"/>
        <v>3500</v>
      </c>
      <c r="Y435" s="12">
        <f t="shared" si="73"/>
        <v>1050</v>
      </c>
      <c r="Z435" s="16">
        <f>VLOOKUP(T435,Taxrate!A:B,2,FALSE)</f>
        <v>0.12</v>
      </c>
      <c r="AA435" s="12">
        <f t="shared" si="74"/>
        <v>420</v>
      </c>
      <c r="AB435" s="16">
        <f>VLOOKUP('Sales Dataset'!O435,'Discount Rate'!A:B,2,)</f>
        <v>7.0000000000000007E-2</v>
      </c>
      <c r="AC435" s="12">
        <f t="shared" si="75"/>
        <v>73.5</v>
      </c>
      <c r="AD435" s="18">
        <f t="shared" si="76"/>
        <v>1049.8100000000002</v>
      </c>
    </row>
  </sheetData>
  <autoFilter ref="A1:AF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E21" sqref="E21"/>
    </sheetView>
  </sheetViews>
  <sheetFormatPr defaultRowHeight="15" x14ac:dyDescent="0.25"/>
  <cols>
    <col min="1" max="1" width="19.140625" customWidth="1"/>
  </cols>
  <sheetData>
    <row r="1" spans="1:2" ht="15" customHeight="1" x14ac:dyDescent="0.25">
      <c r="A1" s="2" t="s">
        <v>5</v>
      </c>
      <c r="B1" s="4" t="s">
        <v>860</v>
      </c>
    </row>
    <row r="2" spans="1:2" ht="15" customHeight="1" x14ac:dyDescent="0.25">
      <c r="A2" s="1" t="s">
        <v>13</v>
      </c>
      <c r="B2" s="3">
        <v>600</v>
      </c>
    </row>
    <row r="3" spans="1:2" ht="15" customHeight="1" x14ac:dyDescent="0.25">
      <c r="A3" s="1" t="s">
        <v>20</v>
      </c>
      <c r="B3" s="3">
        <v>300</v>
      </c>
    </row>
    <row r="4" spans="1:2" ht="15" customHeight="1" x14ac:dyDescent="0.25">
      <c r="A4" s="1" t="s">
        <v>26</v>
      </c>
      <c r="B4" s="3">
        <v>200</v>
      </c>
    </row>
    <row r="5" spans="1:2" ht="15" customHeight="1" x14ac:dyDescent="0.25">
      <c r="A5" s="1" t="s">
        <v>66</v>
      </c>
      <c r="B5" s="3">
        <v>50</v>
      </c>
    </row>
    <row r="6" spans="1:2" ht="15" customHeight="1" x14ac:dyDescent="0.25">
      <c r="A6" s="1" t="s">
        <v>40</v>
      </c>
      <c r="B6" s="3">
        <v>150</v>
      </c>
    </row>
    <row r="7" spans="1:2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11" sqref="E11"/>
    </sheetView>
  </sheetViews>
  <sheetFormatPr defaultRowHeight="15" x14ac:dyDescent="0.25"/>
  <cols>
    <col min="1" max="1" width="16" customWidth="1"/>
  </cols>
  <sheetData>
    <row r="1" spans="1:2" ht="14.25" customHeight="1" x14ac:dyDescent="0.25">
      <c r="A1" s="2" t="s">
        <v>857</v>
      </c>
      <c r="B1" s="4" t="s">
        <v>858</v>
      </c>
    </row>
    <row r="2" spans="1:2" ht="14.25" customHeight="1" x14ac:dyDescent="0.25">
      <c r="A2" s="1" t="s">
        <v>45</v>
      </c>
      <c r="B2" s="3">
        <v>7.0000000000000007E-2</v>
      </c>
    </row>
    <row r="3" spans="1:2" ht="14.25" customHeight="1" x14ac:dyDescent="0.25">
      <c r="A3" s="1" t="s">
        <v>28</v>
      </c>
      <c r="B3" s="3">
        <v>0.2</v>
      </c>
    </row>
    <row r="4" spans="1:2" ht="14.25" customHeight="1" x14ac:dyDescent="0.25">
      <c r="A4" s="1" t="s">
        <v>22</v>
      </c>
      <c r="B4" s="3">
        <v>0.1</v>
      </c>
    </row>
    <row r="5" spans="1:2" ht="14.25" customHeight="1" x14ac:dyDescent="0.25">
      <c r="A5" s="1" t="s">
        <v>34</v>
      </c>
      <c r="B5" s="3">
        <v>0.15</v>
      </c>
    </row>
    <row r="6" spans="1:2" ht="14.25" customHeight="1" x14ac:dyDescent="0.25">
      <c r="A6" s="1" t="s">
        <v>49</v>
      </c>
      <c r="B6" s="3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17" sqref="E17"/>
    </sheetView>
  </sheetViews>
  <sheetFormatPr defaultRowHeight="15" x14ac:dyDescent="0.25"/>
  <cols>
    <col min="1" max="1" width="19.42578125" customWidth="1"/>
    <col min="2" max="2" width="15.140625" customWidth="1"/>
  </cols>
  <sheetData>
    <row r="1" spans="1:2" ht="17.25" customHeight="1" x14ac:dyDescent="0.25">
      <c r="A1" s="2" t="s">
        <v>5</v>
      </c>
      <c r="B1" s="4" t="s">
        <v>859</v>
      </c>
    </row>
    <row r="2" spans="1:2" ht="17.25" customHeight="1" x14ac:dyDescent="0.25">
      <c r="A2" s="1" t="s">
        <v>13</v>
      </c>
      <c r="B2" s="3">
        <v>0.05</v>
      </c>
    </row>
    <row r="3" spans="1:2" ht="17.25" customHeight="1" x14ac:dyDescent="0.25">
      <c r="A3" s="1" t="s">
        <v>20</v>
      </c>
      <c r="B3" s="3">
        <v>0.1</v>
      </c>
    </row>
    <row r="4" spans="1:2" ht="17.25" customHeight="1" x14ac:dyDescent="0.25">
      <c r="A4" s="1" t="s">
        <v>26</v>
      </c>
      <c r="B4" s="3">
        <v>0.08</v>
      </c>
    </row>
    <row r="5" spans="1:2" ht="17.25" customHeight="1" x14ac:dyDescent="0.25">
      <c r="A5" s="1" t="s">
        <v>66</v>
      </c>
      <c r="B5" s="3">
        <v>0.03</v>
      </c>
    </row>
    <row r="6" spans="1:2" ht="17.25" customHeight="1" x14ac:dyDescent="0.25">
      <c r="A6" s="1" t="s">
        <v>40</v>
      </c>
      <c r="B6" s="3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Dataset</vt:lpstr>
      <vt:lpstr>Product-cost</vt:lpstr>
      <vt:lpstr>Taxrate</vt:lpstr>
      <vt:lpstr>Discount Rate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abisola awoyemi</dc:creator>
  <cp:lastModifiedBy>USER</cp:lastModifiedBy>
  <dcterms:created xsi:type="dcterms:W3CDTF">2026-02-13T07:48:33Z</dcterms:created>
  <dcterms:modified xsi:type="dcterms:W3CDTF">2026-02-24T07:14:02Z</dcterms:modified>
</cp:coreProperties>
</file>