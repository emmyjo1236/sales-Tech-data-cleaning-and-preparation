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USER\Downloads\"/>
    </mc:Choice>
  </mc:AlternateContent>
  <bookViews>
    <workbookView xWindow="-120" yWindow="-120" windowWidth="20730" windowHeight="11160" activeTab="2"/>
  </bookViews>
  <sheets>
    <sheet name="pivot table" sheetId="9" r:id="rId1"/>
    <sheet name="Sales Dataset" sheetId="1" r:id="rId2"/>
    <sheet name="dashboard" sheetId="6" r:id="rId3"/>
    <sheet name="Product-cost" sheetId="5" state="hidden" r:id="rId4"/>
    <sheet name="Taxrate" sheetId="2" state="hidden" r:id="rId5"/>
    <sheet name="Discount Rate" sheetId="3" state="hidden" r:id="rId6"/>
  </sheets>
  <definedNames>
    <definedName name="_xlnm._FilterDatabase" localSheetId="1" hidden="1">'Sales Dataset'!$A$1:$AB$435</definedName>
    <definedName name="Slicer_Year">#N/A</definedName>
  </definedNames>
  <calcPr calcId="152511"/>
  <pivotCaches>
    <pivotCache cacheId="1" r:id="rId7"/>
  </pivotCaches>
  <fileRecoveryPr repairLoad="1"/>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V2" i="1" l="1"/>
  <c r="Y3" i="1"/>
  <c r="Y4" i="1"/>
  <c r="Y5" i="1"/>
  <c r="Y6" i="1"/>
  <c r="Z6" i="1" s="1"/>
  <c r="AA6" i="1" s="1"/>
  <c r="AB6" i="1" s="1"/>
  <c r="Y7" i="1"/>
  <c r="Y8" i="1"/>
  <c r="Y9" i="1"/>
  <c r="Y10" i="1"/>
  <c r="Z10" i="1" s="1"/>
  <c r="AA10" i="1" s="1"/>
  <c r="AB10" i="1" s="1"/>
  <c r="Y11" i="1"/>
  <c r="Y12" i="1"/>
  <c r="Y13" i="1"/>
  <c r="Y14" i="1"/>
  <c r="Y15" i="1"/>
  <c r="Y16" i="1"/>
  <c r="Y17" i="1"/>
  <c r="Y18" i="1"/>
  <c r="Z18" i="1" s="1"/>
  <c r="AA18" i="1" s="1"/>
  <c r="AB18" i="1" s="1"/>
  <c r="Y19" i="1"/>
  <c r="Y20" i="1"/>
  <c r="Y21" i="1"/>
  <c r="Y22" i="1"/>
  <c r="Z22" i="1" s="1"/>
  <c r="AA22" i="1" s="1"/>
  <c r="AB22" i="1" s="1"/>
  <c r="Y23" i="1"/>
  <c r="Y24" i="1"/>
  <c r="Y25" i="1"/>
  <c r="Y26" i="1"/>
  <c r="Z26" i="1" s="1"/>
  <c r="AA26" i="1" s="1"/>
  <c r="AB26" i="1" s="1"/>
  <c r="Y27" i="1"/>
  <c r="Y28" i="1"/>
  <c r="Y29" i="1"/>
  <c r="Y30" i="1"/>
  <c r="Y31" i="1"/>
  <c r="Y32" i="1"/>
  <c r="Y33" i="1"/>
  <c r="Y34" i="1"/>
  <c r="Z34" i="1" s="1"/>
  <c r="AA34" i="1" s="1"/>
  <c r="AB34" i="1" s="1"/>
  <c r="Y35" i="1"/>
  <c r="Y36" i="1"/>
  <c r="Y37" i="1"/>
  <c r="Y38" i="1"/>
  <c r="Z38" i="1" s="1"/>
  <c r="AA38" i="1" s="1"/>
  <c r="AB38" i="1" s="1"/>
  <c r="Y39" i="1"/>
  <c r="Y40" i="1"/>
  <c r="Y41" i="1"/>
  <c r="Y42" i="1"/>
  <c r="Z42" i="1" s="1"/>
  <c r="AA42" i="1" s="1"/>
  <c r="AB42" i="1" s="1"/>
  <c r="Y43" i="1"/>
  <c r="Y44" i="1"/>
  <c r="Y45" i="1"/>
  <c r="Y46" i="1"/>
  <c r="Y47" i="1"/>
  <c r="Y48" i="1"/>
  <c r="Y49" i="1"/>
  <c r="Y50" i="1"/>
  <c r="Z50" i="1" s="1"/>
  <c r="AA50" i="1" s="1"/>
  <c r="AB50" i="1" s="1"/>
  <c r="Y51" i="1"/>
  <c r="Y52" i="1"/>
  <c r="Y53" i="1"/>
  <c r="Y54" i="1"/>
  <c r="Z54" i="1" s="1"/>
  <c r="AA54" i="1" s="1"/>
  <c r="AB54" i="1" s="1"/>
  <c r="Y55" i="1"/>
  <c r="Y56" i="1"/>
  <c r="Y57" i="1"/>
  <c r="Y58" i="1"/>
  <c r="Z58" i="1" s="1"/>
  <c r="AA58" i="1" s="1"/>
  <c r="AB58" i="1" s="1"/>
  <c r="Y59" i="1"/>
  <c r="Y60" i="1"/>
  <c r="Y61" i="1"/>
  <c r="Y62" i="1"/>
  <c r="Z62" i="1" s="1"/>
  <c r="AA62" i="1" s="1"/>
  <c r="AB62" i="1" s="1"/>
  <c r="Y63" i="1"/>
  <c r="Y64" i="1"/>
  <c r="Y65" i="1"/>
  <c r="Y66" i="1"/>
  <c r="Z66" i="1" s="1"/>
  <c r="AA66" i="1" s="1"/>
  <c r="AB66" i="1" s="1"/>
  <c r="Y67" i="1"/>
  <c r="Y68" i="1"/>
  <c r="Y69" i="1"/>
  <c r="Y70" i="1"/>
  <c r="Z70" i="1" s="1"/>
  <c r="AA70" i="1" s="1"/>
  <c r="AB70" i="1" s="1"/>
  <c r="Y71" i="1"/>
  <c r="Y72" i="1"/>
  <c r="Y73" i="1"/>
  <c r="Y74" i="1"/>
  <c r="Z74" i="1" s="1"/>
  <c r="AA74" i="1" s="1"/>
  <c r="AB74" i="1" s="1"/>
  <c r="Y75" i="1"/>
  <c r="Y76" i="1"/>
  <c r="Y77" i="1"/>
  <c r="Y78" i="1"/>
  <c r="Z78" i="1" s="1"/>
  <c r="AA78" i="1" s="1"/>
  <c r="AB78" i="1" s="1"/>
  <c r="Y79" i="1"/>
  <c r="Y80" i="1"/>
  <c r="Y81" i="1"/>
  <c r="Y82" i="1"/>
  <c r="Z82" i="1" s="1"/>
  <c r="AA82" i="1" s="1"/>
  <c r="AB82" i="1" s="1"/>
  <c r="Y83" i="1"/>
  <c r="Y84" i="1"/>
  <c r="Y85" i="1"/>
  <c r="Y86" i="1"/>
  <c r="Z86" i="1" s="1"/>
  <c r="AA86" i="1" s="1"/>
  <c r="AB86" i="1" s="1"/>
  <c r="Y87" i="1"/>
  <c r="Y88" i="1"/>
  <c r="Y89" i="1"/>
  <c r="Y90" i="1"/>
  <c r="Z90" i="1" s="1"/>
  <c r="AA90" i="1" s="1"/>
  <c r="AB90" i="1" s="1"/>
  <c r="Y91" i="1"/>
  <c r="Y92" i="1"/>
  <c r="Y93" i="1"/>
  <c r="Y94" i="1"/>
  <c r="Y95" i="1"/>
  <c r="Y96" i="1"/>
  <c r="Y97" i="1"/>
  <c r="Y98" i="1"/>
  <c r="Z98" i="1" s="1"/>
  <c r="AA98" i="1" s="1"/>
  <c r="AB98" i="1" s="1"/>
  <c r="Y99" i="1"/>
  <c r="Y100" i="1"/>
  <c r="Y101" i="1"/>
  <c r="Y102" i="1"/>
  <c r="Z102" i="1" s="1"/>
  <c r="AA102" i="1" s="1"/>
  <c r="AB102" i="1" s="1"/>
  <c r="Y103" i="1"/>
  <c r="Y104" i="1"/>
  <c r="Y105" i="1"/>
  <c r="Y106" i="1"/>
  <c r="Z106" i="1" s="1"/>
  <c r="AA106" i="1" s="1"/>
  <c r="AB106" i="1" s="1"/>
  <c r="Y107" i="1"/>
  <c r="Y108" i="1"/>
  <c r="Y109" i="1"/>
  <c r="Y110" i="1"/>
  <c r="Y111" i="1"/>
  <c r="Y112" i="1"/>
  <c r="Y113" i="1"/>
  <c r="Y114" i="1"/>
  <c r="Z114" i="1" s="1"/>
  <c r="AA114" i="1" s="1"/>
  <c r="AB114" i="1" s="1"/>
  <c r="Y115" i="1"/>
  <c r="Y116" i="1"/>
  <c r="Y117" i="1"/>
  <c r="Y118" i="1"/>
  <c r="Z118" i="1" s="1"/>
  <c r="AA118" i="1" s="1"/>
  <c r="AB118" i="1" s="1"/>
  <c r="Y119" i="1"/>
  <c r="Y120" i="1"/>
  <c r="Y121" i="1"/>
  <c r="Y122" i="1"/>
  <c r="Z122" i="1" s="1"/>
  <c r="AA122" i="1" s="1"/>
  <c r="AB122" i="1" s="1"/>
  <c r="Y123" i="1"/>
  <c r="Y124" i="1"/>
  <c r="Y125" i="1"/>
  <c r="Y126" i="1"/>
  <c r="Y127" i="1"/>
  <c r="Y128" i="1"/>
  <c r="Y129" i="1"/>
  <c r="Y130" i="1"/>
  <c r="Z130" i="1" s="1"/>
  <c r="AA130" i="1" s="1"/>
  <c r="AB130" i="1" s="1"/>
  <c r="Y131" i="1"/>
  <c r="Y132" i="1"/>
  <c r="Y133" i="1"/>
  <c r="Y134" i="1"/>
  <c r="Z134" i="1" s="1"/>
  <c r="AA134" i="1" s="1"/>
  <c r="AB134" i="1" s="1"/>
  <c r="Y135" i="1"/>
  <c r="Y136" i="1"/>
  <c r="Y137" i="1"/>
  <c r="Y138" i="1"/>
  <c r="Z138" i="1" s="1"/>
  <c r="AA138" i="1" s="1"/>
  <c r="AB138" i="1" s="1"/>
  <c r="Y139" i="1"/>
  <c r="Y140" i="1"/>
  <c r="Y141" i="1"/>
  <c r="Y142" i="1"/>
  <c r="Y143" i="1"/>
  <c r="Y144" i="1"/>
  <c r="Y145" i="1"/>
  <c r="Y146" i="1"/>
  <c r="Z146" i="1" s="1"/>
  <c r="AA146" i="1" s="1"/>
  <c r="AB146" i="1" s="1"/>
  <c r="Y147" i="1"/>
  <c r="Y148" i="1"/>
  <c r="Y149" i="1"/>
  <c r="Y150" i="1"/>
  <c r="Z150" i="1" s="1"/>
  <c r="AA150" i="1" s="1"/>
  <c r="AB150" i="1" s="1"/>
  <c r="Y151" i="1"/>
  <c r="Y152" i="1"/>
  <c r="Y153" i="1"/>
  <c r="Y154" i="1"/>
  <c r="Z154" i="1" s="1"/>
  <c r="AA154" i="1" s="1"/>
  <c r="AB154" i="1" s="1"/>
  <c r="Y155" i="1"/>
  <c r="Y156" i="1"/>
  <c r="Y157" i="1"/>
  <c r="Y158" i="1"/>
  <c r="Y159" i="1"/>
  <c r="Y160" i="1"/>
  <c r="Y161" i="1"/>
  <c r="Y162" i="1"/>
  <c r="Z162" i="1" s="1"/>
  <c r="AA162" i="1" s="1"/>
  <c r="AB162" i="1" s="1"/>
  <c r="Y163" i="1"/>
  <c r="Y164" i="1"/>
  <c r="Y165" i="1"/>
  <c r="Y166" i="1"/>
  <c r="Z166" i="1" s="1"/>
  <c r="AA166" i="1" s="1"/>
  <c r="AB166" i="1" s="1"/>
  <c r="Y167" i="1"/>
  <c r="Y168" i="1"/>
  <c r="Y169" i="1"/>
  <c r="Y170" i="1"/>
  <c r="Z170" i="1" s="1"/>
  <c r="AA170" i="1" s="1"/>
  <c r="AB170" i="1" s="1"/>
  <c r="Y171" i="1"/>
  <c r="Y172" i="1"/>
  <c r="Y173" i="1"/>
  <c r="Y174" i="1"/>
  <c r="Y175" i="1"/>
  <c r="Y176" i="1"/>
  <c r="Y177" i="1"/>
  <c r="Y178" i="1"/>
  <c r="Z178" i="1" s="1"/>
  <c r="AA178" i="1" s="1"/>
  <c r="AB178" i="1" s="1"/>
  <c r="Y179" i="1"/>
  <c r="Y180" i="1"/>
  <c r="Y181" i="1"/>
  <c r="Y182" i="1"/>
  <c r="Z182" i="1" s="1"/>
  <c r="AA182" i="1" s="1"/>
  <c r="AB182" i="1" s="1"/>
  <c r="Y183" i="1"/>
  <c r="Y184" i="1"/>
  <c r="Y185" i="1"/>
  <c r="Y186" i="1"/>
  <c r="Z186" i="1" s="1"/>
  <c r="AA186" i="1" s="1"/>
  <c r="AB186" i="1" s="1"/>
  <c r="Y187" i="1"/>
  <c r="Y188" i="1"/>
  <c r="Y189" i="1"/>
  <c r="Y190" i="1"/>
  <c r="Z190" i="1" s="1"/>
  <c r="AA190" i="1" s="1"/>
  <c r="AB190" i="1" s="1"/>
  <c r="Y191" i="1"/>
  <c r="Y192" i="1"/>
  <c r="Y193" i="1"/>
  <c r="Y194" i="1"/>
  <c r="Z194" i="1" s="1"/>
  <c r="AA194" i="1" s="1"/>
  <c r="AB194" i="1" s="1"/>
  <c r="Y195" i="1"/>
  <c r="Y196" i="1"/>
  <c r="Y197" i="1"/>
  <c r="Y198" i="1"/>
  <c r="Z198" i="1" s="1"/>
  <c r="AA198" i="1" s="1"/>
  <c r="AB198" i="1" s="1"/>
  <c r="Y199" i="1"/>
  <c r="Y200" i="1"/>
  <c r="Y201" i="1"/>
  <c r="Y202" i="1"/>
  <c r="Z202" i="1" s="1"/>
  <c r="AA202" i="1" s="1"/>
  <c r="AB202" i="1" s="1"/>
  <c r="Y203" i="1"/>
  <c r="Y204" i="1"/>
  <c r="Y205" i="1"/>
  <c r="Y206" i="1"/>
  <c r="Z206" i="1" s="1"/>
  <c r="AA206" i="1" s="1"/>
  <c r="AB206" i="1" s="1"/>
  <c r="Y207" i="1"/>
  <c r="Y208" i="1"/>
  <c r="Y209" i="1"/>
  <c r="Y210" i="1"/>
  <c r="Z210" i="1" s="1"/>
  <c r="AA210" i="1" s="1"/>
  <c r="AB210" i="1" s="1"/>
  <c r="Y211" i="1"/>
  <c r="Y212" i="1"/>
  <c r="Y213" i="1"/>
  <c r="Y214" i="1"/>
  <c r="Z214" i="1" s="1"/>
  <c r="AA214" i="1" s="1"/>
  <c r="AB214" i="1" s="1"/>
  <c r="Y215" i="1"/>
  <c r="Y216" i="1"/>
  <c r="Y217" i="1"/>
  <c r="Y218" i="1"/>
  <c r="Z218" i="1" s="1"/>
  <c r="AA218" i="1" s="1"/>
  <c r="AB218" i="1" s="1"/>
  <c r="Y219" i="1"/>
  <c r="Y220" i="1"/>
  <c r="Y221" i="1"/>
  <c r="Y222" i="1"/>
  <c r="Y223" i="1"/>
  <c r="Y224" i="1"/>
  <c r="Y225" i="1"/>
  <c r="Y226" i="1"/>
  <c r="Z226" i="1" s="1"/>
  <c r="AA226" i="1" s="1"/>
  <c r="AB226" i="1" s="1"/>
  <c r="Y227" i="1"/>
  <c r="Y228" i="1"/>
  <c r="Y229" i="1"/>
  <c r="Y230" i="1"/>
  <c r="Z230" i="1" s="1"/>
  <c r="AA230" i="1" s="1"/>
  <c r="AB230" i="1" s="1"/>
  <c r="Y231" i="1"/>
  <c r="Y232" i="1"/>
  <c r="Y233" i="1"/>
  <c r="Y234" i="1"/>
  <c r="Z234" i="1" s="1"/>
  <c r="AA234" i="1" s="1"/>
  <c r="AB234" i="1" s="1"/>
  <c r="Y235" i="1"/>
  <c r="Y236" i="1"/>
  <c r="Y237" i="1"/>
  <c r="Y238" i="1"/>
  <c r="Y239" i="1"/>
  <c r="Y240" i="1"/>
  <c r="Y241" i="1"/>
  <c r="Y242" i="1"/>
  <c r="Z242" i="1" s="1"/>
  <c r="AA242" i="1" s="1"/>
  <c r="AB242" i="1" s="1"/>
  <c r="Y243" i="1"/>
  <c r="Y244" i="1"/>
  <c r="Y245" i="1"/>
  <c r="Y246" i="1"/>
  <c r="Z246" i="1" s="1"/>
  <c r="AA246" i="1" s="1"/>
  <c r="AB246" i="1" s="1"/>
  <c r="Y247" i="1"/>
  <c r="Y248" i="1"/>
  <c r="Y249" i="1"/>
  <c r="Y250" i="1"/>
  <c r="Z250" i="1" s="1"/>
  <c r="AA250" i="1" s="1"/>
  <c r="AB250" i="1" s="1"/>
  <c r="Y251" i="1"/>
  <c r="Y252" i="1"/>
  <c r="Y253" i="1"/>
  <c r="Y254" i="1"/>
  <c r="Y255" i="1"/>
  <c r="Y256" i="1"/>
  <c r="Y257" i="1"/>
  <c r="Y258" i="1"/>
  <c r="Z258" i="1" s="1"/>
  <c r="AA258" i="1" s="1"/>
  <c r="AB258" i="1" s="1"/>
  <c r="Y259" i="1"/>
  <c r="Y260" i="1"/>
  <c r="Y261" i="1"/>
  <c r="Y262" i="1"/>
  <c r="Z262" i="1" s="1"/>
  <c r="AA262" i="1" s="1"/>
  <c r="AB262" i="1" s="1"/>
  <c r="Y263" i="1"/>
  <c r="Y264" i="1"/>
  <c r="Y265" i="1"/>
  <c r="Y266" i="1"/>
  <c r="Z266" i="1" s="1"/>
  <c r="AA266" i="1" s="1"/>
  <c r="AB266" i="1" s="1"/>
  <c r="Y267" i="1"/>
  <c r="Y268" i="1"/>
  <c r="Y269" i="1"/>
  <c r="Y270" i="1"/>
  <c r="Y271" i="1"/>
  <c r="Y272" i="1"/>
  <c r="Y273" i="1"/>
  <c r="Y274" i="1"/>
  <c r="Z274" i="1" s="1"/>
  <c r="AA274" i="1" s="1"/>
  <c r="AB274" i="1" s="1"/>
  <c r="Y275" i="1"/>
  <c r="Y276" i="1"/>
  <c r="Y277" i="1"/>
  <c r="Y278" i="1"/>
  <c r="Z278" i="1" s="1"/>
  <c r="AA278" i="1" s="1"/>
  <c r="AB278" i="1" s="1"/>
  <c r="Y279" i="1"/>
  <c r="Y280" i="1"/>
  <c r="Y281" i="1"/>
  <c r="Y282" i="1"/>
  <c r="Z282" i="1" s="1"/>
  <c r="AA282" i="1" s="1"/>
  <c r="AB282" i="1" s="1"/>
  <c r="Y283" i="1"/>
  <c r="Y284" i="1"/>
  <c r="Y285" i="1"/>
  <c r="Y286" i="1"/>
  <c r="Y287" i="1"/>
  <c r="Y288" i="1"/>
  <c r="Y289" i="1"/>
  <c r="Y290" i="1"/>
  <c r="Z290" i="1" s="1"/>
  <c r="AA290" i="1" s="1"/>
  <c r="AB290" i="1" s="1"/>
  <c r="Y291" i="1"/>
  <c r="Y292" i="1"/>
  <c r="Y293" i="1"/>
  <c r="Y294" i="1"/>
  <c r="Z294" i="1" s="1"/>
  <c r="AA294" i="1" s="1"/>
  <c r="AB294" i="1" s="1"/>
  <c r="Y295" i="1"/>
  <c r="Y296" i="1"/>
  <c r="Y297" i="1"/>
  <c r="Y298" i="1"/>
  <c r="Z298" i="1" s="1"/>
  <c r="AA298" i="1" s="1"/>
  <c r="AB298" i="1" s="1"/>
  <c r="Y299" i="1"/>
  <c r="Y300" i="1"/>
  <c r="Y301" i="1"/>
  <c r="Y302" i="1"/>
  <c r="Y303" i="1"/>
  <c r="Y304" i="1"/>
  <c r="Y305" i="1"/>
  <c r="Y306" i="1"/>
  <c r="Z306" i="1" s="1"/>
  <c r="AA306" i="1" s="1"/>
  <c r="AB306" i="1" s="1"/>
  <c r="Y307" i="1"/>
  <c r="Y308" i="1"/>
  <c r="Y309" i="1"/>
  <c r="Y310" i="1"/>
  <c r="Z310" i="1" s="1"/>
  <c r="AA310" i="1" s="1"/>
  <c r="AB310" i="1" s="1"/>
  <c r="Y311" i="1"/>
  <c r="Y312" i="1"/>
  <c r="Y313" i="1"/>
  <c r="Y314" i="1"/>
  <c r="Z314" i="1" s="1"/>
  <c r="AA314" i="1" s="1"/>
  <c r="AB314" i="1" s="1"/>
  <c r="Y315" i="1"/>
  <c r="Y316" i="1"/>
  <c r="Y317" i="1"/>
  <c r="Y318" i="1"/>
  <c r="Z318" i="1" s="1"/>
  <c r="AA318" i="1" s="1"/>
  <c r="AB318" i="1" s="1"/>
  <c r="Y319" i="1"/>
  <c r="Y320" i="1"/>
  <c r="Y321" i="1"/>
  <c r="Y322" i="1"/>
  <c r="Z322" i="1" s="1"/>
  <c r="AA322" i="1" s="1"/>
  <c r="AB322" i="1" s="1"/>
  <c r="Y323" i="1"/>
  <c r="Y324" i="1"/>
  <c r="Y325" i="1"/>
  <c r="Y326" i="1"/>
  <c r="Z326" i="1" s="1"/>
  <c r="AA326" i="1" s="1"/>
  <c r="AB326" i="1" s="1"/>
  <c r="Y327" i="1"/>
  <c r="Y328" i="1"/>
  <c r="Y329" i="1"/>
  <c r="Y330" i="1"/>
  <c r="Z330" i="1" s="1"/>
  <c r="AA330" i="1" s="1"/>
  <c r="AB330" i="1" s="1"/>
  <c r="Y331" i="1"/>
  <c r="Y332" i="1"/>
  <c r="Y333" i="1"/>
  <c r="Y334" i="1"/>
  <c r="Y335" i="1"/>
  <c r="Y336" i="1"/>
  <c r="Y337" i="1"/>
  <c r="Y338" i="1"/>
  <c r="Z338" i="1" s="1"/>
  <c r="AA338" i="1" s="1"/>
  <c r="AB338" i="1" s="1"/>
  <c r="Y339" i="1"/>
  <c r="Y340" i="1"/>
  <c r="Y341" i="1"/>
  <c r="Y342" i="1"/>
  <c r="Z342" i="1" s="1"/>
  <c r="AA342" i="1" s="1"/>
  <c r="AB342" i="1" s="1"/>
  <c r="Y343" i="1"/>
  <c r="Y344" i="1"/>
  <c r="Y345" i="1"/>
  <c r="Y346" i="1"/>
  <c r="Z346" i="1" s="1"/>
  <c r="AA346" i="1" s="1"/>
  <c r="AB346" i="1" s="1"/>
  <c r="Y347" i="1"/>
  <c r="Y348" i="1"/>
  <c r="Y349" i="1"/>
  <c r="Y350" i="1"/>
  <c r="Y351" i="1"/>
  <c r="Y352" i="1"/>
  <c r="Y353" i="1"/>
  <c r="Y354" i="1"/>
  <c r="Y355" i="1"/>
  <c r="Y356" i="1"/>
  <c r="Y357" i="1"/>
  <c r="Y358" i="1"/>
  <c r="Y359" i="1"/>
  <c r="Y360" i="1"/>
  <c r="Y361" i="1"/>
  <c r="Y362" i="1"/>
  <c r="Z362" i="1" s="1"/>
  <c r="AA362" i="1" s="1"/>
  <c r="AB362" i="1" s="1"/>
  <c r="Y363" i="1"/>
  <c r="Y364" i="1"/>
  <c r="Y365" i="1"/>
  <c r="Y366" i="1"/>
  <c r="Z366" i="1" s="1"/>
  <c r="AA366" i="1" s="1"/>
  <c r="AB366" i="1" s="1"/>
  <c r="Y367" i="1"/>
  <c r="Y368" i="1"/>
  <c r="Y369" i="1"/>
  <c r="Y370" i="1"/>
  <c r="Z370" i="1" s="1"/>
  <c r="AA370" i="1" s="1"/>
  <c r="AB370" i="1" s="1"/>
  <c r="Y371" i="1"/>
  <c r="Y372" i="1"/>
  <c r="Y373" i="1"/>
  <c r="Y374" i="1"/>
  <c r="Y375" i="1"/>
  <c r="Y376" i="1"/>
  <c r="Y377" i="1"/>
  <c r="Y378" i="1"/>
  <c r="Z378" i="1" s="1"/>
  <c r="AA378" i="1" s="1"/>
  <c r="AB378" i="1" s="1"/>
  <c r="Y379" i="1"/>
  <c r="Y380" i="1"/>
  <c r="Y381" i="1"/>
  <c r="Y382" i="1"/>
  <c r="Z382" i="1" s="1"/>
  <c r="AA382" i="1" s="1"/>
  <c r="AB382" i="1" s="1"/>
  <c r="Y383" i="1"/>
  <c r="Y384" i="1"/>
  <c r="Y385" i="1"/>
  <c r="Y386" i="1"/>
  <c r="Z386" i="1" s="1"/>
  <c r="AA386" i="1" s="1"/>
  <c r="AB386" i="1" s="1"/>
  <c r="Y387" i="1"/>
  <c r="Y388" i="1"/>
  <c r="Y389" i="1"/>
  <c r="Y390" i="1"/>
  <c r="Z390" i="1" s="1"/>
  <c r="AA390" i="1" s="1"/>
  <c r="AB390" i="1" s="1"/>
  <c r="Y391" i="1"/>
  <c r="Y392" i="1"/>
  <c r="Y393" i="1"/>
  <c r="Y394" i="1"/>
  <c r="Z394" i="1" s="1"/>
  <c r="AA394" i="1" s="1"/>
  <c r="AB394" i="1" s="1"/>
  <c r="Y395" i="1"/>
  <c r="Y396" i="1"/>
  <c r="Y397" i="1"/>
  <c r="Y398" i="1"/>
  <c r="Y399" i="1"/>
  <c r="Y400" i="1"/>
  <c r="Y401" i="1"/>
  <c r="Y402" i="1"/>
  <c r="Z402" i="1" s="1"/>
  <c r="AA402" i="1" s="1"/>
  <c r="AB402" i="1" s="1"/>
  <c r="Y403" i="1"/>
  <c r="Y404" i="1"/>
  <c r="Y405" i="1"/>
  <c r="Y406" i="1"/>
  <c r="Z406" i="1" s="1"/>
  <c r="AA406" i="1" s="1"/>
  <c r="AB406" i="1" s="1"/>
  <c r="Y407" i="1"/>
  <c r="Y408" i="1"/>
  <c r="Y409" i="1"/>
  <c r="Y410" i="1"/>
  <c r="Z410" i="1" s="1"/>
  <c r="AA410" i="1" s="1"/>
  <c r="AB410" i="1" s="1"/>
  <c r="Y411" i="1"/>
  <c r="Y412" i="1"/>
  <c r="Y413" i="1"/>
  <c r="Y414" i="1"/>
  <c r="Y415" i="1"/>
  <c r="Y416" i="1"/>
  <c r="Y417" i="1"/>
  <c r="Y418" i="1"/>
  <c r="Y419" i="1"/>
  <c r="Y420" i="1"/>
  <c r="Y421" i="1"/>
  <c r="Y422" i="1"/>
  <c r="Y423" i="1"/>
  <c r="Y424" i="1"/>
  <c r="Y425" i="1"/>
  <c r="Y426" i="1"/>
  <c r="Z426" i="1" s="1"/>
  <c r="AA426" i="1" s="1"/>
  <c r="AB426" i="1" s="1"/>
  <c r="Y427" i="1"/>
  <c r="Y428" i="1"/>
  <c r="Y429" i="1"/>
  <c r="Y430" i="1"/>
  <c r="Z430" i="1" s="1"/>
  <c r="AA430" i="1" s="1"/>
  <c r="AB430" i="1" s="1"/>
  <c r="Y431" i="1"/>
  <c r="Y432" i="1"/>
  <c r="Y433" i="1"/>
  <c r="Y434" i="1"/>
  <c r="Z434" i="1" s="1"/>
  <c r="AA434" i="1" s="1"/>
  <c r="AB434" i="1" s="1"/>
  <c r="Y435" i="1"/>
  <c r="Z14" i="1"/>
  <c r="AA14" i="1" s="1"/>
  <c r="AB14" i="1" s="1"/>
  <c r="Z30" i="1"/>
  <c r="AA30" i="1" s="1"/>
  <c r="AB30" i="1" s="1"/>
  <c r="Z46" i="1"/>
  <c r="AA46" i="1" s="1"/>
  <c r="AB46" i="1" s="1"/>
  <c r="Z94" i="1"/>
  <c r="AA94" i="1" s="1"/>
  <c r="AB94" i="1" s="1"/>
  <c r="Z110" i="1"/>
  <c r="AA110" i="1" s="1"/>
  <c r="AB110" i="1" s="1"/>
  <c r="Z126" i="1"/>
  <c r="AA126" i="1" s="1"/>
  <c r="AB126" i="1" s="1"/>
  <c r="Z142" i="1"/>
  <c r="AA142" i="1" s="1"/>
  <c r="AB142" i="1" s="1"/>
  <c r="Z158" i="1"/>
  <c r="AA158" i="1" s="1"/>
  <c r="AB158" i="1" s="1"/>
  <c r="Z174" i="1"/>
  <c r="AA174" i="1" s="1"/>
  <c r="AB174" i="1" s="1"/>
  <c r="Z222" i="1"/>
  <c r="AA222" i="1" s="1"/>
  <c r="AB222" i="1" s="1"/>
  <c r="Z238" i="1"/>
  <c r="AA238" i="1" s="1"/>
  <c r="AB238" i="1" s="1"/>
  <c r="Z254" i="1"/>
  <c r="AA254" i="1" s="1"/>
  <c r="AB254" i="1" s="1"/>
  <c r="Z270" i="1"/>
  <c r="AA270" i="1" s="1"/>
  <c r="AB270" i="1" s="1"/>
  <c r="Z286" i="1"/>
  <c r="AA286" i="1" s="1"/>
  <c r="AB286" i="1" s="1"/>
  <c r="Z302" i="1"/>
  <c r="AA302" i="1" s="1"/>
  <c r="AB302" i="1" s="1"/>
  <c r="Z334" i="1"/>
  <c r="AA334" i="1" s="1"/>
  <c r="AB334" i="1" s="1"/>
  <c r="Z358" i="1"/>
  <c r="AA358" i="1" s="1"/>
  <c r="AB358" i="1" s="1"/>
  <c r="Z374" i="1"/>
  <c r="AA374" i="1" s="1"/>
  <c r="AB374" i="1" s="1"/>
  <c r="Z398" i="1"/>
  <c r="AA398" i="1" s="1"/>
  <c r="AB398" i="1" s="1"/>
  <c r="Z422" i="1"/>
  <c r="AA422" i="1" s="1"/>
  <c r="AB422" i="1" s="1"/>
  <c r="Y2" i="1"/>
  <c r="Z2" i="1" s="1"/>
  <c r="AA2" i="1" s="1"/>
  <c r="AB2" i="1" s="1"/>
  <c r="Z24" i="1"/>
  <c r="AA24" i="1" s="1"/>
  <c r="AB24" i="1" s="1"/>
  <c r="Z56" i="1"/>
  <c r="AA56" i="1" s="1"/>
  <c r="AB56" i="1" s="1"/>
  <c r="Z88" i="1"/>
  <c r="AA88" i="1" s="1"/>
  <c r="AB88" i="1" s="1"/>
  <c r="Z120" i="1"/>
  <c r="AA120" i="1" s="1"/>
  <c r="AB120" i="1" s="1"/>
  <c r="Z152" i="1"/>
  <c r="AA152" i="1" s="1"/>
  <c r="AB152" i="1" s="1"/>
  <c r="Z184" i="1"/>
  <c r="AA184" i="1" s="1"/>
  <c r="AB184" i="1" s="1"/>
  <c r="Z216" i="1"/>
  <c r="AA216" i="1" s="1"/>
  <c r="AB216" i="1" s="1"/>
  <c r="Z248" i="1"/>
  <c r="AA248" i="1" s="1"/>
  <c r="AB248" i="1" s="1"/>
  <c r="Z280" i="1"/>
  <c r="AA280" i="1" s="1"/>
  <c r="AB280" i="1" s="1"/>
  <c r="Z308" i="1"/>
  <c r="AA308" i="1" s="1"/>
  <c r="AB308" i="1" s="1"/>
  <c r="Z324" i="1"/>
  <c r="AA324" i="1" s="1"/>
  <c r="AB324" i="1" s="1"/>
  <c r="Z332" i="1"/>
  <c r="AA332" i="1" s="1"/>
  <c r="AB332" i="1" s="1"/>
  <c r="Z340" i="1"/>
  <c r="AA340" i="1" s="1"/>
  <c r="AB340" i="1" s="1"/>
  <c r="Z348" i="1"/>
  <c r="AA348" i="1" s="1"/>
  <c r="AB348" i="1" s="1"/>
  <c r="Z356" i="1"/>
  <c r="AA356" i="1" s="1"/>
  <c r="AB356" i="1" s="1"/>
  <c r="Z364" i="1"/>
  <c r="AA364" i="1" s="1"/>
  <c r="AB364" i="1" s="1"/>
  <c r="Z372" i="1"/>
  <c r="AA372" i="1" s="1"/>
  <c r="AB372" i="1" s="1"/>
  <c r="Z380" i="1"/>
  <c r="AA380" i="1" s="1"/>
  <c r="AB380" i="1" s="1"/>
  <c r="Z388" i="1"/>
  <c r="AA388" i="1" s="1"/>
  <c r="AB388" i="1" s="1"/>
  <c r="Z396" i="1"/>
  <c r="AA396" i="1" s="1"/>
  <c r="AB396" i="1" s="1"/>
  <c r="Z404" i="1"/>
  <c r="AA404" i="1" s="1"/>
  <c r="AB404" i="1" s="1"/>
  <c r="Z412" i="1"/>
  <c r="AA412" i="1" s="1"/>
  <c r="AB412" i="1" s="1"/>
  <c r="Z420" i="1"/>
  <c r="AA420" i="1" s="1"/>
  <c r="AB420" i="1" s="1"/>
  <c r="Z428" i="1"/>
  <c r="AA428" i="1" s="1"/>
  <c r="AB428" i="1" s="1"/>
  <c r="Z3" i="1"/>
  <c r="AA3" i="1" s="1"/>
  <c r="AB3" i="1" s="1"/>
  <c r="Z4" i="1"/>
  <c r="AA4" i="1" s="1"/>
  <c r="AB4" i="1" s="1"/>
  <c r="Z5" i="1"/>
  <c r="AA5" i="1" s="1"/>
  <c r="AB5" i="1" s="1"/>
  <c r="Z7" i="1"/>
  <c r="AA7" i="1" s="1"/>
  <c r="AB7" i="1" s="1"/>
  <c r="Z8" i="1"/>
  <c r="AA8" i="1" s="1"/>
  <c r="AB8" i="1" s="1"/>
  <c r="Z9" i="1"/>
  <c r="AA9" i="1" s="1"/>
  <c r="AB9" i="1" s="1"/>
  <c r="Z11" i="1"/>
  <c r="AA11" i="1" s="1"/>
  <c r="AB11" i="1" s="1"/>
  <c r="Z12" i="1"/>
  <c r="AA12" i="1" s="1"/>
  <c r="AB12" i="1" s="1"/>
  <c r="Z13" i="1"/>
  <c r="AA13" i="1" s="1"/>
  <c r="AB13" i="1" s="1"/>
  <c r="Z15" i="1"/>
  <c r="AA15" i="1" s="1"/>
  <c r="AB15" i="1" s="1"/>
  <c r="Z16" i="1"/>
  <c r="AA16" i="1" s="1"/>
  <c r="AB16" i="1" s="1"/>
  <c r="Z17" i="1"/>
  <c r="AA17" i="1" s="1"/>
  <c r="AB17" i="1" s="1"/>
  <c r="Z19" i="1"/>
  <c r="AA19" i="1" s="1"/>
  <c r="AB19" i="1" s="1"/>
  <c r="Z20" i="1"/>
  <c r="AA20" i="1" s="1"/>
  <c r="AB20" i="1" s="1"/>
  <c r="Z21" i="1"/>
  <c r="AA21" i="1" s="1"/>
  <c r="AB21" i="1" s="1"/>
  <c r="Z23" i="1"/>
  <c r="AA23" i="1" s="1"/>
  <c r="AB23" i="1" s="1"/>
  <c r="Z25" i="1"/>
  <c r="AA25" i="1" s="1"/>
  <c r="AB25" i="1" s="1"/>
  <c r="Z27" i="1"/>
  <c r="AA27" i="1" s="1"/>
  <c r="AB27" i="1" s="1"/>
  <c r="Z28" i="1"/>
  <c r="AA28" i="1" s="1"/>
  <c r="AB28" i="1" s="1"/>
  <c r="Z29" i="1"/>
  <c r="AA29" i="1" s="1"/>
  <c r="AB29" i="1" s="1"/>
  <c r="Z31" i="1"/>
  <c r="AA31" i="1" s="1"/>
  <c r="AB31" i="1" s="1"/>
  <c r="Z32" i="1"/>
  <c r="AA32" i="1" s="1"/>
  <c r="AB32" i="1" s="1"/>
  <c r="Z33" i="1"/>
  <c r="AA33" i="1" s="1"/>
  <c r="AB33" i="1" s="1"/>
  <c r="Z35" i="1"/>
  <c r="AA35" i="1" s="1"/>
  <c r="AB35" i="1" s="1"/>
  <c r="Z36" i="1"/>
  <c r="AA36" i="1" s="1"/>
  <c r="AB36" i="1" s="1"/>
  <c r="Z37" i="1"/>
  <c r="AA37" i="1" s="1"/>
  <c r="AB37" i="1" s="1"/>
  <c r="Z39" i="1"/>
  <c r="AA39" i="1" s="1"/>
  <c r="AB39" i="1" s="1"/>
  <c r="Z40" i="1"/>
  <c r="AA40" i="1" s="1"/>
  <c r="AB40" i="1" s="1"/>
  <c r="Z41" i="1"/>
  <c r="AA41" i="1" s="1"/>
  <c r="AB41" i="1" s="1"/>
  <c r="Z43" i="1"/>
  <c r="AA43" i="1" s="1"/>
  <c r="AB43" i="1" s="1"/>
  <c r="Z44" i="1"/>
  <c r="AA44" i="1" s="1"/>
  <c r="AB44" i="1" s="1"/>
  <c r="Z45" i="1"/>
  <c r="AA45" i="1" s="1"/>
  <c r="AB45" i="1" s="1"/>
  <c r="Z47" i="1"/>
  <c r="AA47" i="1" s="1"/>
  <c r="AB47" i="1" s="1"/>
  <c r="Z48" i="1"/>
  <c r="AA48" i="1" s="1"/>
  <c r="AB48" i="1" s="1"/>
  <c r="Z49" i="1"/>
  <c r="AA49" i="1" s="1"/>
  <c r="AB49" i="1" s="1"/>
  <c r="Z51" i="1"/>
  <c r="AA51" i="1" s="1"/>
  <c r="AB51" i="1" s="1"/>
  <c r="Z52" i="1"/>
  <c r="AA52" i="1" s="1"/>
  <c r="AB52" i="1" s="1"/>
  <c r="Z53" i="1"/>
  <c r="AA53" i="1" s="1"/>
  <c r="AB53" i="1" s="1"/>
  <c r="Z55" i="1"/>
  <c r="AA55" i="1" s="1"/>
  <c r="AB55" i="1" s="1"/>
  <c r="Z57" i="1"/>
  <c r="AA57" i="1" s="1"/>
  <c r="AB57" i="1" s="1"/>
  <c r="Z59" i="1"/>
  <c r="AA59" i="1" s="1"/>
  <c r="AB59" i="1" s="1"/>
  <c r="Z60" i="1"/>
  <c r="AA60" i="1" s="1"/>
  <c r="AB60" i="1" s="1"/>
  <c r="Z61" i="1"/>
  <c r="AA61" i="1" s="1"/>
  <c r="AB61" i="1" s="1"/>
  <c r="Z63" i="1"/>
  <c r="AA63" i="1" s="1"/>
  <c r="AB63" i="1" s="1"/>
  <c r="Z64" i="1"/>
  <c r="AA64" i="1" s="1"/>
  <c r="AB64" i="1" s="1"/>
  <c r="Z65" i="1"/>
  <c r="AA65" i="1" s="1"/>
  <c r="AB65" i="1" s="1"/>
  <c r="Z67" i="1"/>
  <c r="AA67" i="1" s="1"/>
  <c r="AB67" i="1" s="1"/>
  <c r="Z68" i="1"/>
  <c r="AA68" i="1" s="1"/>
  <c r="AB68" i="1" s="1"/>
  <c r="Z69" i="1"/>
  <c r="AA69" i="1" s="1"/>
  <c r="AB69" i="1" s="1"/>
  <c r="Z71" i="1"/>
  <c r="AA71" i="1" s="1"/>
  <c r="AB71" i="1" s="1"/>
  <c r="Z72" i="1"/>
  <c r="AA72" i="1" s="1"/>
  <c r="AB72" i="1" s="1"/>
  <c r="Z73" i="1"/>
  <c r="AA73" i="1" s="1"/>
  <c r="AB73" i="1" s="1"/>
  <c r="Z75" i="1"/>
  <c r="AA75" i="1" s="1"/>
  <c r="AB75" i="1" s="1"/>
  <c r="Z76" i="1"/>
  <c r="AA76" i="1" s="1"/>
  <c r="AB76" i="1" s="1"/>
  <c r="Z77" i="1"/>
  <c r="AA77" i="1" s="1"/>
  <c r="AB77" i="1" s="1"/>
  <c r="Z79" i="1"/>
  <c r="AA79" i="1" s="1"/>
  <c r="AB79" i="1" s="1"/>
  <c r="Z80" i="1"/>
  <c r="AA80" i="1" s="1"/>
  <c r="AB80" i="1" s="1"/>
  <c r="Z81" i="1"/>
  <c r="AA81" i="1" s="1"/>
  <c r="AB81" i="1" s="1"/>
  <c r="Z83" i="1"/>
  <c r="AA83" i="1" s="1"/>
  <c r="AB83" i="1" s="1"/>
  <c r="Z84" i="1"/>
  <c r="AA84" i="1" s="1"/>
  <c r="AB84" i="1" s="1"/>
  <c r="Z85" i="1"/>
  <c r="AA85" i="1" s="1"/>
  <c r="AB85" i="1" s="1"/>
  <c r="Z87" i="1"/>
  <c r="AA87" i="1" s="1"/>
  <c r="AB87" i="1" s="1"/>
  <c r="Z89" i="1"/>
  <c r="AA89" i="1" s="1"/>
  <c r="AB89" i="1" s="1"/>
  <c r="Z91" i="1"/>
  <c r="AA91" i="1" s="1"/>
  <c r="AB91" i="1" s="1"/>
  <c r="Z92" i="1"/>
  <c r="AA92" i="1" s="1"/>
  <c r="AB92" i="1" s="1"/>
  <c r="Z93" i="1"/>
  <c r="AA93" i="1" s="1"/>
  <c r="AB93" i="1" s="1"/>
  <c r="Z95" i="1"/>
  <c r="AA95" i="1" s="1"/>
  <c r="AB95" i="1" s="1"/>
  <c r="Z96" i="1"/>
  <c r="AA96" i="1" s="1"/>
  <c r="AB96" i="1" s="1"/>
  <c r="Z97" i="1"/>
  <c r="AA97" i="1" s="1"/>
  <c r="AB97" i="1" s="1"/>
  <c r="Z99" i="1"/>
  <c r="AA99" i="1" s="1"/>
  <c r="AB99" i="1" s="1"/>
  <c r="Z100" i="1"/>
  <c r="AA100" i="1" s="1"/>
  <c r="AB100" i="1" s="1"/>
  <c r="Z101" i="1"/>
  <c r="AA101" i="1" s="1"/>
  <c r="AB101" i="1" s="1"/>
  <c r="Z103" i="1"/>
  <c r="AA103" i="1" s="1"/>
  <c r="AB103" i="1" s="1"/>
  <c r="Z104" i="1"/>
  <c r="AA104" i="1" s="1"/>
  <c r="AB104" i="1" s="1"/>
  <c r="Z105" i="1"/>
  <c r="AA105" i="1" s="1"/>
  <c r="AB105" i="1" s="1"/>
  <c r="Z107" i="1"/>
  <c r="AA107" i="1" s="1"/>
  <c r="AB107" i="1" s="1"/>
  <c r="Z108" i="1"/>
  <c r="AA108" i="1" s="1"/>
  <c r="AB108" i="1" s="1"/>
  <c r="Z109" i="1"/>
  <c r="AA109" i="1" s="1"/>
  <c r="AB109" i="1" s="1"/>
  <c r="Z111" i="1"/>
  <c r="AA111" i="1" s="1"/>
  <c r="AB111" i="1" s="1"/>
  <c r="Z112" i="1"/>
  <c r="AA112" i="1" s="1"/>
  <c r="AB112" i="1" s="1"/>
  <c r="Z113" i="1"/>
  <c r="AA113" i="1" s="1"/>
  <c r="AB113" i="1" s="1"/>
  <c r="Z115" i="1"/>
  <c r="AA115" i="1" s="1"/>
  <c r="AB115" i="1" s="1"/>
  <c r="Z116" i="1"/>
  <c r="AA116" i="1" s="1"/>
  <c r="AB116" i="1" s="1"/>
  <c r="Z117" i="1"/>
  <c r="AA117" i="1" s="1"/>
  <c r="AB117" i="1" s="1"/>
  <c r="Z119" i="1"/>
  <c r="AA119" i="1" s="1"/>
  <c r="AB119" i="1" s="1"/>
  <c r="Z121" i="1"/>
  <c r="AA121" i="1" s="1"/>
  <c r="AB121" i="1" s="1"/>
  <c r="Z123" i="1"/>
  <c r="AA123" i="1" s="1"/>
  <c r="AB123" i="1" s="1"/>
  <c r="Z124" i="1"/>
  <c r="AA124" i="1" s="1"/>
  <c r="AB124" i="1" s="1"/>
  <c r="Z125" i="1"/>
  <c r="AA125" i="1" s="1"/>
  <c r="AB125" i="1" s="1"/>
  <c r="Z127" i="1"/>
  <c r="AA127" i="1" s="1"/>
  <c r="AB127" i="1" s="1"/>
  <c r="Z128" i="1"/>
  <c r="AA128" i="1" s="1"/>
  <c r="AB128" i="1" s="1"/>
  <c r="Z129" i="1"/>
  <c r="AA129" i="1" s="1"/>
  <c r="AB129" i="1" s="1"/>
  <c r="Z131" i="1"/>
  <c r="AA131" i="1" s="1"/>
  <c r="AB131" i="1" s="1"/>
  <c r="Z132" i="1"/>
  <c r="AA132" i="1" s="1"/>
  <c r="AB132" i="1" s="1"/>
  <c r="Z133" i="1"/>
  <c r="AA133" i="1" s="1"/>
  <c r="AB133" i="1" s="1"/>
  <c r="Z135" i="1"/>
  <c r="AA135" i="1" s="1"/>
  <c r="AB135" i="1" s="1"/>
  <c r="Z136" i="1"/>
  <c r="AA136" i="1" s="1"/>
  <c r="AB136" i="1" s="1"/>
  <c r="Z137" i="1"/>
  <c r="AA137" i="1" s="1"/>
  <c r="AB137" i="1" s="1"/>
  <c r="Z139" i="1"/>
  <c r="AA139" i="1" s="1"/>
  <c r="AB139" i="1" s="1"/>
  <c r="Z140" i="1"/>
  <c r="AA140" i="1" s="1"/>
  <c r="AB140" i="1" s="1"/>
  <c r="Z141" i="1"/>
  <c r="AA141" i="1" s="1"/>
  <c r="AB141" i="1" s="1"/>
  <c r="Z143" i="1"/>
  <c r="AA143" i="1" s="1"/>
  <c r="AB143" i="1" s="1"/>
  <c r="Z144" i="1"/>
  <c r="AA144" i="1" s="1"/>
  <c r="AB144" i="1" s="1"/>
  <c r="Z145" i="1"/>
  <c r="AA145" i="1" s="1"/>
  <c r="AB145" i="1" s="1"/>
  <c r="Z147" i="1"/>
  <c r="AA147" i="1" s="1"/>
  <c r="AB147" i="1" s="1"/>
  <c r="Z148" i="1"/>
  <c r="AA148" i="1" s="1"/>
  <c r="AB148" i="1" s="1"/>
  <c r="Z149" i="1"/>
  <c r="AA149" i="1" s="1"/>
  <c r="AB149" i="1" s="1"/>
  <c r="Z151" i="1"/>
  <c r="AA151" i="1" s="1"/>
  <c r="AB151" i="1" s="1"/>
  <c r="Z153" i="1"/>
  <c r="AA153" i="1" s="1"/>
  <c r="AB153" i="1" s="1"/>
  <c r="Z155" i="1"/>
  <c r="AA155" i="1" s="1"/>
  <c r="AB155" i="1" s="1"/>
  <c r="Z156" i="1"/>
  <c r="AA156" i="1" s="1"/>
  <c r="AB156" i="1" s="1"/>
  <c r="Z157" i="1"/>
  <c r="AA157" i="1" s="1"/>
  <c r="AB157" i="1" s="1"/>
  <c r="Z159" i="1"/>
  <c r="AA159" i="1" s="1"/>
  <c r="AB159" i="1" s="1"/>
  <c r="Z160" i="1"/>
  <c r="AA160" i="1" s="1"/>
  <c r="AB160" i="1" s="1"/>
  <c r="Z161" i="1"/>
  <c r="AA161" i="1" s="1"/>
  <c r="AB161" i="1" s="1"/>
  <c r="Z163" i="1"/>
  <c r="AA163" i="1" s="1"/>
  <c r="AB163" i="1" s="1"/>
  <c r="Z164" i="1"/>
  <c r="AA164" i="1" s="1"/>
  <c r="AB164" i="1" s="1"/>
  <c r="Z165" i="1"/>
  <c r="AA165" i="1" s="1"/>
  <c r="AB165" i="1" s="1"/>
  <c r="Z167" i="1"/>
  <c r="AA167" i="1" s="1"/>
  <c r="AB167" i="1" s="1"/>
  <c r="Z168" i="1"/>
  <c r="AA168" i="1" s="1"/>
  <c r="AB168" i="1" s="1"/>
  <c r="Z169" i="1"/>
  <c r="AA169" i="1" s="1"/>
  <c r="AB169" i="1" s="1"/>
  <c r="Z171" i="1"/>
  <c r="AA171" i="1" s="1"/>
  <c r="AB171" i="1" s="1"/>
  <c r="Z172" i="1"/>
  <c r="AA172" i="1" s="1"/>
  <c r="AB172" i="1" s="1"/>
  <c r="Z173" i="1"/>
  <c r="AA173" i="1" s="1"/>
  <c r="AB173" i="1" s="1"/>
  <c r="Z175" i="1"/>
  <c r="AA175" i="1" s="1"/>
  <c r="AB175" i="1" s="1"/>
  <c r="Z176" i="1"/>
  <c r="AA176" i="1" s="1"/>
  <c r="AB176" i="1" s="1"/>
  <c r="Z177" i="1"/>
  <c r="AA177" i="1" s="1"/>
  <c r="AB177" i="1" s="1"/>
  <c r="Z179" i="1"/>
  <c r="AA179" i="1" s="1"/>
  <c r="AB179" i="1" s="1"/>
  <c r="Z180" i="1"/>
  <c r="AA180" i="1" s="1"/>
  <c r="AB180" i="1" s="1"/>
  <c r="Z181" i="1"/>
  <c r="AA181" i="1" s="1"/>
  <c r="AB181" i="1" s="1"/>
  <c r="Z183" i="1"/>
  <c r="AA183" i="1" s="1"/>
  <c r="AB183" i="1" s="1"/>
  <c r="Z185" i="1"/>
  <c r="AA185" i="1" s="1"/>
  <c r="AB185" i="1" s="1"/>
  <c r="Z187" i="1"/>
  <c r="AA187" i="1" s="1"/>
  <c r="AB187" i="1" s="1"/>
  <c r="Z188" i="1"/>
  <c r="AA188" i="1" s="1"/>
  <c r="AB188" i="1" s="1"/>
  <c r="Z189" i="1"/>
  <c r="AA189" i="1" s="1"/>
  <c r="AB189" i="1" s="1"/>
  <c r="Z191" i="1"/>
  <c r="AA191" i="1" s="1"/>
  <c r="AB191" i="1" s="1"/>
  <c r="Z192" i="1"/>
  <c r="AA192" i="1" s="1"/>
  <c r="AB192" i="1" s="1"/>
  <c r="Z193" i="1"/>
  <c r="AA193" i="1" s="1"/>
  <c r="AB193" i="1" s="1"/>
  <c r="Z195" i="1"/>
  <c r="AA195" i="1" s="1"/>
  <c r="AB195" i="1" s="1"/>
  <c r="Z196" i="1"/>
  <c r="AA196" i="1" s="1"/>
  <c r="AB196" i="1" s="1"/>
  <c r="Z197" i="1"/>
  <c r="AA197" i="1" s="1"/>
  <c r="AB197" i="1" s="1"/>
  <c r="Z199" i="1"/>
  <c r="AA199" i="1" s="1"/>
  <c r="AB199" i="1" s="1"/>
  <c r="Z200" i="1"/>
  <c r="AA200" i="1" s="1"/>
  <c r="AB200" i="1" s="1"/>
  <c r="Z201" i="1"/>
  <c r="AA201" i="1" s="1"/>
  <c r="AB201" i="1" s="1"/>
  <c r="Z203" i="1"/>
  <c r="AA203" i="1" s="1"/>
  <c r="AB203" i="1" s="1"/>
  <c r="Z204" i="1"/>
  <c r="AA204" i="1" s="1"/>
  <c r="AB204" i="1" s="1"/>
  <c r="Z205" i="1"/>
  <c r="AA205" i="1" s="1"/>
  <c r="AB205" i="1" s="1"/>
  <c r="Z207" i="1"/>
  <c r="AA207" i="1" s="1"/>
  <c r="AB207" i="1" s="1"/>
  <c r="Z208" i="1"/>
  <c r="AA208" i="1" s="1"/>
  <c r="AB208" i="1" s="1"/>
  <c r="Z209" i="1"/>
  <c r="AA209" i="1" s="1"/>
  <c r="AB209" i="1" s="1"/>
  <c r="Z211" i="1"/>
  <c r="AA211" i="1" s="1"/>
  <c r="AB211" i="1" s="1"/>
  <c r="Z212" i="1"/>
  <c r="AA212" i="1" s="1"/>
  <c r="AB212" i="1" s="1"/>
  <c r="Z213" i="1"/>
  <c r="AA213" i="1" s="1"/>
  <c r="AB213" i="1" s="1"/>
  <c r="Z215" i="1"/>
  <c r="AA215" i="1" s="1"/>
  <c r="AB215" i="1" s="1"/>
  <c r="Z217" i="1"/>
  <c r="AA217" i="1" s="1"/>
  <c r="AB217" i="1" s="1"/>
  <c r="Z219" i="1"/>
  <c r="AA219" i="1" s="1"/>
  <c r="AB219" i="1" s="1"/>
  <c r="Z220" i="1"/>
  <c r="AA220" i="1" s="1"/>
  <c r="AB220" i="1" s="1"/>
  <c r="Z221" i="1"/>
  <c r="AA221" i="1" s="1"/>
  <c r="AB221" i="1" s="1"/>
  <c r="Z223" i="1"/>
  <c r="AA223" i="1" s="1"/>
  <c r="AB223" i="1" s="1"/>
  <c r="Z224" i="1"/>
  <c r="AA224" i="1" s="1"/>
  <c r="AB224" i="1" s="1"/>
  <c r="Z225" i="1"/>
  <c r="AA225" i="1" s="1"/>
  <c r="AB225" i="1" s="1"/>
  <c r="Z227" i="1"/>
  <c r="AA227" i="1" s="1"/>
  <c r="AB227" i="1" s="1"/>
  <c r="Z228" i="1"/>
  <c r="AA228" i="1" s="1"/>
  <c r="AB228" i="1" s="1"/>
  <c r="Z229" i="1"/>
  <c r="AA229" i="1" s="1"/>
  <c r="AB229" i="1" s="1"/>
  <c r="Z231" i="1"/>
  <c r="AA231" i="1" s="1"/>
  <c r="AB231" i="1" s="1"/>
  <c r="Z232" i="1"/>
  <c r="AA232" i="1" s="1"/>
  <c r="AB232" i="1" s="1"/>
  <c r="Z233" i="1"/>
  <c r="AA233" i="1" s="1"/>
  <c r="AB233" i="1" s="1"/>
  <c r="Z235" i="1"/>
  <c r="AA235" i="1" s="1"/>
  <c r="AB235" i="1" s="1"/>
  <c r="Z236" i="1"/>
  <c r="AA236" i="1" s="1"/>
  <c r="AB236" i="1" s="1"/>
  <c r="Z237" i="1"/>
  <c r="AA237" i="1" s="1"/>
  <c r="AB237" i="1" s="1"/>
  <c r="Z239" i="1"/>
  <c r="AA239" i="1" s="1"/>
  <c r="AB239" i="1" s="1"/>
  <c r="Z240" i="1"/>
  <c r="AA240" i="1" s="1"/>
  <c r="AB240" i="1" s="1"/>
  <c r="Z241" i="1"/>
  <c r="AA241" i="1" s="1"/>
  <c r="AB241" i="1" s="1"/>
  <c r="Z243" i="1"/>
  <c r="AA243" i="1" s="1"/>
  <c r="AB243" i="1" s="1"/>
  <c r="Z244" i="1"/>
  <c r="AA244" i="1" s="1"/>
  <c r="AB244" i="1" s="1"/>
  <c r="Z245" i="1"/>
  <c r="AA245" i="1" s="1"/>
  <c r="AB245" i="1" s="1"/>
  <c r="Z247" i="1"/>
  <c r="AA247" i="1" s="1"/>
  <c r="AB247" i="1" s="1"/>
  <c r="Z249" i="1"/>
  <c r="AA249" i="1" s="1"/>
  <c r="AB249" i="1" s="1"/>
  <c r="Z251" i="1"/>
  <c r="AA251" i="1" s="1"/>
  <c r="AB251" i="1" s="1"/>
  <c r="Z252" i="1"/>
  <c r="AA252" i="1" s="1"/>
  <c r="AB252" i="1" s="1"/>
  <c r="Z253" i="1"/>
  <c r="AA253" i="1" s="1"/>
  <c r="AB253" i="1" s="1"/>
  <c r="Z255" i="1"/>
  <c r="AA255" i="1" s="1"/>
  <c r="AB255" i="1" s="1"/>
  <c r="Z256" i="1"/>
  <c r="AA256" i="1" s="1"/>
  <c r="AB256" i="1" s="1"/>
  <c r="Z257" i="1"/>
  <c r="AA257" i="1" s="1"/>
  <c r="AB257" i="1" s="1"/>
  <c r="Z259" i="1"/>
  <c r="AA259" i="1" s="1"/>
  <c r="AB259" i="1" s="1"/>
  <c r="Z260" i="1"/>
  <c r="AA260" i="1" s="1"/>
  <c r="AB260" i="1" s="1"/>
  <c r="Z261" i="1"/>
  <c r="AA261" i="1" s="1"/>
  <c r="AB261" i="1" s="1"/>
  <c r="Z263" i="1"/>
  <c r="AA263" i="1" s="1"/>
  <c r="AB263" i="1" s="1"/>
  <c r="Z264" i="1"/>
  <c r="AA264" i="1" s="1"/>
  <c r="AB264" i="1" s="1"/>
  <c r="Z265" i="1"/>
  <c r="AA265" i="1" s="1"/>
  <c r="AB265" i="1" s="1"/>
  <c r="Z267" i="1"/>
  <c r="AA267" i="1" s="1"/>
  <c r="AB267" i="1" s="1"/>
  <c r="Z268" i="1"/>
  <c r="AA268" i="1" s="1"/>
  <c r="AB268" i="1" s="1"/>
  <c r="Z269" i="1"/>
  <c r="AA269" i="1" s="1"/>
  <c r="AB269" i="1" s="1"/>
  <c r="Z271" i="1"/>
  <c r="AA271" i="1" s="1"/>
  <c r="AB271" i="1" s="1"/>
  <c r="Z272" i="1"/>
  <c r="AA272" i="1" s="1"/>
  <c r="AB272" i="1" s="1"/>
  <c r="Z273" i="1"/>
  <c r="AA273" i="1" s="1"/>
  <c r="AB273" i="1" s="1"/>
  <c r="Z275" i="1"/>
  <c r="AA275" i="1" s="1"/>
  <c r="AB275" i="1" s="1"/>
  <c r="Z276" i="1"/>
  <c r="AA276" i="1" s="1"/>
  <c r="AB276" i="1" s="1"/>
  <c r="Z277" i="1"/>
  <c r="AA277" i="1" s="1"/>
  <c r="AB277" i="1" s="1"/>
  <c r="Z279" i="1"/>
  <c r="AA279" i="1" s="1"/>
  <c r="AB279" i="1" s="1"/>
  <c r="Z281" i="1"/>
  <c r="AA281" i="1" s="1"/>
  <c r="AB281" i="1" s="1"/>
  <c r="Z283" i="1"/>
  <c r="AA283" i="1" s="1"/>
  <c r="AB283" i="1" s="1"/>
  <c r="Z284" i="1"/>
  <c r="AA284" i="1" s="1"/>
  <c r="AB284" i="1" s="1"/>
  <c r="Z285" i="1"/>
  <c r="AA285" i="1" s="1"/>
  <c r="AB285" i="1" s="1"/>
  <c r="Z287" i="1"/>
  <c r="AA287" i="1" s="1"/>
  <c r="AB287" i="1" s="1"/>
  <c r="Z288" i="1"/>
  <c r="AA288" i="1" s="1"/>
  <c r="AB288" i="1" s="1"/>
  <c r="Z289" i="1"/>
  <c r="AA289" i="1" s="1"/>
  <c r="AB289" i="1" s="1"/>
  <c r="Z291" i="1"/>
  <c r="AA291" i="1" s="1"/>
  <c r="AB291" i="1" s="1"/>
  <c r="Z292" i="1"/>
  <c r="AA292" i="1" s="1"/>
  <c r="AB292" i="1" s="1"/>
  <c r="Z293" i="1"/>
  <c r="AA293" i="1" s="1"/>
  <c r="AB293" i="1" s="1"/>
  <c r="Z295" i="1"/>
  <c r="AA295" i="1" s="1"/>
  <c r="AB295" i="1" s="1"/>
  <c r="Z296" i="1"/>
  <c r="AA296" i="1" s="1"/>
  <c r="AB296" i="1" s="1"/>
  <c r="Z297" i="1"/>
  <c r="AA297" i="1" s="1"/>
  <c r="AB297" i="1" s="1"/>
  <c r="Z299" i="1"/>
  <c r="AA299" i="1" s="1"/>
  <c r="AB299" i="1" s="1"/>
  <c r="Z300" i="1"/>
  <c r="AA300" i="1" s="1"/>
  <c r="AB300" i="1" s="1"/>
  <c r="Z301" i="1"/>
  <c r="AA301" i="1" s="1"/>
  <c r="AB301" i="1" s="1"/>
  <c r="Z303" i="1"/>
  <c r="AA303" i="1" s="1"/>
  <c r="AB303" i="1" s="1"/>
  <c r="Z304" i="1"/>
  <c r="AA304" i="1" s="1"/>
  <c r="AB304" i="1" s="1"/>
  <c r="Z305" i="1"/>
  <c r="AA305" i="1" s="1"/>
  <c r="AB305" i="1" s="1"/>
  <c r="Z307" i="1"/>
  <c r="AA307" i="1" s="1"/>
  <c r="AB307" i="1" s="1"/>
  <c r="Z309" i="1"/>
  <c r="AA309" i="1" s="1"/>
  <c r="AB309" i="1" s="1"/>
  <c r="Z311" i="1"/>
  <c r="AA311" i="1" s="1"/>
  <c r="AB311" i="1" s="1"/>
  <c r="Z312" i="1"/>
  <c r="AA312" i="1" s="1"/>
  <c r="AB312" i="1" s="1"/>
  <c r="Z313" i="1"/>
  <c r="AA313" i="1" s="1"/>
  <c r="AB313" i="1" s="1"/>
  <c r="Z315" i="1"/>
  <c r="AA315" i="1" s="1"/>
  <c r="AB315" i="1" s="1"/>
  <c r="Z316" i="1"/>
  <c r="AA316" i="1" s="1"/>
  <c r="AB316" i="1" s="1"/>
  <c r="Z317" i="1"/>
  <c r="AA317" i="1" s="1"/>
  <c r="AB317" i="1" s="1"/>
  <c r="Z319" i="1"/>
  <c r="AA319" i="1" s="1"/>
  <c r="AB319" i="1" s="1"/>
  <c r="Z320" i="1"/>
  <c r="AA320" i="1" s="1"/>
  <c r="AB320" i="1" s="1"/>
  <c r="Z321" i="1"/>
  <c r="AA321" i="1" s="1"/>
  <c r="AB321" i="1" s="1"/>
  <c r="Z323" i="1"/>
  <c r="AA323" i="1" s="1"/>
  <c r="AB323" i="1" s="1"/>
  <c r="Z325" i="1"/>
  <c r="AA325" i="1" s="1"/>
  <c r="AB325" i="1" s="1"/>
  <c r="Z327" i="1"/>
  <c r="AA327" i="1" s="1"/>
  <c r="AB327" i="1" s="1"/>
  <c r="Z328" i="1"/>
  <c r="AA328" i="1" s="1"/>
  <c r="AB328" i="1" s="1"/>
  <c r="Z329" i="1"/>
  <c r="AA329" i="1" s="1"/>
  <c r="AB329" i="1" s="1"/>
  <c r="Z331" i="1"/>
  <c r="AA331" i="1" s="1"/>
  <c r="AB331" i="1" s="1"/>
  <c r="Z333" i="1"/>
  <c r="AA333" i="1" s="1"/>
  <c r="AB333" i="1" s="1"/>
  <c r="Z335" i="1"/>
  <c r="AA335" i="1" s="1"/>
  <c r="AB335" i="1" s="1"/>
  <c r="Z336" i="1"/>
  <c r="AA336" i="1" s="1"/>
  <c r="AB336" i="1" s="1"/>
  <c r="Z337" i="1"/>
  <c r="AA337" i="1" s="1"/>
  <c r="AB337" i="1" s="1"/>
  <c r="Z339" i="1"/>
  <c r="AA339" i="1" s="1"/>
  <c r="AB339" i="1" s="1"/>
  <c r="Z341" i="1"/>
  <c r="AA341" i="1" s="1"/>
  <c r="AB341" i="1" s="1"/>
  <c r="Z343" i="1"/>
  <c r="AA343" i="1" s="1"/>
  <c r="AB343" i="1" s="1"/>
  <c r="Z344" i="1"/>
  <c r="AA344" i="1" s="1"/>
  <c r="AB344" i="1" s="1"/>
  <c r="Z345" i="1"/>
  <c r="AA345" i="1" s="1"/>
  <c r="AB345" i="1" s="1"/>
  <c r="Z347" i="1"/>
  <c r="AA347" i="1" s="1"/>
  <c r="AB347" i="1" s="1"/>
  <c r="Z349" i="1"/>
  <c r="AA349" i="1" s="1"/>
  <c r="AB349" i="1" s="1"/>
  <c r="Z350" i="1"/>
  <c r="AA350" i="1" s="1"/>
  <c r="AB350" i="1" s="1"/>
  <c r="Z351" i="1"/>
  <c r="AA351" i="1" s="1"/>
  <c r="AB351" i="1" s="1"/>
  <c r="Z352" i="1"/>
  <c r="AA352" i="1" s="1"/>
  <c r="AB352" i="1" s="1"/>
  <c r="Z353" i="1"/>
  <c r="AA353" i="1" s="1"/>
  <c r="AB353" i="1" s="1"/>
  <c r="Z354" i="1"/>
  <c r="AA354" i="1" s="1"/>
  <c r="AB354" i="1" s="1"/>
  <c r="Z355" i="1"/>
  <c r="AA355" i="1" s="1"/>
  <c r="AB355" i="1" s="1"/>
  <c r="Z357" i="1"/>
  <c r="AA357" i="1" s="1"/>
  <c r="AB357" i="1" s="1"/>
  <c r="Z359" i="1"/>
  <c r="AA359" i="1" s="1"/>
  <c r="AB359" i="1" s="1"/>
  <c r="Z360" i="1"/>
  <c r="AA360" i="1" s="1"/>
  <c r="AB360" i="1" s="1"/>
  <c r="Z361" i="1"/>
  <c r="AA361" i="1" s="1"/>
  <c r="AB361" i="1" s="1"/>
  <c r="Z363" i="1"/>
  <c r="AA363" i="1" s="1"/>
  <c r="AB363" i="1" s="1"/>
  <c r="Z365" i="1"/>
  <c r="AA365" i="1" s="1"/>
  <c r="AB365" i="1" s="1"/>
  <c r="Z367" i="1"/>
  <c r="AA367" i="1" s="1"/>
  <c r="AB367" i="1" s="1"/>
  <c r="Z368" i="1"/>
  <c r="AA368" i="1" s="1"/>
  <c r="AB368" i="1" s="1"/>
  <c r="Z369" i="1"/>
  <c r="AA369" i="1" s="1"/>
  <c r="AB369" i="1" s="1"/>
  <c r="Z371" i="1"/>
  <c r="AA371" i="1" s="1"/>
  <c r="AB371" i="1" s="1"/>
  <c r="Z373" i="1"/>
  <c r="AA373" i="1" s="1"/>
  <c r="AB373" i="1" s="1"/>
  <c r="Z375" i="1"/>
  <c r="AA375" i="1" s="1"/>
  <c r="AB375" i="1" s="1"/>
  <c r="Z376" i="1"/>
  <c r="AA376" i="1" s="1"/>
  <c r="AB376" i="1" s="1"/>
  <c r="Z377" i="1"/>
  <c r="AA377" i="1" s="1"/>
  <c r="AB377" i="1" s="1"/>
  <c r="Z379" i="1"/>
  <c r="AA379" i="1" s="1"/>
  <c r="AB379" i="1" s="1"/>
  <c r="Z381" i="1"/>
  <c r="AA381" i="1" s="1"/>
  <c r="AB381" i="1" s="1"/>
  <c r="Z383" i="1"/>
  <c r="AA383" i="1" s="1"/>
  <c r="AB383" i="1" s="1"/>
  <c r="Z384" i="1"/>
  <c r="AA384" i="1" s="1"/>
  <c r="AB384" i="1" s="1"/>
  <c r="Z385" i="1"/>
  <c r="AA385" i="1" s="1"/>
  <c r="AB385" i="1" s="1"/>
  <c r="Z387" i="1"/>
  <c r="AA387" i="1" s="1"/>
  <c r="AB387" i="1" s="1"/>
  <c r="Z389" i="1"/>
  <c r="AA389" i="1" s="1"/>
  <c r="AB389" i="1" s="1"/>
  <c r="Z391" i="1"/>
  <c r="AA391" i="1" s="1"/>
  <c r="AB391" i="1" s="1"/>
  <c r="Z392" i="1"/>
  <c r="AA392" i="1" s="1"/>
  <c r="AB392" i="1" s="1"/>
  <c r="Z393" i="1"/>
  <c r="AA393" i="1" s="1"/>
  <c r="AB393" i="1" s="1"/>
  <c r="Z395" i="1"/>
  <c r="AA395" i="1" s="1"/>
  <c r="AB395" i="1" s="1"/>
  <c r="Z397" i="1"/>
  <c r="AA397" i="1" s="1"/>
  <c r="AB397" i="1" s="1"/>
  <c r="Z399" i="1"/>
  <c r="AA399" i="1" s="1"/>
  <c r="AB399" i="1" s="1"/>
  <c r="Z400" i="1"/>
  <c r="AA400" i="1" s="1"/>
  <c r="AB400" i="1" s="1"/>
  <c r="Z401" i="1"/>
  <c r="AA401" i="1" s="1"/>
  <c r="AB401" i="1" s="1"/>
  <c r="Z403" i="1"/>
  <c r="AA403" i="1" s="1"/>
  <c r="AB403" i="1" s="1"/>
  <c r="Z405" i="1"/>
  <c r="AA405" i="1" s="1"/>
  <c r="AB405" i="1" s="1"/>
  <c r="Z407" i="1"/>
  <c r="AA407" i="1" s="1"/>
  <c r="AB407" i="1" s="1"/>
  <c r="Z408" i="1"/>
  <c r="AA408" i="1" s="1"/>
  <c r="AB408" i="1" s="1"/>
  <c r="Z409" i="1"/>
  <c r="AA409" i="1" s="1"/>
  <c r="AB409" i="1" s="1"/>
  <c r="Z411" i="1"/>
  <c r="AA411" i="1" s="1"/>
  <c r="AB411" i="1" s="1"/>
  <c r="Z413" i="1"/>
  <c r="AA413" i="1" s="1"/>
  <c r="AB413" i="1" s="1"/>
  <c r="Z414" i="1"/>
  <c r="AA414" i="1" s="1"/>
  <c r="AB414" i="1" s="1"/>
  <c r="Z415" i="1"/>
  <c r="AA415" i="1" s="1"/>
  <c r="AB415" i="1" s="1"/>
  <c r="Z416" i="1"/>
  <c r="AA416" i="1" s="1"/>
  <c r="AB416" i="1" s="1"/>
  <c r="Z417" i="1"/>
  <c r="AA417" i="1" s="1"/>
  <c r="AB417" i="1" s="1"/>
  <c r="Z418" i="1"/>
  <c r="AA418" i="1" s="1"/>
  <c r="AB418" i="1" s="1"/>
  <c r="Z419" i="1"/>
  <c r="AA419" i="1" s="1"/>
  <c r="AB419" i="1" s="1"/>
  <c r="Z421" i="1"/>
  <c r="AA421" i="1" s="1"/>
  <c r="AB421" i="1" s="1"/>
  <c r="Z423" i="1"/>
  <c r="AA423" i="1" s="1"/>
  <c r="AB423" i="1" s="1"/>
  <c r="Z424" i="1"/>
  <c r="AA424" i="1" s="1"/>
  <c r="AB424" i="1" s="1"/>
  <c r="Z425" i="1"/>
  <c r="AA425" i="1" s="1"/>
  <c r="AB425" i="1" s="1"/>
  <c r="Z427" i="1"/>
  <c r="AA427" i="1" s="1"/>
  <c r="AB427" i="1" s="1"/>
  <c r="Z429" i="1"/>
  <c r="AA429" i="1" s="1"/>
  <c r="AB429" i="1" s="1"/>
  <c r="Z431" i="1"/>
  <c r="AA431" i="1" s="1"/>
  <c r="AB431" i="1" s="1"/>
  <c r="Z432" i="1"/>
  <c r="AA432" i="1" s="1"/>
  <c r="AB432" i="1" s="1"/>
  <c r="Z433" i="1"/>
  <c r="AA433" i="1" s="1"/>
  <c r="AB433" i="1" s="1"/>
  <c r="Z435" i="1"/>
  <c r="AA435" i="1" s="1"/>
  <c r="AB435" i="1" s="1"/>
  <c r="W2" i="1"/>
  <c r="X2" i="1" s="1"/>
  <c r="W3" i="1"/>
  <c r="X3" i="1" s="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U428" i="1"/>
  <c r="U429" i="1"/>
  <c r="U430" i="1"/>
  <c r="U431" i="1"/>
  <c r="U432" i="1"/>
  <c r="U433" i="1"/>
  <c r="U434" i="1"/>
  <c r="U435"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3" i="1"/>
  <c r="U4" i="1"/>
  <c r="U2" i="1"/>
  <c r="P2" i="1"/>
  <c r="P3" i="1"/>
  <c r="V3" i="1" s="1"/>
  <c r="P4" i="1"/>
  <c r="V4" i="1" s="1"/>
  <c r="P5" i="1"/>
  <c r="V5" i="1" s="1"/>
  <c r="P6" i="1"/>
  <c r="V6" i="1" s="1"/>
  <c r="P7" i="1"/>
  <c r="V7" i="1" s="1"/>
  <c r="P8" i="1"/>
  <c r="V8" i="1" s="1"/>
  <c r="P9" i="1"/>
  <c r="V9" i="1" s="1"/>
  <c r="P10" i="1"/>
  <c r="V10" i="1" s="1"/>
  <c r="P11" i="1"/>
  <c r="V11" i="1" s="1"/>
  <c r="P12" i="1"/>
  <c r="V12" i="1" s="1"/>
  <c r="P13" i="1"/>
  <c r="V13" i="1" s="1"/>
  <c r="P14" i="1"/>
  <c r="V14" i="1" s="1"/>
  <c r="P15" i="1"/>
  <c r="V15" i="1" s="1"/>
  <c r="P16" i="1"/>
  <c r="V16" i="1" s="1"/>
  <c r="P17" i="1"/>
  <c r="V17" i="1" s="1"/>
  <c r="P18" i="1"/>
  <c r="V18" i="1" s="1"/>
  <c r="P19" i="1"/>
  <c r="V19" i="1" s="1"/>
  <c r="P20" i="1"/>
  <c r="V20" i="1" s="1"/>
  <c r="P21" i="1"/>
  <c r="V21" i="1" s="1"/>
  <c r="P22" i="1"/>
  <c r="V22" i="1" s="1"/>
  <c r="P23" i="1"/>
  <c r="V23" i="1" s="1"/>
  <c r="P24" i="1"/>
  <c r="V24" i="1" s="1"/>
  <c r="P25" i="1"/>
  <c r="V25" i="1" s="1"/>
  <c r="P26" i="1"/>
  <c r="V26" i="1" s="1"/>
  <c r="P27" i="1"/>
  <c r="V27" i="1" s="1"/>
  <c r="P28" i="1"/>
  <c r="V28" i="1" s="1"/>
  <c r="P29" i="1"/>
  <c r="V29" i="1" s="1"/>
  <c r="P30" i="1"/>
  <c r="V30" i="1" s="1"/>
  <c r="P31" i="1"/>
  <c r="V31" i="1" s="1"/>
  <c r="P32" i="1"/>
  <c r="V32" i="1" s="1"/>
  <c r="P33" i="1"/>
  <c r="V33" i="1" s="1"/>
  <c r="P34" i="1"/>
  <c r="V34" i="1" s="1"/>
  <c r="P35" i="1"/>
  <c r="V35" i="1" s="1"/>
  <c r="P36" i="1"/>
  <c r="V36" i="1" s="1"/>
  <c r="P37" i="1"/>
  <c r="V37" i="1" s="1"/>
  <c r="P38" i="1"/>
  <c r="V38" i="1" s="1"/>
  <c r="P39" i="1"/>
  <c r="V39" i="1" s="1"/>
  <c r="P40" i="1"/>
  <c r="V40" i="1" s="1"/>
  <c r="P41" i="1"/>
  <c r="V41" i="1" s="1"/>
  <c r="P42" i="1"/>
  <c r="V42" i="1" s="1"/>
  <c r="P43" i="1"/>
  <c r="V43" i="1" s="1"/>
  <c r="P44" i="1"/>
  <c r="V44" i="1" s="1"/>
  <c r="P45" i="1"/>
  <c r="V45" i="1" s="1"/>
  <c r="P46" i="1"/>
  <c r="V46" i="1" s="1"/>
  <c r="P47" i="1"/>
  <c r="V47" i="1" s="1"/>
  <c r="P48" i="1"/>
  <c r="V48" i="1" s="1"/>
  <c r="P49" i="1"/>
  <c r="V49" i="1" s="1"/>
  <c r="P50" i="1"/>
  <c r="V50" i="1" s="1"/>
  <c r="P51" i="1"/>
  <c r="V51" i="1" s="1"/>
  <c r="P52" i="1"/>
  <c r="V52" i="1" s="1"/>
  <c r="P53" i="1"/>
  <c r="V53" i="1" s="1"/>
  <c r="P54" i="1"/>
  <c r="V54" i="1" s="1"/>
  <c r="P55" i="1"/>
  <c r="V55" i="1" s="1"/>
  <c r="P56" i="1"/>
  <c r="V56" i="1" s="1"/>
  <c r="P57" i="1"/>
  <c r="V57" i="1" s="1"/>
  <c r="P58" i="1"/>
  <c r="V58" i="1" s="1"/>
  <c r="P59" i="1"/>
  <c r="V59" i="1" s="1"/>
  <c r="P60" i="1"/>
  <c r="V60" i="1" s="1"/>
  <c r="P61" i="1"/>
  <c r="V61" i="1" s="1"/>
  <c r="P62" i="1"/>
  <c r="V62" i="1" s="1"/>
  <c r="P63" i="1"/>
  <c r="V63" i="1" s="1"/>
  <c r="P64" i="1"/>
  <c r="V64" i="1" s="1"/>
  <c r="P65" i="1"/>
  <c r="V65" i="1" s="1"/>
  <c r="P66" i="1"/>
  <c r="V66" i="1" s="1"/>
  <c r="P67" i="1"/>
  <c r="V67" i="1" s="1"/>
  <c r="P68" i="1"/>
  <c r="V68" i="1" s="1"/>
  <c r="P69" i="1"/>
  <c r="V69" i="1" s="1"/>
  <c r="P70" i="1"/>
  <c r="V70" i="1" s="1"/>
  <c r="P71" i="1"/>
  <c r="V71" i="1" s="1"/>
  <c r="P72" i="1"/>
  <c r="V72" i="1" s="1"/>
  <c r="P73" i="1"/>
  <c r="V73" i="1" s="1"/>
  <c r="P74" i="1"/>
  <c r="V74" i="1" s="1"/>
  <c r="P75" i="1"/>
  <c r="V75" i="1" s="1"/>
  <c r="P76" i="1"/>
  <c r="V76" i="1" s="1"/>
  <c r="P77" i="1"/>
  <c r="V77" i="1" s="1"/>
  <c r="P78" i="1"/>
  <c r="V78" i="1" s="1"/>
  <c r="P79" i="1"/>
  <c r="V79" i="1" s="1"/>
  <c r="P80" i="1"/>
  <c r="V80" i="1" s="1"/>
  <c r="P81" i="1"/>
  <c r="V81" i="1" s="1"/>
  <c r="P82" i="1"/>
  <c r="V82" i="1" s="1"/>
  <c r="P83" i="1"/>
  <c r="V83" i="1" s="1"/>
  <c r="P84" i="1"/>
  <c r="V84" i="1" s="1"/>
  <c r="P85" i="1"/>
  <c r="V85" i="1" s="1"/>
  <c r="P86" i="1"/>
  <c r="V86" i="1" s="1"/>
  <c r="P87" i="1"/>
  <c r="V87" i="1" s="1"/>
  <c r="P88" i="1"/>
  <c r="V88" i="1" s="1"/>
  <c r="P89" i="1"/>
  <c r="V89" i="1" s="1"/>
  <c r="P90" i="1"/>
  <c r="V90" i="1" s="1"/>
  <c r="P91" i="1"/>
  <c r="V91" i="1" s="1"/>
  <c r="P92" i="1"/>
  <c r="V92" i="1" s="1"/>
  <c r="P93" i="1"/>
  <c r="V93" i="1" s="1"/>
  <c r="P94" i="1"/>
  <c r="V94" i="1" s="1"/>
  <c r="P95" i="1"/>
  <c r="V95" i="1" s="1"/>
  <c r="P96" i="1"/>
  <c r="V96" i="1" s="1"/>
  <c r="P97" i="1"/>
  <c r="V97" i="1" s="1"/>
  <c r="P98" i="1"/>
  <c r="V98" i="1" s="1"/>
  <c r="P99" i="1"/>
  <c r="V99" i="1" s="1"/>
  <c r="P100" i="1"/>
  <c r="V100" i="1" s="1"/>
  <c r="P101" i="1"/>
  <c r="V101" i="1" s="1"/>
  <c r="P102" i="1"/>
  <c r="V102" i="1" s="1"/>
  <c r="P103" i="1"/>
  <c r="V103" i="1" s="1"/>
  <c r="P104" i="1"/>
  <c r="V104" i="1" s="1"/>
  <c r="P105" i="1"/>
  <c r="V105" i="1" s="1"/>
  <c r="P106" i="1"/>
  <c r="V106" i="1" s="1"/>
  <c r="P107" i="1"/>
  <c r="V107" i="1" s="1"/>
  <c r="P108" i="1"/>
  <c r="V108" i="1" s="1"/>
  <c r="P109" i="1"/>
  <c r="V109" i="1" s="1"/>
  <c r="P110" i="1"/>
  <c r="V110" i="1" s="1"/>
  <c r="P111" i="1"/>
  <c r="V111" i="1" s="1"/>
  <c r="P112" i="1"/>
  <c r="V112" i="1" s="1"/>
  <c r="P113" i="1"/>
  <c r="V113" i="1" s="1"/>
  <c r="P114" i="1"/>
  <c r="V114" i="1" s="1"/>
  <c r="P115" i="1"/>
  <c r="V115" i="1" s="1"/>
  <c r="P116" i="1"/>
  <c r="V116" i="1" s="1"/>
  <c r="P117" i="1"/>
  <c r="V117" i="1" s="1"/>
  <c r="P118" i="1"/>
  <c r="V118" i="1" s="1"/>
  <c r="P119" i="1"/>
  <c r="V119" i="1" s="1"/>
  <c r="P120" i="1"/>
  <c r="V120" i="1" s="1"/>
  <c r="P121" i="1"/>
  <c r="V121" i="1" s="1"/>
  <c r="P122" i="1"/>
  <c r="V122" i="1" s="1"/>
  <c r="P123" i="1"/>
  <c r="V123" i="1" s="1"/>
  <c r="P124" i="1"/>
  <c r="V124" i="1" s="1"/>
  <c r="P125" i="1"/>
  <c r="V125" i="1" s="1"/>
  <c r="P126" i="1"/>
  <c r="V126" i="1" s="1"/>
  <c r="P127" i="1"/>
  <c r="V127" i="1" s="1"/>
  <c r="P128" i="1"/>
  <c r="V128" i="1" s="1"/>
  <c r="P129" i="1"/>
  <c r="V129" i="1" s="1"/>
  <c r="P130" i="1"/>
  <c r="V130" i="1" s="1"/>
  <c r="P131" i="1"/>
  <c r="V131" i="1" s="1"/>
  <c r="P132" i="1"/>
  <c r="V132" i="1" s="1"/>
  <c r="P133" i="1"/>
  <c r="V133" i="1" s="1"/>
  <c r="P134" i="1"/>
  <c r="V134" i="1" s="1"/>
  <c r="P135" i="1"/>
  <c r="V135" i="1" s="1"/>
  <c r="P136" i="1"/>
  <c r="V136" i="1" s="1"/>
  <c r="P137" i="1"/>
  <c r="V137" i="1" s="1"/>
  <c r="P138" i="1"/>
  <c r="V138" i="1" s="1"/>
  <c r="P139" i="1"/>
  <c r="V139" i="1" s="1"/>
  <c r="P140" i="1"/>
  <c r="V140" i="1" s="1"/>
  <c r="P141" i="1"/>
  <c r="V141" i="1" s="1"/>
  <c r="P142" i="1"/>
  <c r="V142" i="1" s="1"/>
  <c r="P143" i="1"/>
  <c r="V143" i="1" s="1"/>
  <c r="P144" i="1"/>
  <c r="V144" i="1" s="1"/>
  <c r="P145" i="1"/>
  <c r="V145" i="1" s="1"/>
  <c r="P146" i="1"/>
  <c r="V146" i="1" s="1"/>
  <c r="P147" i="1"/>
  <c r="V147" i="1" s="1"/>
  <c r="P148" i="1"/>
  <c r="V148" i="1" s="1"/>
  <c r="P149" i="1"/>
  <c r="V149" i="1" s="1"/>
  <c r="P150" i="1"/>
  <c r="V150" i="1" s="1"/>
  <c r="P151" i="1"/>
  <c r="V151" i="1" s="1"/>
  <c r="P152" i="1"/>
  <c r="V152" i="1" s="1"/>
  <c r="P153" i="1"/>
  <c r="V153" i="1" s="1"/>
  <c r="P154" i="1"/>
  <c r="V154" i="1" s="1"/>
  <c r="P155" i="1"/>
  <c r="V155" i="1" s="1"/>
  <c r="P156" i="1"/>
  <c r="V156" i="1" s="1"/>
  <c r="P157" i="1"/>
  <c r="V157" i="1" s="1"/>
  <c r="P158" i="1"/>
  <c r="V158" i="1" s="1"/>
  <c r="P159" i="1"/>
  <c r="V159" i="1" s="1"/>
  <c r="P160" i="1"/>
  <c r="V160" i="1" s="1"/>
  <c r="P161" i="1"/>
  <c r="V161" i="1" s="1"/>
  <c r="P162" i="1"/>
  <c r="V162" i="1" s="1"/>
  <c r="P163" i="1"/>
  <c r="V163" i="1" s="1"/>
  <c r="P164" i="1"/>
  <c r="V164" i="1" s="1"/>
  <c r="P165" i="1"/>
  <c r="V165" i="1" s="1"/>
  <c r="P166" i="1"/>
  <c r="V166" i="1" s="1"/>
  <c r="P167" i="1"/>
  <c r="V167" i="1" s="1"/>
  <c r="P168" i="1"/>
  <c r="V168" i="1" s="1"/>
  <c r="P169" i="1"/>
  <c r="V169" i="1" s="1"/>
  <c r="P170" i="1"/>
  <c r="V170" i="1" s="1"/>
  <c r="P171" i="1"/>
  <c r="V171" i="1" s="1"/>
  <c r="P172" i="1"/>
  <c r="V172" i="1" s="1"/>
  <c r="P173" i="1"/>
  <c r="V173" i="1" s="1"/>
  <c r="P174" i="1"/>
  <c r="V174" i="1" s="1"/>
  <c r="P175" i="1"/>
  <c r="V175" i="1" s="1"/>
  <c r="P176" i="1"/>
  <c r="V176" i="1" s="1"/>
  <c r="P177" i="1"/>
  <c r="V177" i="1" s="1"/>
  <c r="P178" i="1"/>
  <c r="V178" i="1" s="1"/>
  <c r="P179" i="1"/>
  <c r="V179" i="1" s="1"/>
  <c r="P180" i="1"/>
  <c r="V180" i="1" s="1"/>
  <c r="P181" i="1"/>
  <c r="V181" i="1" s="1"/>
  <c r="P182" i="1"/>
  <c r="V182" i="1" s="1"/>
  <c r="P183" i="1"/>
  <c r="V183" i="1" s="1"/>
  <c r="P184" i="1"/>
  <c r="V184" i="1" s="1"/>
  <c r="P185" i="1"/>
  <c r="V185" i="1" s="1"/>
  <c r="P186" i="1"/>
  <c r="V186" i="1" s="1"/>
  <c r="P187" i="1"/>
  <c r="V187" i="1" s="1"/>
  <c r="P188" i="1"/>
  <c r="V188" i="1" s="1"/>
  <c r="P189" i="1"/>
  <c r="V189" i="1" s="1"/>
  <c r="P190" i="1"/>
  <c r="V190" i="1" s="1"/>
  <c r="P191" i="1"/>
  <c r="V191" i="1" s="1"/>
  <c r="P192" i="1"/>
  <c r="V192" i="1" s="1"/>
  <c r="P193" i="1"/>
  <c r="V193" i="1" s="1"/>
  <c r="P194" i="1"/>
  <c r="V194" i="1" s="1"/>
  <c r="P195" i="1"/>
  <c r="V195" i="1" s="1"/>
  <c r="P196" i="1"/>
  <c r="V196" i="1" s="1"/>
  <c r="P197" i="1"/>
  <c r="V197" i="1" s="1"/>
  <c r="P198" i="1"/>
  <c r="V198" i="1" s="1"/>
  <c r="P199" i="1"/>
  <c r="V199" i="1" s="1"/>
  <c r="P200" i="1"/>
  <c r="V200" i="1" s="1"/>
  <c r="P201" i="1"/>
  <c r="V201" i="1" s="1"/>
  <c r="P202" i="1"/>
  <c r="V202" i="1" s="1"/>
  <c r="P203" i="1"/>
  <c r="V203" i="1" s="1"/>
  <c r="P204" i="1"/>
  <c r="V204" i="1" s="1"/>
  <c r="P205" i="1"/>
  <c r="V205" i="1" s="1"/>
  <c r="P206" i="1"/>
  <c r="V206" i="1" s="1"/>
  <c r="P207" i="1"/>
  <c r="V207" i="1" s="1"/>
  <c r="P208" i="1"/>
  <c r="V208" i="1" s="1"/>
  <c r="P209" i="1"/>
  <c r="V209" i="1" s="1"/>
  <c r="P210" i="1"/>
  <c r="V210" i="1" s="1"/>
  <c r="P211" i="1"/>
  <c r="V211" i="1" s="1"/>
  <c r="P212" i="1"/>
  <c r="V212" i="1" s="1"/>
  <c r="P213" i="1"/>
  <c r="V213" i="1" s="1"/>
  <c r="P214" i="1"/>
  <c r="V214" i="1" s="1"/>
  <c r="P215" i="1"/>
  <c r="V215" i="1" s="1"/>
  <c r="P216" i="1"/>
  <c r="V216" i="1" s="1"/>
  <c r="P217" i="1"/>
  <c r="V217" i="1" s="1"/>
  <c r="P218" i="1"/>
  <c r="V218" i="1" s="1"/>
  <c r="P219" i="1"/>
  <c r="V219" i="1" s="1"/>
  <c r="P220" i="1"/>
  <c r="V220" i="1" s="1"/>
  <c r="P221" i="1"/>
  <c r="V221" i="1" s="1"/>
  <c r="P222" i="1"/>
  <c r="V222" i="1" s="1"/>
  <c r="P223" i="1"/>
  <c r="V223" i="1" s="1"/>
  <c r="P224" i="1"/>
  <c r="V224" i="1" s="1"/>
  <c r="P225" i="1"/>
  <c r="V225" i="1" s="1"/>
  <c r="P226" i="1"/>
  <c r="V226" i="1" s="1"/>
  <c r="P227" i="1"/>
  <c r="V227" i="1" s="1"/>
  <c r="P228" i="1"/>
  <c r="V228" i="1" s="1"/>
  <c r="P229" i="1"/>
  <c r="V229" i="1" s="1"/>
  <c r="P230" i="1"/>
  <c r="V230" i="1" s="1"/>
  <c r="P231" i="1"/>
  <c r="V231" i="1" s="1"/>
  <c r="P232" i="1"/>
  <c r="V232" i="1" s="1"/>
  <c r="P233" i="1"/>
  <c r="V233" i="1" s="1"/>
  <c r="P234" i="1"/>
  <c r="V234" i="1" s="1"/>
  <c r="P235" i="1"/>
  <c r="V235" i="1" s="1"/>
  <c r="P236" i="1"/>
  <c r="V236" i="1" s="1"/>
  <c r="P237" i="1"/>
  <c r="V237" i="1" s="1"/>
  <c r="P238" i="1"/>
  <c r="V238" i="1" s="1"/>
  <c r="P239" i="1"/>
  <c r="V239" i="1" s="1"/>
  <c r="P240" i="1"/>
  <c r="V240" i="1" s="1"/>
  <c r="P241" i="1"/>
  <c r="V241" i="1" s="1"/>
  <c r="P242" i="1"/>
  <c r="V242" i="1" s="1"/>
  <c r="P243" i="1"/>
  <c r="V243" i="1" s="1"/>
  <c r="P244" i="1"/>
  <c r="V244" i="1" s="1"/>
  <c r="P245" i="1"/>
  <c r="V245" i="1" s="1"/>
  <c r="P246" i="1"/>
  <c r="V246" i="1" s="1"/>
  <c r="P247" i="1"/>
  <c r="V247" i="1" s="1"/>
  <c r="P248" i="1"/>
  <c r="V248" i="1" s="1"/>
  <c r="P249" i="1"/>
  <c r="V249" i="1" s="1"/>
  <c r="P250" i="1"/>
  <c r="V250" i="1" s="1"/>
  <c r="P251" i="1"/>
  <c r="V251" i="1" s="1"/>
  <c r="P252" i="1"/>
  <c r="V252" i="1" s="1"/>
  <c r="P253" i="1"/>
  <c r="V253" i="1" s="1"/>
  <c r="P254" i="1"/>
  <c r="V254" i="1" s="1"/>
  <c r="P255" i="1"/>
  <c r="V255" i="1" s="1"/>
  <c r="P256" i="1"/>
  <c r="V256" i="1" s="1"/>
  <c r="P257" i="1"/>
  <c r="V257" i="1" s="1"/>
  <c r="P258" i="1"/>
  <c r="V258" i="1" s="1"/>
  <c r="P259" i="1"/>
  <c r="V259" i="1" s="1"/>
  <c r="P260" i="1"/>
  <c r="V260" i="1" s="1"/>
  <c r="P261" i="1"/>
  <c r="V261" i="1" s="1"/>
  <c r="P262" i="1"/>
  <c r="V262" i="1" s="1"/>
  <c r="P263" i="1"/>
  <c r="V263" i="1" s="1"/>
  <c r="P264" i="1"/>
  <c r="V264" i="1" s="1"/>
  <c r="P265" i="1"/>
  <c r="V265" i="1" s="1"/>
  <c r="P266" i="1"/>
  <c r="V266" i="1" s="1"/>
  <c r="P267" i="1"/>
  <c r="V267" i="1" s="1"/>
  <c r="P268" i="1"/>
  <c r="V268" i="1" s="1"/>
  <c r="P269" i="1"/>
  <c r="V269" i="1" s="1"/>
  <c r="P270" i="1"/>
  <c r="V270" i="1" s="1"/>
  <c r="P271" i="1"/>
  <c r="V271" i="1" s="1"/>
  <c r="P272" i="1"/>
  <c r="V272" i="1" s="1"/>
  <c r="P273" i="1"/>
  <c r="V273" i="1" s="1"/>
  <c r="P274" i="1"/>
  <c r="V274" i="1" s="1"/>
  <c r="P275" i="1"/>
  <c r="V275" i="1" s="1"/>
  <c r="P276" i="1"/>
  <c r="V276" i="1" s="1"/>
  <c r="P277" i="1"/>
  <c r="V277" i="1" s="1"/>
  <c r="P278" i="1"/>
  <c r="V278" i="1" s="1"/>
  <c r="P279" i="1"/>
  <c r="V279" i="1" s="1"/>
  <c r="P280" i="1"/>
  <c r="V280" i="1" s="1"/>
  <c r="P281" i="1"/>
  <c r="V281" i="1" s="1"/>
  <c r="P282" i="1"/>
  <c r="V282" i="1" s="1"/>
  <c r="P283" i="1"/>
  <c r="V283" i="1" s="1"/>
  <c r="P284" i="1"/>
  <c r="V284" i="1" s="1"/>
  <c r="P285" i="1"/>
  <c r="V285" i="1" s="1"/>
  <c r="P286" i="1"/>
  <c r="V286" i="1" s="1"/>
  <c r="P287" i="1"/>
  <c r="V287" i="1" s="1"/>
  <c r="P288" i="1"/>
  <c r="V288" i="1" s="1"/>
  <c r="P289" i="1"/>
  <c r="V289" i="1" s="1"/>
  <c r="P290" i="1"/>
  <c r="V290" i="1" s="1"/>
  <c r="P291" i="1"/>
  <c r="V291" i="1" s="1"/>
  <c r="P292" i="1"/>
  <c r="V292" i="1" s="1"/>
  <c r="P293" i="1"/>
  <c r="V293" i="1" s="1"/>
  <c r="P294" i="1"/>
  <c r="V294" i="1" s="1"/>
  <c r="P295" i="1"/>
  <c r="V295" i="1" s="1"/>
  <c r="P296" i="1"/>
  <c r="V296" i="1" s="1"/>
  <c r="P297" i="1"/>
  <c r="V297" i="1" s="1"/>
  <c r="P298" i="1"/>
  <c r="V298" i="1" s="1"/>
  <c r="P299" i="1"/>
  <c r="V299" i="1" s="1"/>
  <c r="P300" i="1"/>
  <c r="V300" i="1" s="1"/>
  <c r="P301" i="1"/>
  <c r="V301" i="1" s="1"/>
  <c r="P302" i="1"/>
  <c r="V302" i="1" s="1"/>
  <c r="P303" i="1"/>
  <c r="V303" i="1" s="1"/>
  <c r="P304" i="1"/>
  <c r="V304" i="1" s="1"/>
  <c r="P305" i="1"/>
  <c r="V305" i="1" s="1"/>
  <c r="P306" i="1"/>
  <c r="V306" i="1" s="1"/>
  <c r="P307" i="1"/>
  <c r="V307" i="1" s="1"/>
  <c r="P308" i="1"/>
  <c r="V308" i="1" s="1"/>
  <c r="P309" i="1"/>
  <c r="V309" i="1" s="1"/>
  <c r="P310" i="1"/>
  <c r="V310" i="1" s="1"/>
  <c r="P311" i="1"/>
  <c r="V311" i="1" s="1"/>
  <c r="P312" i="1"/>
  <c r="V312" i="1" s="1"/>
  <c r="P313" i="1"/>
  <c r="V313" i="1" s="1"/>
  <c r="P314" i="1"/>
  <c r="V314" i="1" s="1"/>
  <c r="P315" i="1"/>
  <c r="V315" i="1" s="1"/>
  <c r="P316" i="1"/>
  <c r="V316" i="1" s="1"/>
  <c r="P317" i="1"/>
  <c r="V317" i="1" s="1"/>
  <c r="P318" i="1"/>
  <c r="V318" i="1" s="1"/>
  <c r="P319" i="1"/>
  <c r="V319" i="1" s="1"/>
  <c r="P320" i="1"/>
  <c r="V320" i="1" s="1"/>
  <c r="P321" i="1"/>
  <c r="V321" i="1" s="1"/>
  <c r="P322" i="1"/>
  <c r="V322" i="1" s="1"/>
  <c r="P323" i="1"/>
  <c r="V323" i="1" s="1"/>
  <c r="P324" i="1"/>
  <c r="V324" i="1" s="1"/>
  <c r="P325" i="1"/>
  <c r="V325" i="1" s="1"/>
  <c r="P326" i="1"/>
  <c r="V326" i="1" s="1"/>
  <c r="P327" i="1"/>
  <c r="V327" i="1" s="1"/>
  <c r="P328" i="1"/>
  <c r="V328" i="1" s="1"/>
  <c r="P329" i="1"/>
  <c r="V329" i="1" s="1"/>
  <c r="P330" i="1"/>
  <c r="V330" i="1" s="1"/>
  <c r="P331" i="1"/>
  <c r="V331" i="1" s="1"/>
  <c r="P332" i="1"/>
  <c r="V332" i="1" s="1"/>
  <c r="P333" i="1"/>
  <c r="V333" i="1" s="1"/>
  <c r="P334" i="1"/>
  <c r="V334" i="1" s="1"/>
  <c r="P335" i="1"/>
  <c r="V335" i="1" s="1"/>
  <c r="P336" i="1"/>
  <c r="V336" i="1" s="1"/>
  <c r="P337" i="1"/>
  <c r="V337" i="1" s="1"/>
  <c r="P338" i="1"/>
  <c r="V338" i="1" s="1"/>
  <c r="P339" i="1"/>
  <c r="V339" i="1" s="1"/>
  <c r="P340" i="1"/>
  <c r="V340" i="1" s="1"/>
  <c r="P341" i="1"/>
  <c r="V341" i="1" s="1"/>
  <c r="P342" i="1"/>
  <c r="V342" i="1" s="1"/>
  <c r="P343" i="1"/>
  <c r="V343" i="1" s="1"/>
  <c r="P344" i="1"/>
  <c r="V344" i="1" s="1"/>
  <c r="P345" i="1"/>
  <c r="V345" i="1" s="1"/>
  <c r="P346" i="1"/>
  <c r="V346" i="1" s="1"/>
  <c r="P347" i="1"/>
  <c r="V347" i="1" s="1"/>
  <c r="P348" i="1"/>
  <c r="V348" i="1" s="1"/>
  <c r="P349" i="1"/>
  <c r="V349" i="1" s="1"/>
  <c r="P350" i="1"/>
  <c r="V350" i="1" s="1"/>
  <c r="P351" i="1"/>
  <c r="V351" i="1" s="1"/>
  <c r="P352" i="1"/>
  <c r="V352" i="1" s="1"/>
  <c r="P353" i="1"/>
  <c r="V353" i="1" s="1"/>
  <c r="P354" i="1"/>
  <c r="V354" i="1" s="1"/>
  <c r="P355" i="1"/>
  <c r="V355" i="1" s="1"/>
  <c r="P356" i="1"/>
  <c r="V356" i="1" s="1"/>
  <c r="P357" i="1"/>
  <c r="V357" i="1" s="1"/>
  <c r="P358" i="1"/>
  <c r="V358" i="1" s="1"/>
  <c r="P359" i="1"/>
  <c r="V359" i="1" s="1"/>
  <c r="P360" i="1"/>
  <c r="V360" i="1" s="1"/>
  <c r="P361" i="1"/>
  <c r="V361" i="1" s="1"/>
  <c r="P362" i="1"/>
  <c r="V362" i="1" s="1"/>
  <c r="P363" i="1"/>
  <c r="V363" i="1" s="1"/>
  <c r="P364" i="1"/>
  <c r="V364" i="1" s="1"/>
  <c r="P365" i="1"/>
  <c r="V365" i="1" s="1"/>
  <c r="P366" i="1"/>
  <c r="V366" i="1" s="1"/>
  <c r="P367" i="1"/>
  <c r="V367" i="1" s="1"/>
  <c r="P368" i="1"/>
  <c r="V368" i="1" s="1"/>
  <c r="P369" i="1"/>
  <c r="V369" i="1" s="1"/>
  <c r="P370" i="1"/>
  <c r="V370" i="1" s="1"/>
  <c r="P371" i="1"/>
  <c r="V371" i="1" s="1"/>
  <c r="P372" i="1"/>
  <c r="V372" i="1" s="1"/>
  <c r="P373" i="1"/>
  <c r="V373" i="1" s="1"/>
  <c r="P374" i="1"/>
  <c r="V374" i="1" s="1"/>
  <c r="P375" i="1"/>
  <c r="V375" i="1" s="1"/>
  <c r="P376" i="1"/>
  <c r="V376" i="1" s="1"/>
  <c r="P377" i="1"/>
  <c r="V377" i="1" s="1"/>
  <c r="P378" i="1"/>
  <c r="V378" i="1" s="1"/>
  <c r="P379" i="1"/>
  <c r="V379" i="1" s="1"/>
  <c r="P380" i="1"/>
  <c r="V380" i="1" s="1"/>
  <c r="P381" i="1"/>
  <c r="V381" i="1" s="1"/>
  <c r="P382" i="1"/>
  <c r="V382" i="1" s="1"/>
  <c r="P383" i="1"/>
  <c r="V383" i="1" s="1"/>
  <c r="P384" i="1"/>
  <c r="V384" i="1" s="1"/>
  <c r="P385" i="1"/>
  <c r="V385" i="1" s="1"/>
  <c r="P386" i="1"/>
  <c r="V386" i="1" s="1"/>
  <c r="P387" i="1"/>
  <c r="V387" i="1" s="1"/>
  <c r="P388" i="1"/>
  <c r="V388" i="1" s="1"/>
  <c r="P389" i="1"/>
  <c r="V389" i="1" s="1"/>
  <c r="P390" i="1"/>
  <c r="V390" i="1" s="1"/>
  <c r="P391" i="1"/>
  <c r="V391" i="1" s="1"/>
  <c r="P392" i="1"/>
  <c r="V392" i="1" s="1"/>
  <c r="P393" i="1"/>
  <c r="V393" i="1" s="1"/>
  <c r="P394" i="1"/>
  <c r="V394" i="1" s="1"/>
  <c r="P395" i="1"/>
  <c r="V395" i="1" s="1"/>
  <c r="P396" i="1"/>
  <c r="V396" i="1" s="1"/>
  <c r="P397" i="1"/>
  <c r="V397" i="1" s="1"/>
  <c r="P398" i="1"/>
  <c r="V398" i="1" s="1"/>
  <c r="P399" i="1"/>
  <c r="V399" i="1" s="1"/>
  <c r="P400" i="1"/>
  <c r="V400" i="1" s="1"/>
  <c r="P401" i="1"/>
  <c r="V401" i="1" s="1"/>
  <c r="P402" i="1"/>
  <c r="V402" i="1" s="1"/>
  <c r="P403" i="1"/>
  <c r="V403" i="1" s="1"/>
  <c r="P404" i="1"/>
  <c r="V404" i="1" s="1"/>
  <c r="P405" i="1"/>
  <c r="V405" i="1" s="1"/>
  <c r="P406" i="1"/>
  <c r="V406" i="1" s="1"/>
  <c r="P407" i="1"/>
  <c r="V407" i="1" s="1"/>
  <c r="P408" i="1"/>
  <c r="V408" i="1" s="1"/>
  <c r="P409" i="1"/>
  <c r="V409" i="1" s="1"/>
  <c r="P410" i="1"/>
  <c r="V410" i="1" s="1"/>
  <c r="P411" i="1"/>
  <c r="V411" i="1" s="1"/>
  <c r="P412" i="1"/>
  <c r="V412" i="1" s="1"/>
  <c r="P413" i="1"/>
  <c r="V413" i="1" s="1"/>
  <c r="P414" i="1"/>
  <c r="V414" i="1" s="1"/>
  <c r="P415" i="1"/>
  <c r="V415" i="1" s="1"/>
  <c r="P416" i="1"/>
  <c r="V416" i="1" s="1"/>
  <c r="P417" i="1"/>
  <c r="V417" i="1" s="1"/>
  <c r="P418" i="1"/>
  <c r="V418" i="1" s="1"/>
  <c r="P419" i="1"/>
  <c r="V419" i="1" s="1"/>
  <c r="P420" i="1"/>
  <c r="V420" i="1" s="1"/>
  <c r="P421" i="1"/>
  <c r="V421" i="1" s="1"/>
  <c r="P422" i="1"/>
  <c r="V422" i="1" s="1"/>
  <c r="P423" i="1"/>
  <c r="V423" i="1" s="1"/>
  <c r="P424" i="1"/>
  <c r="V424" i="1" s="1"/>
  <c r="P425" i="1"/>
  <c r="V425" i="1" s="1"/>
  <c r="P426" i="1"/>
  <c r="V426" i="1" s="1"/>
  <c r="P427" i="1"/>
  <c r="V427" i="1" s="1"/>
  <c r="P428" i="1"/>
  <c r="V428" i="1" s="1"/>
  <c r="P429" i="1"/>
  <c r="V429" i="1" s="1"/>
  <c r="P430" i="1"/>
  <c r="V430" i="1" s="1"/>
  <c r="P431" i="1"/>
  <c r="V431" i="1" s="1"/>
  <c r="P432" i="1"/>
  <c r="V432" i="1" s="1"/>
  <c r="P433" i="1"/>
  <c r="V433" i="1" s="1"/>
  <c r="P434" i="1"/>
  <c r="V434" i="1" s="1"/>
  <c r="P435" i="1"/>
  <c r="V435" i="1" s="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2" i="1"/>
</calcChain>
</file>

<file path=xl/sharedStrings.xml><?xml version="1.0" encoding="utf-8"?>
<sst xmlns="http://schemas.openxmlformats.org/spreadsheetml/2006/main" count="4337" uniqueCount="911">
  <si>
    <t>OrderID</t>
  </si>
  <si>
    <t>CustomerID</t>
  </si>
  <si>
    <t>SalesRepID</t>
  </si>
  <si>
    <t>SalesRepName</t>
  </si>
  <si>
    <t>Date</t>
  </si>
  <si>
    <t>Time</t>
  </si>
  <si>
    <t>Product</t>
  </si>
  <si>
    <t>OrderQuantity</t>
  </si>
  <si>
    <t>UnitPrice</t>
  </si>
  <si>
    <t>SalesRepEmail</t>
  </si>
  <si>
    <t>Feedback</t>
  </si>
  <si>
    <t>ORD-00001</t>
  </si>
  <si>
    <t>CUST-754</t>
  </si>
  <si>
    <t>REP-13</t>
  </si>
  <si>
    <t>Ahmed Khan</t>
  </si>
  <si>
    <t>Laptop</t>
  </si>
  <si>
    <t>Computers</t>
  </si>
  <si>
    <t>ahmedkhan@tg.inc</t>
  </si>
  <si>
    <t>Excellent quality</t>
  </si>
  <si>
    <t>ORD-00002</t>
  </si>
  <si>
    <t>CUST-529</t>
  </si>
  <si>
    <t>REP-17</t>
  </si>
  <si>
    <t>Maria Garcia</t>
  </si>
  <si>
    <t>Smartphone</t>
  </si>
  <si>
    <t>Mobile Devices</t>
  </si>
  <si>
    <t>Asia</t>
  </si>
  <si>
    <t>mariagarcia@tg.inc</t>
  </si>
  <si>
    <t>Fast delivery</t>
  </si>
  <si>
    <t>ORD-00003</t>
  </si>
  <si>
    <t>CUST-649</t>
  </si>
  <si>
    <t>Tablet</t>
  </si>
  <si>
    <t>Tablets</t>
  </si>
  <si>
    <t>Europe</t>
  </si>
  <si>
    <t>ahmedkhan@sales.techg.com</t>
  </si>
  <si>
    <t>Good value for money</t>
  </si>
  <si>
    <t>ORD-00004</t>
  </si>
  <si>
    <t>CUST-266</t>
  </si>
  <si>
    <t>REP-22</t>
  </si>
  <si>
    <t>Fatima Adebayo</t>
  </si>
  <si>
    <t>South America</t>
  </si>
  <si>
    <t>fatimaadebayo@sales.techg.com</t>
  </si>
  <si>
    <t>Very satisfied</t>
  </si>
  <si>
    <t>ORD-00005</t>
  </si>
  <si>
    <t>CUST-334</t>
  </si>
  <si>
    <t>REP-11</t>
  </si>
  <si>
    <t>Emma Dubois</t>
  </si>
  <si>
    <t>Smartwatch</t>
  </si>
  <si>
    <t>Wearables</t>
  </si>
  <si>
    <t>emmadubois@techgadgetsco.com</t>
  </si>
  <si>
    <t>ORD-00006</t>
  </si>
  <si>
    <t>CUST-470</t>
  </si>
  <si>
    <t>North America</t>
  </si>
  <si>
    <t>mariagarcia@techgadgetsco.com</t>
  </si>
  <si>
    <t>ORD-00007</t>
  </si>
  <si>
    <t>CUST-838</t>
  </si>
  <si>
    <t>Africa</t>
  </si>
  <si>
    <t>ORD-00008</t>
  </si>
  <si>
    <t>CUST-482</t>
  </si>
  <si>
    <t>REP-15</t>
  </si>
  <si>
    <t>Sophie Lee</t>
  </si>
  <si>
    <t>sophielee@sales.techg.com</t>
  </si>
  <si>
    <t>ORD-00009</t>
  </si>
  <si>
    <t>CUST-878</t>
  </si>
  <si>
    <t>REP-33</t>
  </si>
  <si>
    <t>ORD-00010</t>
  </si>
  <si>
    <t>CUST-330</t>
  </si>
  <si>
    <t>REP-12</t>
  </si>
  <si>
    <t>Olivia Patel</t>
  </si>
  <si>
    <t>oliviapatel@tg.inc</t>
  </si>
  <si>
    <t>Packaging was damaged</t>
  </si>
  <si>
    <t>ORD-00011</t>
  </si>
  <si>
    <t>CUST-690</t>
  </si>
  <si>
    <t>REP-29</t>
  </si>
  <si>
    <t>Headphones</t>
  </si>
  <si>
    <t>Audio</t>
  </si>
  <si>
    <t>sophielee@tg.inc</t>
  </si>
  <si>
    <t>ORD-00012</t>
  </si>
  <si>
    <t>CUST-532</t>
  </si>
  <si>
    <t>ORD-00013</t>
  </si>
  <si>
    <t>CUST-510</t>
  </si>
  <si>
    <t>emmadubois@tg.inc</t>
  </si>
  <si>
    <t>ORD-00014</t>
  </si>
  <si>
    <t>CUST-865</t>
  </si>
  <si>
    <t>REP-21</t>
  </si>
  <si>
    <t>fatimaadebayo@tg.inc</t>
  </si>
  <si>
    <t>ORD-00015</t>
  </si>
  <si>
    <t>CUST-708</t>
  </si>
  <si>
    <t>emmadubois@sales.techg.com</t>
  </si>
  <si>
    <t>Perfect fit</t>
  </si>
  <si>
    <t>ORD-00016</t>
  </si>
  <si>
    <t>CUST-569</t>
  </si>
  <si>
    <t>REP-35</t>
  </si>
  <si>
    <t>Carlos Rodriguez</t>
  </si>
  <si>
    <t>carlosrodriguez@tg.inc</t>
  </si>
  <si>
    <t>ORD-00017</t>
  </si>
  <si>
    <t>CUST-108</t>
  </si>
  <si>
    <t>Battery life amazing</t>
  </si>
  <si>
    <t>ORD-00018</t>
  </si>
  <si>
    <t>CUST-749</t>
  </si>
  <si>
    <t>REP-24</t>
  </si>
  <si>
    <t>Liam Chen</t>
  </si>
  <si>
    <t>liamchen@sales.techg.com</t>
  </si>
  <si>
    <t>A bit expensive but worth it</t>
  </si>
  <si>
    <t>ORD-00019</t>
  </si>
  <si>
    <t>CUST-251</t>
  </si>
  <si>
    <t>liamchen@techgadgetsco.com</t>
  </si>
  <si>
    <t>ORD-00020</t>
  </si>
  <si>
    <t>CUST-919</t>
  </si>
  <si>
    <t>ORD-00021</t>
  </si>
  <si>
    <t>CUST-412</t>
  </si>
  <si>
    <t>ORD-00022</t>
  </si>
  <si>
    <t>CUST-211</t>
  </si>
  <si>
    <t>carlosrodriguez@techgadgetsco.com</t>
  </si>
  <si>
    <t>ORD-00023</t>
  </si>
  <si>
    <t>CUST-438</t>
  </si>
  <si>
    <t>Fantastic customer service</t>
  </si>
  <si>
    <t>ORD-00024</t>
  </si>
  <si>
    <t>CUST-100</t>
  </si>
  <si>
    <t>REP-20</t>
  </si>
  <si>
    <t>ORD-00025</t>
  </si>
  <si>
    <t>CUST-417</t>
  </si>
  <si>
    <t>ORD-00026</t>
  </si>
  <si>
    <t>CUST-981</t>
  </si>
  <si>
    <t>Great product</t>
  </si>
  <si>
    <t>ORD-00027</t>
  </si>
  <si>
    <t>CUST-836</t>
  </si>
  <si>
    <t>REP-32</t>
  </si>
  <si>
    <t>ORD-00028</t>
  </si>
  <si>
    <t>CUST-182</t>
  </si>
  <si>
    <t>REP-14</t>
  </si>
  <si>
    <t>ORD-00029</t>
  </si>
  <si>
    <t>CUST-106</t>
  </si>
  <si>
    <t>Highly recommend</t>
  </si>
  <si>
    <t>ORD-00030</t>
  </si>
  <si>
    <t>CUST-737</t>
  </si>
  <si>
    <t>ORD-00031</t>
  </si>
  <si>
    <t>CUST-954</t>
  </si>
  <si>
    <t>ORD-00032</t>
  </si>
  <si>
    <t>CUST-323</t>
  </si>
  <si>
    <t>REP-28</t>
  </si>
  <si>
    <t>ORD-00033</t>
  </si>
  <si>
    <t>CUST-807</t>
  </si>
  <si>
    <t>ORD-00034</t>
  </si>
  <si>
    <t>mariagarcia@sales.techg.com</t>
  </si>
  <si>
    <t>ORD-00035</t>
  </si>
  <si>
    <t>CUST-349</t>
  </si>
  <si>
    <t>ORD-00036</t>
  </si>
  <si>
    <t>CUST-876</t>
  </si>
  <si>
    <t>ORD-00037</t>
  </si>
  <si>
    <t>CUST-336</t>
  </si>
  <si>
    <t>ORD-00038</t>
  </si>
  <si>
    <t>CUST-646</t>
  </si>
  <si>
    <t>Quick shipping</t>
  </si>
  <si>
    <t>ORD-00039</t>
  </si>
  <si>
    <t>CUST-166</t>
  </si>
  <si>
    <t>REP-23</t>
  </si>
  <si>
    <t>Noah Kim</t>
  </si>
  <si>
    <t>noahkim@sales.techg.com</t>
  </si>
  <si>
    <t>Love the design</t>
  </si>
  <si>
    <t>ORD-00040</t>
  </si>
  <si>
    <t>CUST-702</t>
  </si>
  <si>
    <t>ORD-00041</t>
  </si>
  <si>
    <t>CUST-819</t>
  </si>
  <si>
    <t>ORD-00042</t>
  </si>
  <si>
    <t>CUST-944</t>
  </si>
  <si>
    <t>REP-34</t>
  </si>
  <si>
    <t>ORD-00043</t>
  </si>
  <si>
    <t>ORD-00044</t>
  </si>
  <si>
    <t>CUST-978</t>
  </si>
  <si>
    <t>ORD-00045</t>
  </si>
  <si>
    <t>CUST-573</t>
  </si>
  <si>
    <t>ORD-00046</t>
  </si>
  <si>
    <t>CUST-517</t>
  </si>
  <si>
    <t>oliviapatel@techgadgetsco.com</t>
  </si>
  <si>
    <t>ORD-00047</t>
  </si>
  <si>
    <t>CUST-239</t>
  </si>
  <si>
    <t>ORD-00048</t>
  </si>
  <si>
    <t>CUST-429</t>
  </si>
  <si>
    <t>REP-16</t>
  </si>
  <si>
    <t>ORD-00049</t>
  </si>
  <si>
    <t>CUST-704</t>
  </si>
  <si>
    <t>ORD-00050</t>
  </si>
  <si>
    <t>CUST-979</t>
  </si>
  <si>
    <t>ORD-00051</t>
  </si>
  <si>
    <t>CUST-147</t>
  </si>
  <si>
    <t>ORD-00052</t>
  </si>
  <si>
    <t>CUST-753</t>
  </si>
  <si>
    <t>REP-18</t>
  </si>
  <si>
    <t>ORD-00053</t>
  </si>
  <si>
    <t>CUST-973</t>
  </si>
  <si>
    <t>ORD-00054</t>
  </si>
  <si>
    <t>CUST-393</t>
  </si>
  <si>
    <t>ORD-00055</t>
  </si>
  <si>
    <t>CUST-905</t>
  </si>
  <si>
    <t>ORD-00056</t>
  </si>
  <si>
    <t>CUST-966</t>
  </si>
  <si>
    <t>ORD-00057</t>
  </si>
  <si>
    <t>CUST-435</t>
  </si>
  <si>
    <t>carlosrodriguez@sales.techg.com</t>
  </si>
  <si>
    <t>ORD-00058</t>
  </si>
  <si>
    <t>CUST-813</t>
  </si>
  <si>
    <t>ORD-00059</t>
  </si>
  <si>
    <t>CUST-760</t>
  </si>
  <si>
    <t>ORD-00060</t>
  </si>
  <si>
    <t>CUST-321</t>
  </si>
  <si>
    <t>ORD-00061</t>
  </si>
  <si>
    <t>CUST-531</t>
  </si>
  <si>
    <t>ORD-00062</t>
  </si>
  <si>
    <t>CUST-590</t>
  </si>
  <si>
    <t>ORD-00063</t>
  </si>
  <si>
    <t>CUST-617</t>
  </si>
  <si>
    <t>ORD-00064</t>
  </si>
  <si>
    <t>CUST-256</t>
  </si>
  <si>
    <t>Not as expected</t>
  </si>
  <si>
    <t>ORD-00065</t>
  </si>
  <si>
    <t>CUST-714</t>
  </si>
  <si>
    <t>ORD-00066</t>
  </si>
  <si>
    <t>CUST-129</t>
  </si>
  <si>
    <t>ORD-00067</t>
  </si>
  <si>
    <t>CUST-895</t>
  </si>
  <si>
    <t>ORD-00068</t>
  </si>
  <si>
    <t>CUST-707</t>
  </si>
  <si>
    <t>sophielee@techgadgetsco.com</t>
  </si>
  <si>
    <t>ORD-00069</t>
  </si>
  <si>
    <t>CUST-672</t>
  </si>
  <si>
    <t>ORD-00070</t>
  </si>
  <si>
    <t>ORD-00071</t>
  </si>
  <si>
    <t>CUST-459</t>
  </si>
  <si>
    <t>ORD-00072</t>
  </si>
  <si>
    <t>CUST-169</t>
  </si>
  <si>
    <t>Would buy again</t>
  </si>
  <si>
    <t>ORD-00073</t>
  </si>
  <si>
    <t>CUST-667</t>
  </si>
  <si>
    <t>ORD-00074</t>
  </si>
  <si>
    <t>CUST-635</t>
  </si>
  <si>
    <t>ORD-00075</t>
  </si>
  <si>
    <t>CUST-994</t>
  </si>
  <si>
    <t>ORD-00076</t>
  </si>
  <si>
    <t>CUST-118</t>
  </si>
  <si>
    <t>ORD-00077</t>
  </si>
  <si>
    <t>CUST-234</t>
  </si>
  <si>
    <t>ORD-00078</t>
  </si>
  <si>
    <t>CUST-344</t>
  </si>
  <si>
    <t>ORD-00079</t>
  </si>
  <si>
    <t>CUST-205</t>
  </si>
  <si>
    <t>ORD-00080</t>
  </si>
  <si>
    <t>CUST-183</t>
  </si>
  <si>
    <t>ORD-00081</t>
  </si>
  <si>
    <t>CUST-320</t>
  </si>
  <si>
    <t>ORD-00082</t>
  </si>
  <si>
    <t>CUST-398</t>
  </si>
  <si>
    <t>ORD-00083</t>
  </si>
  <si>
    <t>noahkim@tg.inc</t>
  </si>
  <si>
    <t>ORD-00084</t>
  </si>
  <si>
    <t>CUST-238</t>
  </si>
  <si>
    <t>ORD-00085</t>
  </si>
  <si>
    <t>CUST-439</t>
  </si>
  <si>
    <t>ORD-00086</t>
  </si>
  <si>
    <t>CUST-428</t>
  </si>
  <si>
    <t>ORD-00087</t>
  </si>
  <si>
    <t>CUST-920</t>
  </si>
  <si>
    <t>ORD-00088</t>
  </si>
  <si>
    <t>CUST-475</t>
  </si>
  <si>
    <t>ORD-00089</t>
  </si>
  <si>
    <t>CUST-276</t>
  </si>
  <si>
    <t>ORD-00090</t>
  </si>
  <si>
    <t>CUST-469</t>
  </si>
  <si>
    <t>ORD-00091</t>
  </si>
  <si>
    <t>CUST-999</t>
  </si>
  <si>
    <t>ORD-00092</t>
  </si>
  <si>
    <t>CUST-750</t>
  </si>
  <si>
    <t>ORD-00093</t>
  </si>
  <si>
    <t>CUST-756</t>
  </si>
  <si>
    <t>ORD-00094</t>
  </si>
  <si>
    <t>CUST-525</t>
  </si>
  <si>
    <t>ORD-00095</t>
  </si>
  <si>
    <t>CUST-397</t>
  </si>
  <si>
    <t>ORD-00096</t>
  </si>
  <si>
    <t>ORD-00097</t>
  </si>
  <si>
    <t>CUST-395</t>
  </si>
  <si>
    <t>ORD-00098</t>
  </si>
  <si>
    <t>CUST-146</t>
  </si>
  <si>
    <t>ORD-00099</t>
  </si>
  <si>
    <t>CUST-676</t>
  </si>
  <si>
    <t>ORD-00100</t>
  </si>
  <si>
    <t>CUST-744</t>
  </si>
  <si>
    <t>ORD-00101</t>
  </si>
  <si>
    <t>CUST-778</t>
  </si>
  <si>
    <t>ORD-00102</t>
  </si>
  <si>
    <t>ORD-00103</t>
  </si>
  <si>
    <t>CUST-552</t>
  </si>
  <si>
    <t>ORD-00104</t>
  </si>
  <si>
    <t>CUST-834</t>
  </si>
  <si>
    <t>ORD-00105</t>
  </si>
  <si>
    <t>CUST-647</t>
  </si>
  <si>
    <t>ORD-00106</t>
  </si>
  <si>
    <t>CUST-605</t>
  </si>
  <si>
    <t>ORD-00107</t>
  </si>
  <si>
    <t>CUST-946</t>
  </si>
  <si>
    <t>ORD-00108</t>
  </si>
  <si>
    <t>CUST-783</t>
  </si>
  <si>
    <t>ORD-00109</t>
  </si>
  <si>
    <t>CUST-662</t>
  </si>
  <si>
    <t>ORD-00110</t>
  </si>
  <si>
    <t>CUST-310</t>
  </si>
  <si>
    <t>ORD-00111</t>
  </si>
  <si>
    <t>CUST-165</t>
  </si>
  <si>
    <t>ORD-00112</t>
  </si>
  <si>
    <t>CUST-652</t>
  </si>
  <si>
    <t>ORD-00113</t>
  </si>
  <si>
    <t>CUST-382</t>
  </si>
  <si>
    <t>ORD-00114</t>
  </si>
  <si>
    <t>CUST-322</t>
  </si>
  <si>
    <t>ORD-00115</t>
  </si>
  <si>
    <t>CUST-705</t>
  </si>
  <si>
    <t>ORD-00116</t>
  </si>
  <si>
    <t>CUST-247</t>
  </si>
  <si>
    <t>ORD-00117</t>
  </si>
  <si>
    <t>CUST-140</t>
  </si>
  <si>
    <t>ORD-00118</t>
  </si>
  <si>
    <t>CUST-506</t>
  </si>
  <si>
    <t>ORD-00119</t>
  </si>
  <si>
    <t>ORD-00120</t>
  </si>
  <si>
    <t>CUST-757</t>
  </si>
  <si>
    <t>ORD-00121</t>
  </si>
  <si>
    <t>ORD-00122</t>
  </si>
  <si>
    <t>CUST-117</t>
  </si>
  <si>
    <t>ORD-00123</t>
  </si>
  <si>
    <t>CUST-968</t>
  </si>
  <si>
    <t>ORD-00124</t>
  </si>
  <si>
    <t>CUST-640</t>
  </si>
  <si>
    <t>ORD-00125</t>
  </si>
  <si>
    <t>CUST-507</t>
  </si>
  <si>
    <t>ORD-00126</t>
  </si>
  <si>
    <t>CUST-448</t>
  </si>
  <si>
    <t>ORD-00127</t>
  </si>
  <si>
    <t>CUST-175</t>
  </si>
  <si>
    <t>ORD-00128</t>
  </si>
  <si>
    <t>ORD-00129</t>
  </si>
  <si>
    <t>CUST-242</t>
  </si>
  <si>
    <t>ORD-00130</t>
  </si>
  <si>
    <t>CUST-505</t>
  </si>
  <si>
    <t>ORD-00131</t>
  </si>
  <si>
    <t>CUST-900</t>
  </si>
  <si>
    <t>ORD-00132</t>
  </si>
  <si>
    <t>CUST-951</t>
  </si>
  <si>
    <t>ORD-00133</t>
  </si>
  <si>
    <t>CUST-137</t>
  </si>
  <si>
    <t>ORD-00134</t>
  </si>
  <si>
    <t>CUST-631</t>
  </si>
  <si>
    <t>ORD-00135</t>
  </si>
  <si>
    <t>CUST-633</t>
  </si>
  <si>
    <t>ORD-00136</t>
  </si>
  <si>
    <t>CUST-665</t>
  </si>
  <si>
    <t>ORD-00137</t>
  </si>
  <si>
    <t>CUST-870</t>
  </si>
  <si>
    <t>ORD-00138</t>
  </si>
  <si>
    <t>CUST-789</t>
  </si>
  <si>
    <t>ORD-00139</t>
  </si>
  <si>
    <t>CUST-277</t>
  </si>
  <si>
    <t>ORD-00140</t>
  </si>
  <si>
    <t>CUST-554</t>
  </si>
  <si>
    <t>ORD-00141</t>
  </si>
  <si>
    <t>CUST-943</t>
  </si>
  <si>
    <t>ORD-00142</t>
  </si>
  <si>
    <t>ORD-00143</t>
  </si>
  <si>
    <t>CUST-795</t>
  </si>
  <si>
    <t>ORD-00144</t>
  </si>
  <si>
    <t>CUST-913</t>
  </si>
  <si>
    <t>ORD-00145</t>
  </si>
  <si>
    <t>CUST-539</t>
  </si>
  <si>
    <t>ORD-00146</t>
  </si>
  <si>
    <t>ORD-00147</t>
  </si>
  <si>
    <t>CUST-318</t>
  </si>
  <si>
    <t>ORD-00148</t>
  </si>
  <si>
    <t>CUST-406</t>
  </si>
  <si>
    <t>ORD-00149</t>
  </si>
  <si>
    <t>CUST-703</t>
  </si>
  <si>
    <t>ORD-00150</t>
  </si>
  <si>
    <t>CUST-501</t>
  </si>
  <si>
    <t>ORD-00151</t>
  </si>
  <si>
    <t>CUST-888</t>
  </si>
  <si>
    <t>ORD-00152</t>
  </si>
  <si>
    <t>CUST-308</t>
  </si>
  <si>
    <t>ORD-00153</t>
  </si>
  <si>
    <t>CUST-222</t>
  </si>
  <si>
    <t>REP-10</t>
  </si>
  <si>
    <t>ORD-00154</t>
  </si>
  <si>
    <t>CUST-378</t>
  </si>
  <si>
    <t>ORD-00155</t>
  </si>
  <si>
    <t>CUST-983</t>
  </si>
  <si>
    <t>ORD-00156</t>
  </si>
  <si>
    <t>CUST-614</t>
  </si>
  <si>
    <t>ORD-00157</t>
  </si>
  <si>
    <t>ORD-00158</t>
  </si>
  <si>
    <t>CUST-603</t>
  </si>
  <si>
    <t>ORD-00159</t>
  </si>
  <si>
    <t>CUST-163</t>
  </si>
  <si>
    <t>ORD-00160</t>
  </si>
  <si>
    <t>CUST-516</t>
  </si>
  <si>
    <t>ORD-00161</t>
  </si>
  <si>
    <t>CUST-150</t>
  </si>
  <si>
    <t>ORD-00162</t>
  </si>
  <si>
    <t>CUST-745</t>
  </si>
  <si>
    <t>ORD-00163</t>
  </si>
  <si>
    <t>CUST-799</t>
  </si>
  <si>
    <t>ORD-00164</t>
  </si>
  <si>
    <t>CUST-916</t>
  </si>
  <si>
    <t>ORD-00165</t>
  </si>
  <si>
    <t>CUST-928</t>
  </si>
  <si>
    <t>ORD-00166</t>
  </si>
  <si>
    <t>CUST-814</t>
  </si>
  <si>
    <t>ORD-00167</t>
  </si>
  <si>
    <t>ORD-00168</t>
  </si>
  <si>
    <t>CUST-203</t>
  </si>
  <si>
    <t>fatimaadebayo@techgadgetsco.com</t>
  </si>
  <si>
    <t>ORD-00169</t>
  </si>
  <si>
    <t>CUST-281</t>
  </si>
  <si>
    <t>ORD-00170</t>
  </si>
  <si>
    <t>CUST-271</t>
  </si>
  <si>
    <t>ORD-00171</t>
  </si>
  <si>
    <t>CUST-659</t>
  </si>
  <si>
    <t>ORD-00172</t>
  </si>
  <si>
    <t>CUST-821</t>
  </si>
  <si>
    <t>ORD-00173</t>
  </si>
  <si>
    <t>CUST-502</t>
  </si>
  <si>
    <t>ORD-00174</t>
  </si>
  <si>
    <t>CUST-582</t>
  </si>
  <si>
    <t>ORD-00175</t>
  </si>
  <si>
    <t>CUST-784</t>
  </si>
  <si>
    <t>ORD-00176</t>
  </si>
  <si>
    <t>CUST-629</t>
  </si>
  <si>
    <t>ORD-00177</t>
  </si>
  <si>
    <t>CUST-189</t>
  </si>
  <si>
    <t>ORD-00178</t>
  </si>
  <si>
    <t>CUST-392</t>
  </si>
  <si>
    <t>ORD-00179</t>
  </si>
  <si>
    <t>CUST-375</t>
  </si>
  <si>
    <t>ORD-00180</t>
  </si>
  <si>
    <t>CUST-292</t>
  </si>
  <si>
    <t>ORD-00181</t>
  </si>
  <si>
    <t>CUST-159</t>
  </si>
  <si>
    <t>ORD-00182</t>
  </si>
  <si>
    <t>CUST-458</t>
  </si>
  <si>
    <t>ORD-00183</t>
  </si>
  <si>
    <t>CUST-798</t>
  </si>
  <si>
    <t>ORD-00184</t>
  </si>
  <si>
    <t>CUST-738</t>
  </si>
  <si>
    <t>ORD-00185</t>
  </si>
  <si>
    <t>CUST-405</t>
  </si>
  <si>
    <t>ORD-00186</t>
  </si>
  <si>
    <t>CUST-935</t>
  </si>
  <si>
    <t>ORD-00187</t>
  </si>
  <si>
    <t>ORD-00188</t>
  </si>
  <si>
    <t>CUST-797</t>
  </si>
  <si>
    <t>ORD-00189</t>
  </si>
  <si>
    <t>ORD-00190</t>
  </si>
  <si>
    <t>CUST-304</t>
  </si>
  <si>
    <t>ORD-00191</t>
  </si>
  <si>
    <t>CUST-710</t>
  </si>
  <si>
    <t>ORD-00192</t>
  </si>
  <si>
    <t>ORD-00193</t>
  </si>
  <si>
    <t>CUST-811</t>
  </si>
  <si>
    <t>ORD-00194</t>
  </si>
  <si>
    <t>ORD-00195</t>
  </si>
  <si>
    <t>CUST-840</t>
  </si>
  <si>
    <t>ORD-00196</t>
  </si>
  <si>
    <t>CUST-972</t>
  </si>
  <si>
    <t>ORD-00197</t>
  </si>
  <si>
    <t>ORD-00198</t>
  </si>
  <si>
    <t>CUST-551</t>
  </si>
  <si>
    <t>ORD-00199</t>
  </si>
  <si>
    <t>CUST-792</t>
  </si>
  <si>
    <t>ORD-00200</t>
  </si>
  <si>
    <t>CUST-512</t>
  </si>
  <si>
    <t>ORD-00201</t>
  </si>
  <si>
    <t>CUST-752</t>
  </si>
  <si>
    <t>ORD-00202</t>
  </si>
  <si>
    <t>CUST-449</t>
  </si>
  <si>
    <t>ORD-00203</t>
  </si>
  <si>
    <t>CUST-446</t>
  </si>
  <si>
    <t>ORD-00204</t>
  </si>
  <si>
    <t>CUST-808</t>
  </si>
  <si>
    <t>ORD-00205</t>
  </si>
  <si>
    <t>CUST-522</t>
  </si>
  <si>
    <t>ORD-00206</t>
  </si>
  <si>
    <t>CUST-615</t>
  </si>
  <si>
    <t>ORD-00207</t>
  </si>
  <si>
    <t>CUST-157</t>
  </si>
  <si>
    <t>ORD-00208</t>
  </si>
  <si>
    <t>CUST-903</t>
  </si>
  <si>
    <t>ORD-00209</t>
  </si>
  <si>
    <t>CUST-763</t>
  </si>
  <si>
    <t>ORD-00210</t>
  </si>
  <si>
    <t>ORD-00211</t>
  </si>
  <si>
    <t>CUST-656</t>
  </si>
  <si>
    <t>ORD-00212</t>
  </si>
  <si>
    <t>ORD-00213</t>
  </si>
  <si>
    <t>CUST-767</t>
  </si>
  <si>
    <t>ORD-00214</t>
  </si>
  <si>
    <t>CUST-257</t>
  </si>
  <si>
    <t>ORD-00215</t>
  </si>
  <si>
    <t>ORD-00216</t>
  </si>
  <si>
    <t>CUST-260</t>
  </si>
  <si>
    <t>ORD-00217</t>
  </si>
  <si>
    <t>CUST-650</t>
  </si>
  <si>
    <t>ORD-00218</t>
  </si>
  <si>
    <t>CUST-971</t>
  </si>
  <si>
    <t>ORD-00219</t>
  </si>
  <si>
    <t>CUST-561</t>
  </si>
  <si>
    <t>ORD-00220</t>
  </si>
  <si>
    <t>ORD-00221</t>
  </si>
  <si>
    <t>CUST-746</t>
  </si>
  <si>
    <t>ORD-00222</t>
  </si>
  <si>
    <t>CUST-472</t>
  </si>
  <si>
    <t>ORD-00223</t>
  </si>
  <si>
    <t>CUST-337</t>
  </si>
  <si>
    <t>ORD-00224</t>
  </si>
  <si>
    <t>CUST-692</t>
  </si>
  <si>
    <t>ORD-00225</t>
  </si>
  <si>
    <t>CUST-550</t>
  </si>
  <si>
    <t>ORD-00226</t>
  </si>
  <si>
    <t>CUST-520</t>
  </si>
  <si>
    <t>ORD-00227</t>
  </si>
  <si>
    <t>CUST-187</t>
  </si>
  <si>
    <t>ORD-00228</t>
  </si>
  <si>
    <t>CUST-487</t>
  </si>
  <si>
    <t>ORD-00229</t>
  </si>
  <si>
    <t>CUST-717</t>
  </si>
  <si>
    <t>ORD-00230</t>
  </si>
  <si>
    <t>ORD-00231</t>
  </si>
  <si>
    <t>CUST-648</t>
  </si>
  <si>
    <t>ORD-00232</t>
  </si>
  <si>
    <t>CUST-984</t>
  </si>
  <si>
    <t>ORD-00233</t>
  </si>
  <si>
    <t>CUST-190</t>
  </si>
  <si>
    <t>ORD-00234</t>
  </si>
  <si>
    <t>CUST-923</t>
  </si>
  <si>
    <t>ORD-00235</t>
  </si>
  <si>
    <t>CUST-700</t>
  </si>
  <si>
    <t>ORD-00236</t>
  </si>
  <si>
    <t>CUST-174</t>
  </si>
  <si>
    <t>ORD-00237</t>
  </si>
  <si>
    <t>CUST-593</t>
  </si>
  <si>
    <t>ORD-00238</t>
  </si>
  <si>
    <t>CUST-282</t>
  </si>
  <si>
    <t>ORD-00239</t>
  </si>
  <si>
    <t>ORD-00240</t>
  </si>
  <si>
    <t>CUST-638</t>
  </si>
  <si>
    <t>ORD-00241</t>
  </si>
  <si>
    <t>CUST-369</t>
  </si>
  <si>
    <t>ORD-00242</t>
  </si>
  <si>
    <t>CUST-668</t>
  </si>
  <si>
    <t>ORD-00243</t>
  </si>
  <si>
    <t>ORD-00244</t>
  </si>
  <si>
    <t>ORD-00245</t>
  </si>
  <si>
    <t>CUST-173</t>
  </si>
  <si>
    <t>ORD-00246</t>
  </si>
  <si>
    <t>CUST-123</t>
  </si>
  <si>
    <t>ORD-00247</t>
  </si>
  <si>
    <t>CUST-732</t>
  </si>
  <si>
    <t>ORD-00248</t>
  </si>
  <si>
    <t>CUST-661</t>
  </si>
  <si>
    <t>ORD-00249</t>
  </si>
  <si>
    <t>ORD-00250</t>
  </si>
  <si>
    <t>CUST-267</t>
  </si>
  <si>
    <t>ORD-00251</t>
  </si>
  <si>
    <t>CUST-213</t>
  </si>
  <si>
    <t>ORD-00252</t>
  </si>
  <si>
    <t>CUST-450</t>
  </si>
  <si>
    <t>ORD-00253</t>
  </si>
  <si>
    <t>CUST-112</t>
  </si>
  <si>
    <t>ORD-00254</t>
  </si>
  <si>
    <t>ORD-00255</t>
  </si>
  <si>
    <t>CUST-143</t>
  </si>
  <si>
    <t>ORD-00256</t>
  </si>
  <si>
    <t>CUST-907</t>
  </si>
  <si>
    <t>ORD-00257</t>
  </si>
  <si>
    <t>CUST-713</t>
  </si>
  <si>
    <t>ORD-00258</t>
  </si>
  <si>
    <t>CUST-774</t>
  </si>
  <si>
    <t>ORD-00259</t>
  </si>
  <si>
    <t>CUST-201</t>
  </si>
  <si>
    <t>ORD-00260</t>
  </si>
  <si>
    <t>CUST-579</t>
  </si>
  <si>
    <t>ORD-00261</t>
  </si>
  <si>
    <t>ORD-00262</t>
  </si>
  <si>
    <t>CUST-460</t>
  </si>
  <si>
    <t>ORD-00263</t>
  </si>
  <si>
    <t>CUST-843</t>
  </si>
  <si>
    <t>ORD-00264</t>
  </si>
  <si>
    <t>CUST-685</t>
  </si>
  <si>
    <t>ORD-00265</t>
  </si>
  <si>
    <t>CUST-945</t>
  </si>
  <si>
    <t>ORD-00266</t>
  </si>
  <si>
    <t>CUST-716</t>
  </si>
  <si>
    <t>ORD-00267</t>
  </si>
  <si>
    <t>CUST-542</t>
  </si>
  <si>
    <t>ORD-00268</t>
  </si>
  <si>
    <t>CUST-300</t>
  </si>
  <si>
    <t>ORD-00269</t>
  </si>
  <si>
    <t>CUST-941</t>
  </si>
  <si>
    <t>ORD-00270</t>
  </si>
  <si>
    <t>CUST-560</t>
  </si>
  <si>
    <t>ORD-00271</t>
  </si>
  <si>
    <t>CUST-908</t>
  </si>
  <si>
    <t>ORD-00272</t>
  </si>
  <si>
    <t>CUST-423</t>
  </si>
  <si>
    <t>ORD-00273</t>
  </si>
  <si>
    <t>CUST-613</t>
  </si>
  <si>
    <t>ORD-00274</t>
  </si>
  <si>
    <t>CUST-419</t>
  </si>
  <si>
    <t>ORD-00275</t>
  </si>
  <si>
    <t>ORD-00276</t>
  </si>
  <si>
    <t>CUST-126</t>
  </si>
  <si>
    <t>ORD-00277</t>
  </si>
  <si>
    <t>CUST-133</t>
  </si>
  <si>
    <t>ORD-00278</t>
  </si>
  <si>
    <t>CUST-722</t>
  </si>
  <si>
    <t>ORD-00279</t>
  </si>
  <si>
    <t>ORD-00280</t>
  </si>
  <si>
    <t>CUST-564</t>
  </si>
  <si>
    <t>ORD-00281</t>
  </si>
  <si>
    <t>CUST-144</t>
  </si>
  <si>
    <t>ORD-00282</t>
  </si>
  <si>
    <t>CUST-609</t>
  </si>
  <si>
    <t>ORD-00283</t>
  </si>
  <si>
    <t>ORD-00284</t>
  </si>
  <si>
    <t>CUST-477</t>
  </si>
  <si>
    <t>ORD-00285</t>
  </si>
  <si>
    <t>ORD-00286</t>
  </si>
  <si>
    <t>CUST-740</t>
  </si>
  <si>
    <t>ORD-00287</t>
  </si>
  <si>
    <t>ORD-00288</t>
  </si>
  <si>
    <t>ORD-00289</t>
  </si>
  <si>
    <t>CUST-684</t>
  </si>
  <si>
    <t>ORD-00290</t>
  </si>
  <si>
    <t>ORD-00291</t>
  </si>
  <si>
    <t>CUST-235</t>
  </si>
  <si>
    <t>ORD-00292</t>
  </si>
  <si>
    <t>CUST-691</t>
  </si>
  <si>
    <t>ORD-00293</t>
  </si>
  <si>
    <t>CUST-377</t>
  </si>
  <si>
    <t>ORD-00294</t>
  </si>
  <si>
    <t>CUST-706</t>
  </si>
  <si>
    <t>ORD-00295</t>
  </si>
  <si>
    <t>CUST-884</t>
  </si>
  <si>
    <t>ORD-00296</t>
  </si>
  <si>
    <t>ORD-00297</t>
  </si>
  <si>
    <t>ORD-00298</t>
  </si>
  <si>
    <t>CUST-171</t>
  </si>
  <si>
    <t>ORD-00299</t>
  </si>
  <si>
    <t>ORD-00300</t>
  </si>
  <si>
    <t>CUST-673</t>
  </si>
  <si>
    <t>ORD-00301</t>
  </si>
  <si>
    <t>CUST-527</t>
  </si>
  <si>
    <t>ORD-00302</t>
  </si>
  <si>
    <t>ORD-00303</t>
  </si>
  <si>
    <t>CUST-138</t>
  </si>
  <si>
    <t>ORD-00304</t>
  </si>
  <si>
    <t>ORD-00305</t>
  </si>
  <si>
    <t>CUST-411</t>
  </si>
  <si>
    <t>ORD-00306</t>
  </si>
  <si>
    <t>CUST-363</t>
  </si>
  <si>
    <t>ORD-00307</t>
  </si>
  <si>
    <t>CUST-957</t>
  </si>
  <si>
    <t>ORD-00308</t>
  </si>
  <si>
    <t>CUST-645</t>
  </si>
  <si>
    <t>ORD-00309</t>
  </si>
  <si>
    <t>CUST-964</t>
  </si>
  <si>
    <t>ORD-00310</t>
  </si>
  <si>
    <t>CUST-110</t>
  </si>
  <si>
    <t>ORD-00311</t>
  </si>
  <si>
    <t>ORD-00312</t>
  </si>
  <si>
    <t>ORD-00313</t>
  </si>
  <si>
    <t>CUST-832</t>
  </si>
  <si>
    <t>ORD-00314</t>
  </si>
  <si>
    <t>CUST-889</t>
  </si>
  <si>
    <t>ORD-00315</t>
  </si>
  <si>
    <t>CUST-762</t>
  </si>
  <si>
    <t>ORD-00316</t>
  </si>
  <si>
    <t>CUST-294</t>
  </si>
  <si>
    <t>ORD-00317</t>
  </si>
  <si>
    <t>ORD-00318</t>
  </si>
  <si>
    <t>CUST-747</t>
  </si>
  <si>
    <t>ORD-00319</t>
  </si>
  <si>
    <t>CUST-511</t>
  </si>
  <si>
    <t>ORD-00320</t>
  </si>
  <si>
    <t>CUST-202</t>
  </si>
  <si>
    <t>ORD-00321</t>
  </si>
  <si>
    <t>CUST-521</t>
  </si>
  <si>
    <t>ORD-00322</t>
  </si>
  <si>
    <t>ORD-00323</t>
  </si>
  <si>
    <t>CUST-924</t>
  </si>
  <si>
    <t>ORD-00324</t>
  </si>
  <si>
    <t>CUST-212</t>
  </si>
  <si>
    <t>ORD-00325</t>
  </si>
  <si>
    <t>CUST-298</t>
  </si>
  <si>
    <t>ORD-00326</t>
  </si>
  <si>
    <t>CUST-726</t>
  </si>
  <si>
    <t>ORD-00327</t>
  </si>
  <si>
    <t>ORD-00328</t>
  </si>
  <si>
    <t>CUST-467</t>
  </si>
  <si>
    <t>ORD-00329</t>
  </si>
  <si>
    <t>CUST-820</t>
  </si>
  <si>
    <t>ORD-00330</t>
  </si>
  <si>
    <t>CUST-790</t>
  </si>
  <si>
    <t>ORD-00331</t>
  </si>
  <si>
    <t>ORD-00332</t>
  </si>
  <si>
    <t>CUST-399</t>
  </si>
  <si>
    <t>ORD-00333</t>
  </si>
  <si>
    <t>ORD-00334</t>
  </si>
  <si>
    <t>CUST-781</t>
  </si>
  <si>
    <t>ORD-00335</t>
  </si>
  <si>
    <t>ORD-00336</t>
  </si>
  <si>
    <t>ORD-00337</t>
  </si>
  <si>
    <t>CUST-687</t>
  </si>
  <si>
    <t>ORD-00338</t>
  </si>
  <si>
    <t>CUST-639</t>
  </si>
  <si>
    <t>ORD-00339</t>
  </si>
  <si>
    <t>CUST-495</t>
  </si>
  <si>
    <t>ORD-00340</t>
  </si>
  <si>
    <t>CUST-712</t>
  </si>
  <si>
    <t>ORD-00341</t>
  </si>
  <si>
    <t>CUST-240</t>
  </si>
  <si>
    <t>ORD-00342</t>
  </si>
  <si>
    <t>CUST-283</t>
  </si>
  <si>
    <t>ORD-00343</t>
  </si>
  <si>
    <t>CUST-365</t>
  </si>
  <si>
    <t>ORD-00344</t>
  </si>
  <si>
    <t>CUST-196</t>
  </si>
  <si>
    <t>ORD-00345</t>
  </si>
  <si>
    <t>ORD-00346</t>
  </si>
  <si>
    <t>CUST-456</t>
  </si>
  <si>
    <t>ORD-00347</t>
  </si>
  <si>
    <t>CUST-535</t>
  </si>
  <si>
    <t>ORD-00348</t>
  </si>
  <si>
    <t>ORD-00349</t>
  </si>
  <si>
    <t>CUST-275</t>
  </si>
  <si>
    <t>ORD-00350</t>
  </si>
  <si>
    <t>CUST-421</t>
  </si>
  <si>
    <t>ORD-00351</t>
  </si>
  <si>
    <t>ORD-00352</t>
  </si>
  <si>
    <t>CUST-272</t>
  </si>
  <si>
    <t>ORD-00353</t>
  </si>
  <si>
    <t>CUST-596</t>
  </si>
  <si>
    <t>ORD-00354</t>
  </si>
  <si>
    <t>CUST-736</t>
  </si>
  <si>
    <t>ORD-00355</t>
  </si>
  <si>
    <t>ORD-00356</t>
  </si>
  <si>
    <t>CUST-500</t>
  </si>
  <si>
    <t>ORD-00357</t>
  </si>
  <si>
    <t>ORD-00358</t>
  </si>
  <si>
    <t>ORD-00359</t>
  </si>
  <si>
    <t>CUST-306</t>
  </si>
  <si>
    <t>ORD-00360</t>
  </si>
  <si>
    <t>CUST-314</t>
  </si>
  <si>
    <t>ORD-00361</t>
  </si>
  <si>
    <t>CUST-611</t>
  </si>
  <si>
    <t>ORD-00362</t>
  </si>
  <si>
    <t>ORD-00363</t>
  </si>
  <si>
    <t>ORD-00364</t>
  </si>
  <si>
    <t>CUST-959</t>
  </si>
  <si>
    <t>ORD-00365</t>
  </si>
  <si>
    <t>CUST-861</t>
  </si>
  <si>
    <t>ORD-00366</t>
  </si>
  <si>
    <t>ORD-00367</t>
  </si>
  <si>
    <t>CUST-931</t>
  </si>
  <si>
    <t>ORD-00368</t>
  </si>
  <si>
    <t>CUST-134</t>
  </si>
  <si>
    <t>ORD-00369</t>
  </si>
  <si>
    <t>ORD-00370</t>
  </si>
  <si>
    <t>CUST-427</t>
  </si>
  <si>
    <t>ORD-00371</t>
  </si>
  <si>
    <t>ORD-00372</t>
  </si>
  <si>
    <t>ORD-00373</t>
  </si>
  <si>
    <t>ORD-00374</t>
  </si>
  <si>
    <t>CUST-340</t>
  </si>
  <si>
    <t>ORD-00375</t>
  </si>
  <si>
    <t>CUST-424</t>
  </si>
  <si>
    <t>ORD-00376</t>
  </si>
  <si>
    <t>CUST-854</t>
  </si>
  <si>
    <t>ORD-00377</t>
  </si>
  <si>
    <t>CUST-568</t>
  </si>
  <si>
    <t>ORD-00378</t>
  </si>
  <si>
    <t>CUST-178</t>
  </si>
  <si>
    <t>ORD-00379</t>
  </si>
  <si>
    <t>CUST-105</t>
  </si>
  <si>
    <t>ORD-00380</t>
  </si>
  <si>
    <t>ORD-00381</t>
  </si>
  <si>
    <t>CUST-198</t>
  </si>
  <si>
    <t>ORD-00382</t>
  </si>
  <si>
    <t>CUST-802</t>
  </si>
  <si>
    <t>ORD-00383</t>
  </si>
  <si>
    <t>CUST-622</t>
  </si>
  <si>
    <t>ORD-00384</t>
  </si>
  <si>
    <t>ORD-00385</t>
  </si>
  <si>
    <t>ORD-00386</t>
  </si>
  <si>
    <t>CUST-295</t>
  </si>
  <si>
    <t>ORD-00387</t>
  </si>
  <si>
    <t>CUST-856</t>
  </si>
  <si>
    <t>ORD-00388</t>
  </si>
  <si>
    <t>ORD-00389</t>
  </si>
  <si>
    <t>CUST-219</t>
  </si>
  <si>
    <t>ORD-00390</t>
  </si>
  <si>
    <t>CUST-526</t>
  </si>
  <si>
    <t>ORD-00391</t>
  </si>
  <si>
    <t>ORD-00392</t>
  </si>
  <si>
    <t>ORD-00393</t>
  </si>
  <si>
    <t>ORD-00394</t>
  </si>
  <si>
    <t>ORD-00395</t>
  </si>
  <si>
    <t>CUST-130</t>
  </si>
  <si>
    <t>ORD-00396</t>
  </si>
  <si>
    <t>CUST-996</t>
  </si>
  <si>
    <t>ORD-00397</t>
  </si>
  <si>
    <t>ORD-00398</t>
  </si>
  <si>
    <t>ORD-00399</t>
  </si>
  <si>
    <t>CUST-874</t>
  </si>
  <si>
    <t>ORD-00400</t>
  </si>
  <si>
    <t>ORD-00401</t>
  </si>
  <si>
    <t>CUST-897</t>
  </si>
  <si>
    <t>ORD-00402</t>
  </si>
  <si>
    <t>CUST-584</t>
  </si>
  <si>
    <t>ORD-00403</t>
  </si>
  <si>
    <t>ORD-00404</t>
  </si>
  <si>
    <t>CUST-720</t>
  </si>
  <si>
    <t>ORD-00405</t>
  </si>
  <si>
    <t>CUST-761</t>
  </si>
  <si>
    <t>ORD-00406</t>
  </si>
  <si>
    <t>CUST-223</t>
  </si>
  <si>
    <t>ORD-00407</t>
  </si>
  <si>
    <t>CUST-491</t>
  </si>
  <si>
    <t>ORD-00408</t>
  </si>
  <si>
    <t>ORD-00409</t>
  </si>
  <si>
    <t>CUST-167</t>
  </si>
  <si>
    <t>ORD-00410</t>
  </si>
  <si>
    <t>ORD-00411</t>
  </si>
  <si>
    <t>ORD-00412</t>
  </si>
  <si>
    <t>ORD-00413</t>
  </si>
  <si>
    <t>ORD-00414</t>
  </si>
  <si>
    <t>ORD-00415</t>
  </si>
  <si>
    <t>CUST-387</t>
  </si>
  <si>
    <t>ORD-00416</t>
  </si>
  <si>
    <t>ORD-00417</t>
  </si>
  <si>
    <t>ORD-00418</t>
  </si>
  <si>
    <t>CUST-855</t>
  </si>
  <si>
    <t>ORD-00419</t>
  </si>
  <si>
    <t>ORD-00420</t>
  </si>
  <si>
    <t>CUST-156</t>
  </si>
  <si>
    <t>ORD-00421</t>
  </si>
  <si>
    <t>CUST-735</t>
  </si>
  <si>
    <t>ORD-00422</t>
  </si>
  <si>
    <t>CUST-842</t>
  </si>
  <si>
    <t>ORD-00423</t>
  </si>
  <si>
    <t>ORD-00424</t>
  </si>
  <si>
    <t>CUST-443</t>
  </si>
  <si>
    <t>ORD-00425</t>
  </si>
  <si>
    <t>CUST-857</t>
  </si>
  <si>
    <t>ORD-00426</t>
  </si>
  <si>
    <t>CUST-278</t>
  </si>
  <si>
    <t>ORD-00427</t>
  </si>
  <si>
    <t>CUST-478</t>
  </si>
  <si>
    <t>ORD-00428</t>
  </si>
  <si>
    <t>CUST-974</t>
  </si>
  <si>
    <t>ORD-00429</t>
  </si>
  <si>
    <t>CUST-869</t>
  </si>
  <si>
    <t>ORD-00430</t>
  </si>
  <si>
    <t>ORD-00431</t>
  </si>
  <si>
    <t>CUST-518</t>
  </si>
  <si>
    <t>ORD-00432</t>
  </si>
  <si>
    <t>ORD-00433</t>
  </si>
  <si>
    <t>CUST-901</t>
  </si>
  <si>
    <t>ORD-00434</t>
  </si>
  <si>
    <t>CUST-420</t>
  </si>
  <si>
    <t>Region</t>
  </si>
  <si>
    <t>TaxRate</t>
  </si>
  <si>
    <t>DiscountRate</t>
  </si>
  <si>
    <t>Cost</t>
  </si>
  <si>
    <t>Gross Revenue</t>
  </si>
  <si>
    <t>Unit Cost</t>
  </si>
  <si>
    <t>Total Cost</t>
  </si>
  <si>
    <t>Tax Rate</t>
  </si>
  <si>
    <t>Tax Amount</t>
  </si>
  <si>
    <t>Discount Rate</t>
  </si>
  <si>
    <t>Discount Amount</t>
  </si>
  <si>
    <t>Net Sales</t>
  </si>
  <si>
    <t>Year</t>
  </si>
  <si>
    <t>Month</t>
  </si>
  <si>
    <t>Day</t>
  </si>
  <si>
    <t>Hour</t>
  </si>
  <si>
    <t>Minute</t>
  </si>
  <si>
    <t>Product cat</t>
  </si>
  <si>
    <t>ahmedkan@gmail.com</t>
  </si>
  <si>
    <t>Postive</t>
  </si>
  <si>
    <t>Negative</t>
  </si>
  <si>
    <t>Neutral</t>
  </si>
  <si>
    <t>Feedback Category</t>
  </si>
  <si>
    <t>Profit/loss</t>
  </si>
  <si>
    <t>Sum of Net Sales</t>
  </si>
  <si>
    <t>Row Labels</t>
  </si>
  <si>
    <t>Grand Total</t>
  </si>
  <si>
    <t>Sum of Profit/loss</t>
  </si>
  <si>
    <t>Sum of OrderQuantity</t>
  </si>
  <si>
    <t>Count of Feedback Category</t>
  </si>
  <si>
    <t xml:space="preserve"> </t>
  </si>
  <si>
    <t>SALES TOLTAL REVENU</t>
  </si>
  <si>
    <t>TOTAL COST</t>
  </si>
  <si>
    <t>TOTAL TAX</t>
  </si>
  <si>
    <t>NUM OF ORDERS</t>
  </si>
  <si>
    <t>NUMOF SALES REP</t>
  </si>
  <si>
    <t>SALES TECH DASHBORAD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</si>
</sst>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4" formatCode="_(&quot;$&quot;* #,##0.00_);_(&quot;$&quot;* \(#,##0.00\);_(&quot;$&quot;* &quot;-&quot;??_);_(@_)"/>
    <numFmt numFmtId="164" formatCode="[$₦-46A]#,##0"/>
    <numFmt numFmtId="165" formatCode="_-[$₦-468]\ * #,##0_-;\-[$₦-468]\ * #,##0_-;_-[$₦-468]\ * &quot;-&quot;_-;_-@_-"/>
    <numFmt numFmtId="166" formatCode="_(&quot;$&quot;* #,##0_);_(&quot;$&quot;* \(#,##0\);_(&quot;$&quot;* &quot;-&quot;??_);_(@_)"/>
  </numFmts>
  <fonts count="10" x14ac:knownFonts="1">
    <font>
      <sz val="11"/>
      <color theme="1"/>
      <name val="Calibri"/>
      <family val="2"/>
      <scheme val="minor"/>
    </font>
    <font>
      <b/>
      <sz val="11"/>
      <color theme="1"/>
      <name val="Calibri"/>
      <family val="2"/>
      <scheme val="minor"/>
    </font>
    <font>
      <sz val="11"/>
      <color theme="1"/>
      <name val="Calibri"/>
      <family val="2"/>
      <scheme val="minor"/>
    </font>
    <font>
      <b/>
      <sz val="11"/>
      <color theme="0"/>
      <name val="Calibri"/>
      <family val="2"/>
      <scheme val="minor"/>
    </font>
    <font>
      <u/>
      <sz val="11"/>
      <color theme="10"/>
      <name val="Calibri"/>
      <family val="2"/>
      <scheme val="minor"/>
    </font>
    <font>
      <sz val="18"/>
      <color theme="0"/>
      <name val="Calibri"/>
      <family val="2"/>
      <scheme val="minor"/>
    </font>
    <font>
      <b/>
      <sz val="18"/>
      <color theme="0"/>
      <name val="Calibri"/>
      <family val="2"/>
      <scheme val="minor"/>
    </font>
    <font>
      <b/>
      <sz val="36"/>
      <color theme="1"/>
      <name val="Calibri"/>
      <family val="2"/>
      <scheme val="minor"/>
    </font>
    <font>
      <b/>
      <sz val="72"/>
      <color theme="1"/>
      <name val="Calibri"/>
      <family val="2"/>
      <scheme val="minor"/>
    </font>
    <font>
      <b/>
      <sz val="48"/>
      <color theme="1"/>
      <name val="Calibri"/>
      <family val="2"/>
      <scheme val="minor"/>
    </font>
  </fonts>
  <fills count="4">
    <fill>
      <patternFill patternType="none"/>
    </fill>
    <fill>
      <patternFill patternType="gray125"/>
    </fill>
    <fill>
      <patternFill patternType="solid">
        <fgColor theme="1"/>
        <bgColor indexed="64"/>
      </patternFill>
    </fill>
    <fill>
      <patternFill patternType="solid">
        <fgColor theme="9"/>
        <bgColor indexed="64"/>
      </patternFill>
    </fill>
  </fills>
  <borders count="1">
    <border>
      <left/>
      <right/>
      <top/>
      <bottom/>
      <diagonal/>
    </border>
  </borders>
  <cellStyleXfs count="4">
    <xf numFmtId="0" fontId="0" fillId="0" borderId="0"/>
    <xf numFmtId="9" fontId="2" fillId="0" borderId="0" applyFont="0" applyFill="0" applyBorder="0" applyAlignment="0" applyProtection="0"/>
    <xf numFmtId="0" fontId="4" fillId="0" borderId="0" applyNumberFormat="0" applyFill="0" applyBorder="0" applyAlignment="0" applyProtection="0"/>
    <xf numFmtId="44" fontId="2" fillId="0" borderId="0" applyFont="0" applyFill="0" applyBorder="0" applyAlignment="0" applyProtection="0"/>
  </cellStyleXfs>
  <cellXfs count="23">
    <xf numFmtId="0" fontId="0" fillId="0" borderId="0" xfId="0"/>
    <xf numFmtId="14" fontId="0" fillId="0" borderId="0" xfId="0" applyNumberFormat="1"/>
    <xf numFmtId="21" fontId="0" fillId="0" borderId="0" xfId="0" applyNumberFormat="1"/>
    <xf numFmtId="0" fontId="0" fillId="0" borderId="0" xfId="0" applyAlignment="1">
      <alignment horizontal="left" vertical="center" wrapText="1"/>
    </xf>
    <xf numFmtId="0" fontId="1" fillId="0" borderId="0" xfId="0" applyFont="1" applyAlignment="1">
      <alignment horizontal="left"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0" fontId="3" fillId="2" borderId="0" xfId="0" applyFont="1" applyFill="1"/>
    <xf numFmtId="1" fontId="0" fillId="0" borderId="0" xfId="0" applyNumberFormat="1"/>
    <xf numFmtId="0" fontId="4" fillId="0" borderId="0" xfId="2"/>
    <xf numFmtId="9" fontId="0" fillId="0" borderId="0" xfId="1" applyFont="1"/>
    <xf numFmtId="0" fontId="0" fillId="0" borderId="0" xfId="0" pivotButton="1"/>
    <xf numFmtId="1" fontId="0" fillId="0" borderId="0" xfId="0" applyNumberFormat="1" applyAlignment="1">
      <alignment horizontal="left"/>
    </xf>
    <xf numFmtId="166" fontId="3" fillId="2" borderId="0" xfId="3" applyNumberFormat="1" applyFont="1" applyFill="1"/>
    <xf numFmtId="166" fontId="0" fillId="0" borderId="0" xfId="3" applyNumberFormat="1" applyFont="1"/>
    <xf numFmtId="0" fontId="0" fillId="0" borderId="0" xfId="0" applyAlignment="1">
      <alignment horizontal="left"/>
    </xf>
    <xf numFmtId="166" fontId="0" fillId="0" borderId="0" xfId="0" applyNumberFormat="1"/>
    <xf numFmtId="0" fontId="0" fillId="3" borderId="0" xfId="0" applyFill="1"/>
    <xf numFmtId="0" fontId="6" fillId="3" borderId="0" xfId="0" applyFont="1" applyFill="1"/>
    <xf numFmtId="0" fontId="5" fillId="3" borderId="0" xfId="0" applyFont="1" applyFill="1"/>
    <xf numFmtId="0" fontId="7" fillId="3" borderId="0" xfId="0" applyFont="1" applyFill="1" applyAlignment="1">
      <alignment horizontal="center" vertical="center"/>
    </xf>
    <xf numFmtId="0" fontId="8" fillId="3" borderId="0" xfId="0" applyFont="1" applyFill="1" applyAlignment="1">
      <alignment horizontal="center" vertical="center"/>
    </xf>
    <xf numFmtId="0" fontId="9" fillId="3" borderId="0" xfId="0" applyFont="1" applyFill="1" applyAlignment="1">
      <alignment horizontal="center" vertical="center"/>
    </xf>
  </cellXfs>
  <cellStyles count="4">
    <cellStyle name="Currency" xfId="3" builtinId="4"/>
    <cellStyle name="Hyperlink" xfId="2" builtinId="8"/>
    <cellStyle name="Normal" xfId="0" builtinId="0"/>
    <cellStyle name="Percent" xfId="1" builtinId="5"/>
  </cellStyles>
  <dxfs count="288">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Tech dashbord.xlsx]pivot table!PivotTable4</c:name>
    <c:fmtId val="3"/>
  </c:pivotSource>
  <c:chart>
    <c:title>
      <c:tx>
        <c:rich>
          <a:bodyPr rot="0" spcFirstLastPara="1" vertOverflow="ellipsis" vert="horz" wrap="square" anchor="ctr" anchorCtr="1"/>
          <a:lstStyle/>
          <a:p>
            <a:pPr>
              <a:defRPr sz="3360" b="1" i="0" u="none" strike="noStrike" kern="1200" spc="0" baseline="0">
                <a:solidFill>
                  <a:schemeClr val="tx1">
                    <a:lumMod val="65000"/>
                    <a:lumOff val="35000"/>
                  </a:schemeClr>
                </a:solidFill>
                <a:latin typeface="+mn-lt"/>
                <a:ea typeface="+mn-ea"/>
                <a:cs typeface="+mn-cs"/>
              </a:defRPr>
            </a:pPr>
            <a:r>
              <a:rPr lang="en-US"/>
              <a:t>profit by region</a:t>
            </a:r>
          </a:p>
        </c:rich>
      </c:tx>
      <c:layout/>
      <c:overlay val="0"/>
      <c:spPr>
        <a:noFill/>
        <a:ln>
          <a:noFill/>
        </a:ln>
        <a:effectLst/>
      </c:spPr>
      <c:txPr>
        <a:bodyPr rot="0" spcFirstLastPara="1" vertOverflow="ellipsis" vert="horz" wrap="square" anchor="ctr" anchorCtr="1"/>
        <a:lstStyle/>
        <a:p>
          <a:pPr>
            <a:defRPr sz="336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6">
              <a:lumMod val="75000"/>
            </a:schemeClr>
          </a:solidFill>
          <a:ln w="19050">
            <a:solidFill>
              <a:schemeClr val="lt1"/>
            </a:solidFill>
          </a:ln>
          <a:effectLst/>
        </c:spPr>
        <c:marker>
          <c:symbol val="none"/>
        </c:marker>
        <c:dLbl>
          <c:idx val="0"/>
          <c:layout/>
          <c:spPr>
            <a:noFill/>
            <a:ln>
              <a:noFill/>
            </a:ln>
            <a:effectLst/>
          </c:spPr>
          <c:txPr>
            <a:bodyPr rot="0" spcFirstLastPara="1" vertOverflow="ellipsis" vert="horz" wrap="square" anchor="ctr" anchorCtr="1"/>
            <a:lstStyle/>
            <a:p>
              <a:pPr>
                <a:defRPr sz="2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ext>
          </c:extLst>
        </c:dLbl>
      </c:pivotFmt>
      <c:pivotFmt>
        <c:idx val="8"/>
        <c:spPr>
          <a:solidFill>
            <a:schemeClr val="accent6">
              <a:lumMod val="75000"/>
            </a:schemeClr>
          </a:solidFill>
          <a:ln w="19050">
            <a:solidFill>
              <a:schemeClr val="lt1"/>
            </a:solidFill>
          </a:ln>
          <a:effectLst/>
        </c:spPr>
      </c:pivotFmt>
      <c:pivotFmt>
        <c:idx val="9"/>
        <c:spPr>
          <a:solidFill>
            <a:schemeClr val="accent6">
              <a:lumMod val="20000"/>
              <a:lumOff val="80000"/>
            </a:schemeClr>
          </a:solidFill>
          <a:ln w="19050">
            <a:solidFill>
              <a:schemeClr val="lt1"/>
            </a:solidFill>
          </a:ln>
          <a:effectLst/>
        </c:spPr>
      </c:pivotFmt>
      <c:pivotFmt>
        <c:idx val="10"/>
        <c:spPr>
          <a:solidFill>
            <a:schemeClr val="accent6">
              <a:lumMod val="60000"/>
              <a:lumOff val="40000"/>
            </a:schemeClr>
          </a:solidFill>
          <a:ln w="19050">
            <a:solidFill>
              <a:schemeClr val="lt1"/>
            </a:solidFill>
          </a:ln>
          <a:effectLst/>
        </c:spPr>
      </c:pivotFmt>
      <c:pivotFmt>
        <c:idx val="11"/>
        <c:spPr>
          <a:solidFill>
            <a:schemeClr val="accent5">
              <a:lumMod val="40000"/>
              <a:lumOff val="60000"/>
            </a:schemeClr>
          </a:solidFill>
          <a:ln w="19050">
            <a:solidFill>
              <a:schemeClr val="lt1"/>
            </a:solidFill>
          </a:ln>
          <a:effectLst/>
        </c:spPr>
      </c:pivotFmt>
      <c:pivotFmt>
        <c:idx val="12"/>
        <c:spPr>
          <a:solidFill>
            <a:schemeClr val="accent6"/>
          </a:solidFill>
          <a:ln w="19050">
            <a:solidFill>
              <a:schemeClr val="lt1"/>
            </a:solidFill>
          </a:ln>
          <a:effectLst/>
        </c:spPr>
      </c:pivotFmt>
    </c:pivotFmts>
    <c:plotArea>
      <c:layout/>
      <c:pieChart>
        <c:varyColors val="1"/>
        <c:ser>
          <c:idx val="0"/>
          <c:order val="0"/>
          <c:tx>
            <c:strRef>
              <c:f>'pivot table'!$H$3</c:f>
              <c:strCache>
                <c:ptCount val="1"/>
                <c:pt idx="0">
                  <c:v>Total</c:v>
                </c:pt>
              </c:strCache>
            </c:strRef>
          </c:tx>
          <c:spPr>
            <a:solidFill>
              <a:schemeClr val="accent6">
                <a:lumMod val="75000"/>
              </a:schemeClr>
            </a:solidFill>
          </c:spPr>
          <c:dPt>
            <c:idx val="0"/>
            <c:bubble3D val="0"/>
            <c:spPr>
              <a:solidFill>
                <a:schemeClr val="accent6">
                  <a:lumMod val="20000"/>
                  <a:lumOff val="80000"/>
                </a:schemeClr>
              </a:solidFill>
              <a:ln w="19050">
                <a:solidFill>
                  <a:schemeClr val="lt1"/>
                </a:solidFill>
              </a:ln>
              <a:effectLst/>
            </c:spPr>
          </c:dPt>
          <c:dPt>
            <c:idx val="1"/>
            <c:bubble3D val="0"/>
            <c:spPr>
              <a:solidFill>
                <a:schemeClr val="accent5">
                  <a:lumMod val="40000"/>
                  <a:lumOff val="60000"/>
                </a:schemeClr>
              </a:solidFill>
              <a:ln w="19050">
                <a:solidFill>
                  <a:schemeClr val="lt1"/>
                </a:solidFill>
              </a:ln>
              <a:effectLst/>
            </c:spPr>
          </c:dPt>
          <c:dPt>
            <c:idx val="2"/>
            <c:bubble3D val="0"/>
            <c:spPr>
              <a:solidFill>
                <a:schemeClr val="accent6">
                  <a:lumMod val="75000"/>
                </a:schemeClr>
              </a:solidFill>
              <a:ln w="19050">
                <a:solidFill>
                  <a:schemeClr val="lt1"/>
                </a:solidFill>
              </a:ln>
              <a:effectLst/>
            </c:spPr>
          </c:dPt>
          <c:dPt>
            <c:idx val="3"/>
            <c:bubble3D val="0"/>
            <c:spPr>
              <a:solidFill>
                <a:schemeClr val="accent6"/>
              </a:solidFill>
              <a:ln w="19050">
                <a:solidFill>
                  <a:schemeClr val="lt1"/>
                </a:solidFill>
              </a:ln>
              <a:effectLst/>
            </c:spPr>
          </c:dPt>
          <c:dPt>
            <c:idx val="4"/>
            <c:bubble3D val="0"/>
            <c:spPr>
              <a:solidFill>
                <a:schemeClr val="accent6">
                  <a:lumMod val="60000"/>
                  <a:lumOff val="40000"/>
                </a:schemeClr>
              </a:solidFill>
              <a:ln w="19050">
                <a:solidFill>
                  <a:schemeClr val="lt1"/>
                </a:solidFill>
              </a:ln>
              <a:effectLst/>
            </c:spPr>
          </c:dPt>
          <c:dLbls>
            <c:spPr>
              <a:noFill/>
              <a:ln>
                <a:noFill/>
              </a:ln>
              <a:effectLst/>
            </c:spPr>
            <c:txPr>
              <a:bodyPr rot="0" spcFirstLastPara="1" vertOverflow="ellipsis" vert="horz" wrap="square" anchor="ctr" anchorCtr="1"/>
              <a:lstStyle/>
              <a:p>
                <a:pPr>
                  <a:defRPr sz="2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table'!$G$4:$G$9</c:f>
              <c:strCache>
                <c:ptCount val="5"/>
                <c:pt idx="0">
                  <c:v>Asia</c:v>
                </c:pt>
                <c:pt idx="1">
                  <c:v>North America</c:v>
                </c:pt>
                <c:pt idx="2">
                  <c:v>Africa</c:v>
                </c:pt>
                <c:pt idx="3">
                  <c:v>South America</c:v>
                </c:pt>
                <c:pt idx="4">
                  <c:v>Europe</c:v>
                </c:pt>
              </c:strCache>
            </c:strRef>
          </c:cat>
          <c:val>
            <c:numRef>
              <c:f>'pivot table'!$H$4:$H$9</c:f>
              <c:numCache>
                <c:formatCode>_("$"* #,##0_);_("$"* \(#,##0\);_("$"* "-"??_);_(@_)</c:formatCode>
                <c:ptCount val="5"/>
                <c:pt idx="0">
                  <c:v>112686.62139999997</c:v>
                </c:pt>
                <c:pt idx="1">
                  <c:v>98944.171900000059</c:v>
                </c:pt>
                <c:pt idx="2">
                  <c:v>93057.838000000003</c:v>
                </c:pt>
                <c:pt idx="3">
                  <c:v>85674.125699999975</c:v>
                </c:pt>
                <c:pt idx="4">
                  <c:v>74158.853499999983</c:v>
                </c:pt>
              </c:numCache>
            </c:numRef>
          </c:val>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79375" cap="flat" cmpd="sng" algn="ctr">
      <a:solidFill>
        <a:schemeClr val="accent6">
          <a:lumMod val="50000"/>
        </a:schemeClr>
      </a:solidFill>
      <a:round/>
    </a:ln>
    <a:effectLst/>
  </c:spPr>
  <c:txPr>
    <a:bodyPr/>
    <a:lstStyle/>
    <a:p>
      <a:pPr>
        <a:defRPr sz="28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Tech dashbord.xlsx]pivot table!PivotTable5</c:name>
    <c:fmtId val="2"/>
  </c:pivotSource>
  <c:chart>
    <c:title>
      <c:tx>
        <c:rich>
          <a:bodyPr rot="0" spcFirstLastPara="1" vertOverflow="ellipsis" vert="horz" wrap="square" anchor="ctr" anchorCtr="1"/>
          <a:lstStyle/>
          <a:p>
            <a:pPr>
              <a:defRPr sz="2160" b="1" i="0" u="none" strike="noStrike" kern="1200" spc="0" baseline="0">
                <a:solidFill>
                  <a:schemeClr val="tx1">
                    <a:lumMod val="65000"/>
                    <a:lumOff val="35000"/>
                  </a:schemeClr>
                </a:solidFill>
                <a:latin typeface="+mn-lt"/>
                <a:ea typeface="+mn-ea"/>
                <a:cs typeface="+mn-cs"/>
              </a:defRPr>
            </a:pPr>
            <a:r>
              <a:rPr lang="en-US"/>
              <a:t>net sales by sales rep</a:t>
            </a:r>
          </a:p>
        </c:rich>
      </c:tx>
      <c:layout/>
      <c:overlay val="0"/>
      <c:spPr>
        <a:noFill/>
        <a:ln>
          <a:noFill/>
        </a:ln>
        <a:effectLst/>
      </c:spPr>
      <c:txPr>
        <a:bodyPr rot="0" spcFirstLastPara="1" vertOverflow="ellipsis" vert="horz" wrap="square" anchor="ctr" anchorCtr="1"/>
        <a:lstStyle/>
        <a:p>
          <a:pPr>
            <a:defRPr sz="216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solidFill>
          <a:ln>
            <a:noFill/>
          </a:ln>
          <a:effectLst/>
        </c:spPr>
        <c:marker>
          <c:symbol val="none"/>
        </c:marker>
        <c:dLbl>
          <c:idx val="0"/>
          <c:layout/>
          <c:spPr>
            <a:noFill/>
            <a:ln>
              <a:noFill/>
            </a:ln>
            <a:effectLst/>
          </c:spPr>
          <c:txPr>
            <a:bodyPr rot="0" spcFirstLastPara="1" vertOverflow="ellipsis" vert="horz" wrap="square" anchor="ctr" anchorCtr="1"/>
            <a:lstStyle/>
            <a:p>
              <a:pPr>
                <a:defRPr sz="1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6"/>
          </a:solidFill>
          <a:ln>
            <a:noFill/>
          </a:ln>
          <a:effectLst/>
        </c:spPr>
      </c:pivotFmt>
    </c:pivotFmts>
    <c:plotArea>
      <c:layout>
        <c:manualLayout>
          <c:layoutTarget val="inner"/>
          <c:xMode val="edge"/>
          <c:yMode val="edge"/>
          <c:x val="0.20874612148315452"/>
          <c:y val="0.1360192461536561"/>
          <c:w val="0.74285503777070616"/>
          <c:h val="0.86398075384634387"/>
        </c:manualLayout>
      </c:layout>
      <c:barChart>
        <c:barDir val="bar"/>
        <c:grouping val="clustered"/>
        <c:varyColors val="0"/>
        <c:ser>
          <c:idx val="0"/>
          <c:order val="0"/>
          <c:tx>
            <c:strRef>
              <c:f>'pivot table'!$K$3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table'!$J$4:$J$13</c:f>
              <c:strCache>
                <c:ptCount val="9"/>
                <c:pt idx="0">
                  <c:v>Liam Chen</c:v>
                </c:pt>
                <c:pt idx="1">
                  <c:v>Carlos Rodriguez</c:v>
                </c:pt>
                <c:pt idx="2">
                  <c:v>Emma Dubois</c:v>
                </c:pt>
                <c:pt idx="3">
                  <c:v>Olivia Patel</c:v>
                </c:pt>
                <c:pt idx="4">
                  <c:v>Noah Kim</c:v>
                </c:pt>
                <c:pt idx="5">
                  <c:v>Ahmed Khan</c:v>
                </c:pt>
                <c:pt idx="6">
                  <c:v>Fatima Adebayo</c:v>
                </c:pt>
                <c:pt idx="7">
                  <c:v>Maria Garcia</c:v>
                </c:pt>
                <c:pt idx="8">
                  <c:v>Sophie Lee</c:v>
                </c:pt>
              </c:strCache>
            </c:strRef>
          </c:cat>
          <c:val>
            <c:numRef>
              <c:f>'pivot table'!$K$4:$K$13</c:f>
              <c:numCache>
                <c:formatCode>_("$"* #,##0_);_("$"* \(#,##0\);_("$"* "-"??_);_(@_)</c:formatCode>
                <c:ptCount val="9"/>
                <c:pt idx="0">
                  <c:v>44339.167600000001</c:v>
                </c:pt>
                <c:pt idx="1">
                  <c:v>78765.72080000001</c:v>
                </c:pt>
                <c:pt idx="2">
                  <c:v>96946.051800000001</c:v>
                </c:pt>
                <c:pt idx="3">
                  <c:v>97540.156800000012</c:v>
                </c:pt>
                <c:pt idx="4">
                  <c:v>98415.380700000009</c:v>
                </c:pt>
                <c:pt idx="5">
                  <c:v>194539.21440000003</c:v>
                </c:pt>
                <c:pt idx="6">
                  <c:v>199117.30189999999</c:v>
                </c:pt>
                <c:pt idx="7">
                  <c:v>246447.65150000001</c:v>
                </c:pt>
                <c:pt idx="8">
                  <c:v>275760.96499999997</c:v>
                </c:pt>
              </c:numCache>
            </c:numRef>
          </c:val>
        </c:ser>
        <c:dLbls>
          <c:showLegendKey val="0"/>
          <c:showVal val="0"/>
          <c:showCatName val="0"/>
          <c:showSerName val="0"/>
          <c:showPercent val="0"/>
          <c:showBubbleSize val="0"/>
        </c:dLbls>
        <c:gapWidth val="80"/>
        <c:axId val="334148176"/>
        <c:axId val="334148960"/>
      </c:barChart>
      <c:catAx>
        <c:axId val="3341481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crossAx val="334148960"/>
        <c:crosses val="autoZero"/>
        <c:auto val="1"/>
        <c:lblAlgn val="ctr"/>
        <c:lblOffset val="100"/>
        <c:noMultiLvlLbl val="0"/>
      </c:catAx>
      <c:valAx>
        <c:axId val="334148960"/>
        <c:scaling>
          <c:orientation val="minMax"/>
        </c:scaling>
        <c:delete val="1"/>
        <c:axPos val="b"/>
        <c:numFmt formatCode="_(&quot;$&quot;* #,##0_);_(&quot;$&quot;* \(#,##0\);_(&quot;$&quot;* &quot;-&quot;??_);_(@_)" sourceLinked="1"/>
        <c:majorTickMark val="out"/>
        <c:minorTickMark val="none"/>
        <c:tickLblPos val="nextTo"/>
        <c:crossAx val="3341481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8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66675" cap="flat" cmpd="sng" algn="ctr">
      <a:solidFill>
        <a:schemeClr val="accent6">
          <a:lumMod val="50000"/>
        </a:schemeClr>
      </a:solidFill>
      <a:round/>
    </a:ln>
    <a:effectLst/>
  </c:spPr>
  <c:txPr>
    <a:bodyPr/>
    <a:lstStyle/>
    <a:p>
      <a:pPr>
        <a:defRPr sz="18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Tech dashbord.xlsx]pivot table!PivotTable6</c:name>
    <c:fmtId val="3"/>
  </c:pivotSource>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n-US"/>
              <a:t>product quantity</a:t>
            </a:r>
          </a:p>
        </c:rich>
      </c:tx>
      <c:layout/>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solidFill>
          <a:ln w="133350">
            <a:solidFill>
              <a:schemeClr val="accent6"/>
            </a:solidFill>
          </a:ln>
          <a:effectLst/>
        </c:spPr>
        <c:marker>
          <c:symbol val="none"/>
        </c:marker>
        <c:dLbl>
          <c:idx val="0"/>
          <c:layout/>
          <c:spPr>
            <a:noFill/>
            <a:ln>
              <a:noFill/>
            </a:ln>
            <a:effectLst/>
          </c:spPr>
          <c:txPr>
            <a:bodyPr rot="0" spcFirstLastPara="1" vertOverflow="ellipsis" vert="horz" wrap="square" anchor="ctr" anchorCtr="1"/>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9.0145830174315961E-2"/>
          <c:y val="0.31387913456239691"/>
          <c:w val="0.74753530429531456"/>
          <c:h val="0.53132626438801656"/>
        </c:manualLayout>
      </c:layout>
      <c:barChart>
        <c:barDir val="col"/>
        <c:grouping val="clustered"/>
        <c:varyColors val="0"/>
        <c:ser>
          <c:idx val="0"/>
          <c:order val="0"/>
          <c:tx>
            <c:strRef>
              <c:f>'pivot table'!$N$3</c:f>
              <c:strCache>
                <c:ptCount val="1"/>
                <c:pt idx="0">
                  <c:v>Total</c:v>
                </c:pt>
              </c:strCache>
            </c:strRef>
          </c:tx>
          <c:spPr>
            <a:solidFill>
              <a:schemeClr val="accent6"/>
            </a:solidFill>
            <a:ln w="133350">
              <a:solidFill>
                <a:schemeClr val="accent6"/>
              </a:solidFill>
            </a:ln>
            <a:effectLst/>
          </c:spPr>
          <c:invertIfNegative val="0"/>
          <c:dLbls>
            <c:spPr>
              <a:noFill/>
              <a:ln>
                <a:noFill/>
              </a:ln>
              <a:effectLst/>
            </c:spPr>
            <c:txPr>
              <a:bodyPr rot="0" spcFirstLastPara="1" vertOverflow="ellipsis" vert="horz" wrap="square" anchor="ctr" anchorCtr="1"/>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table'!$M$4:$M$9</c:f>
              <c:strCache>
                <c:ptCount val="5"/>
                <c:pt idx="0">
                  <c:v>Smartwatch</c:v>
                </c:pt>
                <c:pt idx="1">
                  <c:v>Laptop</c:v>
                </c:pt>
                <c:pt idx="2">
                  <c:v>Headphones</c:v>
                </c:pt>
                <c:pt idx="3">
                  <c:v>Tablet</c:v>
                </c:pt>
                <c:pt idx="4">
                  <c:v>Smartphone</c:v>
                </c:pt>
              </c:strCache>
            </c:strRef>
          </c:cat>
          <c:val>
            <c:numRef>
              <c:f>'pivot table'!$N$4:$N$9</c:f>
              <c:numCache>
                <c:formatCode>_("$"* #,##0_);_("$"* \(#,##0\);_("$"* "-"??_);_(@_)</c:formatCode>
                <c:ptCount val="5"/>
                <c:pt idx="0">
                  <c:v>723</c:v>
                </c:pt>
                <c:pt idx="1">
                  <c:v>679</c:v>
                </c:pt>
                <c:pt idx="2">
                  <c:v>662</c:v>
                </c:pt>
                <c:pt idx="3">
                  <c:v>650</c:v>
                </c:pt>
                <c:pt idx="4">
                  <c:v>628</c:v>
                </c:pt>
              </c:numCache>
            </c:numRef>
          </c:val>
        </c:ser>
        <c:dLbls>
          <c:dLblPos val="outEnd"/>
          <c:showLegendKey val="0"/>
          <c:showVal val="1"/>
          <c:showCatName val="0"/>
          <c:showSerName val="0"/>
          <c:showPercent val="0"/>
          <c:showBubbleSize val="0"/>
        </c:dLbls>
        <c:gapWidth val="219"/>
        <c:overlap val="-27"/>
        <c:axId val="390915608"/>
        <c:axId val="390916000"/>
      </c:barChart>
      <c:catAx>
        <c:axId val="390915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390916000"/>
        <c:crosses val="autoZero"/>
        <c:auto val="1"/>
        <c:lblAlgn val="ctr"/>
        <c:lblOffset val="100"/>
        <c:noMultiLvlLbl val="0"/>
      </c:catAx>
      <c:valAx>
        <c:axId val="390916000"/>
        <c:scaling>
          <c:orientation val="minMax"/>
        </c:scaling>
        <c:delete val="1"/>
        <c:axPos val="l"/>
        <c:numFmt formatCode="_(&quot;$&quot;* #,##0_);_(&quot;$&quot;* \(#,##0\);_(&quot;$&quot;* &quot;-&quot;??_);_(@_)" sourceLinked="1"/>
        <c:majorTickMark val="out"/>
        <c:minorTickMark val="none"/>
        <c:tickLblPos val="nextTo"/>
        <c:crossAx val="390915608"/>
        <c:crosses val="autoZero"/>
        <c:crossBetween val="between"/>
      </c:valAx>
      <c:spPr>
        <a:noFill/>
        <a:ln>
          <a:noFill/>
        </a:ln>
        <a:effectLst/>
      </c:spPr>
    </c:plotArea>
    <c:plotVisOnly val="1"/>
    <c:dispBlanksAs val="gap"/>
    <c:showDLblsOverMax val="0"/>
  </c:chart>
  <c:spPr>
    <a:solidFill>
      <a:schemeClr val="bg1"/>
    </a:solidFill>
    <a:ln w="66675" cap="flat" cmpd="sng" algn="ctr">
      <a:solidFill>
        <a:schemeClr val="accent6">
          <a:lumMod val="50000"/>
        </a:schemeClr>
      </a:solidFill>
      <a:round/>
    </a:ln>
    <a:effectLst/>
  </c:spPr>
  <c:txPr>
    <a:bodyPr/>
    <a:lstStyle/>
    <a:p>
      <a:pPr>
        <a:defRPr sz="20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Tech dashbord.xlsx]pivot table!PivotTable7</c:name>
    <c:fmtId val="2"/>
  </c:pivotSource>
  <c:chart>
    <c:title>
      <c:tx>
        <c:rich>
          <a:bodyPr rot="0" spcFirstLastPara="1" vertOverflow="ellipsis" vert="horz" wrap="square" anchor="ctr" anchorCtr="1"/>
          <a:lstStyle/>
          <a:p>
            <a:pPr>
              <a:defRPr sz="3360" b="1" i="0" u="none" strike="noStrike" kern="1200" spc="0" baseline="0">
                <a:solidFill>
                  <a:schemeClr val="tx1">
                    <a:lumMod val="65000"/>
                    <a:lumOff val="35000"/>
                  </a:schemeClr>
                </a:solidFill>
                <a:latin typeface="+mn-lt"/>
                <a:ea typeface="+mn-ea"/>
                <a:cs typeface="+mn-cs"/>
              </a:defRPr>
            </a:pPr>
            <a:r>
              <a:rPr lang="en-US"/>
              <a:t>FEEDBACK ANALYSIS</a:t>
            </a:r>
          </a:p>
        </c:rich>
      </c:tx>
      <c:layout/>
      <c:overlay val="0"/>
      <c:spPr>
        <a:noFill/>
        <a:ln>
          <a:noFill/>
        </a:ln>
        <a:effectLst/>
      </c:spPr>
      <c:txPr>
        <a:bodyPr rot="0" spcFirstLastPara="1" vertOverflow="ellipsis" vert="horz" wrap="square" anchor="ctr" anchorCtr="1"/>
        <a:lstStyle/>
        <a:p>
          <a:pPr>
            <a:defRPr sz="336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anchor="ctr" anchorCtr="1"/>
            <a:lstStyle/>
            <a:p>
              <a:pPr>
                <a:defRPr sz="2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rgbClr val="FF0000"/>
          </a:solidFill>
          <a:ln w="19050">
            <a:solidFill>
              <a:schemeClr val="lt1"/>
            </a:solidFill>
          </a:ln>
          <a:effectLst/>
        </c:spPr>
      </c:pivotFmt>
      <c:pivotFmt>
        <c:idx val="7"/>
        <c:spPr>
          <a:solidFill>
            <a:schemeClr val="bg1">
              <a:lumMod val="50000"/>
            </a:schemeClr>
          </a:solidFill>
          <a:ln w="19050">
            <a:solidFill>
              <a:schemeClr val="lt1"/>
            </a:solidFill>
          </a:ln>
          <a:effectLst/>
        </c:spPr>
      </c:pivotFmt>
      <c:pivotFmt>
        <c:idx val="8"/>
        <c:spPr>
          <a:solidFill>
            <a:schemeClr val="accent6"/>
          </a:solidFill>
          <a:ln w="19050">
            <a:solidFill>
              <a:schemeClr val="lt1"/>
            </a:solidFill>
          </a:ln>
          <a:effectLst/>
        </c:spPr>
      </c:pivotFmt>
    </c:pivotFmts>
    <c:plotArea>
      <c:layout/>
      <c:pieChart>
        <c:varyColors val="1"/>
        <c:ser>
          <c:idx val="0"/>
          <c:order val="0"/>
          <c:tx>
            <c:strRef>
              <c:f>'pivot table'!$Q$3</c:f>
              <c:strCache>
                <c:ptCount val="1"/>
                <c:pt idx="0">
                  <c:v>Total</c:v>
                </c:pt>
              </c:strCache>
            </c:strRef>
          </c:tx>
          <c:dPt>
            <c:idx val="0"/>
            <c:bubble3D val="0"/>
            <c:spPr>
              <a:solidFill>
                <a:srgbClr val="FF0000"/>
              </a:solidFill>
              <a:ln w="19050">
                <a:solidFill>
                  <a:schemeClr val="lt1"/>
                </a:solidFill>
              </a:ln>
              <a:effectLst/>
            </c:spPr>
          </c:dPt>
          <c:dPt>
            <c:idx val="1"/>
            <c:bubble3D val="0"/>
            <c:spPr>
              <a:solidFill>
                <a:schemeClr val="bg1">
                  <a:lumMod val="50000"/>
                </a:schemeClr>
              </a:solidFill>
              <a:ln w="19050">
                <a:solidFill>
                  <a:schemeClr val="lt1"/>
                </a:solidFill>
              </a:ln>
              <a:effectLst/>
            </c:spPr>
          </c:dPt>
          <c:dPt>
            <c:idx val="2"/>
            <c:bubble3D val="0"/>
            <c:spPr>
              <a:solidFill>
                <a:schemeClr val="accent6"/>
              </a:solidFill>
              <a:ln w="19050">
                <a:solidFill>
                  <a:schemeClr val="lt1"/>
                </a:solidFill>
              </a:ln>
              <a:effectLst/>
            </c:spPr>
          </c:dPt>
          <c:dLbls>
            <c:spPr>
              <a:noFill/>
              <a:ln>
                <a:noFill/>
              </a:ln>
              <a:effectLst/>
            </c:spPr>
            <c:txPr>
              <a:bodyPr rot="0" spcFirstLastPara="1" vertOverflow="ellipsis" vert="horz" wrap="square" anchor="ctr" anchorCtr="1"/>
              <a:lstStyle/>
              <a:p>
                <a:pPr>
                  <a:defRPr sz="2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table'!$P$4:$P$7</c:f>
              <c:strCache>
                <c:ptCount val="3"/>
                <c:pt idx="0">
                  <c:v>Negative</c:v>
                </c:pt>
                <c:pt idx="1">
                  <c:v>Neutral</c:v>
                </c:pt>
                <c:pt idx="2">
                  <c:v>Postive</c:v>
                </c:pt>
              </c:strCache>
            </c:strRef>
          </c:cat>
          <c:val>
            <c:numRef>
              <c:f>'pivot table'!$Q$4:$Q$7</c:f>
              <c:numCache>
                <c:formatCode>_("$"* #,##0_);_("$"* \(#,##0\);_("$"* "-"??_);_(@_)</c:formatCode>
                <c:ptCount val="3"/>
                <c:pt idx="0">
                  <c:v>36</c:v>
                </c:pt>
                <c:pt idx="1">
                  <c:v>127</c:v>
                </c:pt>
                <c:pt idx="2">
                  <c:v>271</c:v>
                </c:pt>
              </c:numCache>
            </c:numRef>
          </c:val>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2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73025" cap="flat" cmpd="sng" algn="ctr">
      <a:solidFill>
        <a:schemeClr val="accent6">
          <a:lumMod val="50000"/>
        </a:schemeClr>
      </a:solidFill>
      <a:round/>
    </a:ln>
    <a:effectLst/>
  </c:spPr>
  <c:txPr>
    <a:bodyPr/>
    <a:lstStyle/>
    <a:p>
      <a:pPr>
        <a:defRPr sz="28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Tech dashbord.xlsx]pivot table!PivotTable3</c:name>
    <c:fmtId val="19"/>
  </c:pivotSource>
  <c:chart>
    <c:title>
      <c:tx>
        <c:rich>
          <a:bodyPr rot="0" spcFirstLastPara="1" vertOverflow="ellipsis" vert="horz" wrap="square" anchor="ctr" anchorCtr="1"/>
          <a:lstStyle/>
          <a:p>
            <a:pPr>
              <a:defRPr sz="3840" b="0" i="0" u="none" strike="noStrike" kern="1200" spc="0" baseline="0">
                <a:solidFill>
                  <a:schemeClr val="tx1">
                    <a:lumMod val="65000"/>
                    <a:lumOff val="35000"/>
                  </a:schemeClr>
                </a:solidFill>
                <a:latin typeface="+mn-lt"/>
                <a:ea typeface="+mn-ea"/>
                <a:cs typeface="+mn-cs"/>
              </a:defRPr>
            </a:pPr>
            <a:r>
              <a:rPr lang="en-US"/>
              <a:t>sale by  region</a:t>
            </a:r>
          </a:p>
        </c:rich>
      </c:tx>
      <c:layout>
        <c:manualLayout>
          <c:xMode val="edge"/>
          <c:yMode val="edge"/>
          <c:x val="0.38138888888888889"/>
          <c:y val="7.3053368328958895E-2"/>
        </c:manualLayout>
      </c:layout>
      <c:overlay val="0"/>
      <c:spPr>
        <a:noFill/>
        <a:ln>
          <a:noFill/>
        </a:ln>
        <a:effectLst/>
      </c:spPr>
      <c:txPr>
        <a:bodyPr rot="0" spcFirstLastPara="1" vertOverflow="ellipsis" vert="horz" wrap="square" anchor="ctr" anchorCtr="1"/>
        <a:lstStyle/>
        <a:p>
          <a:pPr>
            <a:defRPr sz="38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solidFill>
          <a:ln>
            <a:noFill/>
          </a:ln>
          <a:effectLst/>
        </c:spPr>
        <c:marker>
          <c:symbol val="none"/>
        </c:marker>
        <c:dLbl>
          <c:idx val="0"/>
          <c:layout/>
          <c:spPr>
            <a:noFill/>
            <a:ln>
              <a:noFill/>
            </a:ln>
            <a:effectLst/>
          </c:spPr>
          <c:txPr>
            <a:bodyPr rot="0" spcFirstLastPara="1" vertOverflow="ellipsis" vert="horz" wrap="square" anchor="ctr" anchorCtr="1"/>
            <a:lstStyle/>
            <a:p>
              <a:pPr>
                <a:defRPr sz="3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table'!$E$3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3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table'!$D$4:$D$9</c:f>
              <c:strCache>
                <c:ptCount val="5"/>
                <c:pt idx="0">
                  <c:v>Africa</c:v>
                </c:pt>
                <c:pt idx="1">
                  <c:v>Europe</c:v>
                </c:pt>
                <c:pt idx="2">
                  <c:v>North America</c:v>
                </c:pt>
                <c:pt idx="3">
                  <c:v>South America</c:v>
                </c:pt>
                <c:pt idx="4">
                  <c:v>Asia</c:v>
                </c:pt>
              </c:strCache>
            </c:strRef>
          </c:cat>
          <c:val>
            <c:numRef>
              <c:f>'pivot table'!$E$4:$E$9</c:f>
              <c:numCache>
                <c:formatCode>_("$"* #,##0_);_("$"* \(#,##0\);_("$"* "-"??_);_(@_)</c:formatCode>
                <c:ptCount val="5"/>
                <c:pt idx="0">
                  <c:v>241857.83799999993</c:v>
                </c:pt>
                <c:pt idx="1">
                  <c:v>252958.8535</c:v>
                </c:pt>
                <c:pt idx="2">
                  <c:v>253644.17189999996</c:v>
                </c:pt>
                <c:pt idx="3">
                  <c:v>274724.12569999998</c:v>
                </c:pt>
                <c:pt idx="4">
                  <c:v>308686.62140000006</c:v>
                </c:pt>
              </c:numCache>
            </c:numRef>
          </c:val>
        </c:ser>
        <c:dLbls>
          <c:dLblPos val="outEnd"/>
          <c:showLegendKey val="0"/>
          <c:showVal val="1"/>
          <c:showCatName val="0"/>
          <c:showSerName val="0"/>
          <c:showPercent val="0"/>
          <c:showBubbleSize val="0"/>
        </c:dLbls>
        <c:gapWidth val="113"/>
        <c:overlap val="-27"/>
        <c:axId val="390910120"/>
        <c:axId val="390916392"/>
      </c:barChart>
      <c:catAx>
        <c:axId val="390910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3200" b="0" i="0" u="none" strike="noStrike" kern="1200" baseline="0">
                <a:solidFill>
                  <a:schemeClr val="tx1">
                    <a:lumMod val="65000"/>
                    <a:lumOff val="35000"/>
                  </a:schemeClr>
                </a:solidFill>
                <a:latin typeface="+mn-lt"/>
                <a:ea typeface="+mn-ea"/>
                <a:cs typeface="+mn-cs"/>
              </a:defRPr>
            </a:pPr>
            <a:endParaRPr lang="en-US"/>
          </a:p>
        </c:txPr>
        <c:crossAx val="390916392"/>
        <c:crosses val="autoZero"/>
        <c:auto val="1"/>
        <c:lblAlgn val="ctr"/>
        <c:lblOffset val="100"/>
        <c:noMultiLvlLbl val="0"/>
      </c:catAx>
      <c:valAx>
        <c:axId val="390916392"/>
        <c:scaling>
          <c:orientation val="minMax"/>
        </c:scaling>
        <c:delete val="1"/>
        <c:axPos val="l"/>
        <c:numFmt formatCode="_(&quot;$&quot;* #,##0_);_(&quot;$&quot;* \(#,##0\);_(&quot;$&quot;* &quot;-&quot;??_);_(@_)" sourceLinked="1"/>
        <c:majorTickMark val="out"/>
        <c:minorTickMark val="none"/>
        <c:tickLblPos val="nextTo"/>
        <c:crossAx val="390910120"/>
        <c:crosses val="autoZero"/>
        <c:crossBetween val="between"/>
      </c:valAx>
      <c:spPr>
        <a:noFill/>
        <a:ln>
          <a:noFill/>
        </a:ln>
        <a:effectLst/>
      </c:spPr>
    </c:plotArea>
    <c:plotVisOnly val="1"/>
    <c:dispBlanksAs val="gap"/>
    <c:showDLblsOverMax val="0"/>
  </c:chart>
  <c:spPr>
    <a:solidFill>
      <a:schemeClr val="bg1"/>
    </a:solidFill>
    <a:ln w="63500" cap="flat" cmpd="sng" algn="ctr">
      <a:solidFill>
        <a:schemeClr val="accent6">
          <a:lumMod val="50000"/>
        </a:schemeClr>
      </a:solidFill>
      <a:round/>
    </a:ln>
    <a:effectLst/>
  </c:spPr>
  <c:txPr>
    <a:bodyPr/>
    <a:lstStyle/>
    <a:p>
      <a:pPr>
        <a:defRPr sz="3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Tech dashbord.xlsx]pivot table!PivotTable2</c:name>
    <c:fmtId val="7"/>
  </c:pivotSource>
  <c:chart>
    <c:title>
      <c:tx>
        <c:rich>
          <a:bodyPr rot="0" spcFirstLastPara="1" vertOverflow="ellipsis" vert="horz" wrap="square" anchor="ctr" anchorCtr="1"/>
          <a:lstStyle/>
          <a:p>
            <a:pPr>
              <a:defRPr sz="2880" b="1" i="0" u="none" strike="noStrike" kern="1200" spc="0" baseline="0">
                <a:solidFill>
                  <a:schemeClr val="tx1">
                    <a:lumMod val="65000"/>
                    <a:lumOff val="35000"/>
                  </a:schemeClr>
                </a:solidFill>
                <a:latin typeface="+mn-lt"/>
                <a:ea typeface="+mn-ea"/>
                <a:cs typeface="+mn-cs"/>
              </a:defRPr>
            </a:pPr>
            <a:r>
              <a:rPr lang="en-US"/>
              <a:t>sale by year</a:t>
            </a:r>
          </a:p>
        </c:rich>
      </c:tx>
      <c:layout/>
      <c:overlay val="0"/>
      <c:spPr>
        <a:noFill/>
        <a:ln>
          <a:noFill/>
        </a:ln>
        <a:effectLst/>
      </c:spPr>
      <c:txPr>
        <a:bodyPr rot="0" spcFirstLastPara="1" vertOverflow="ellipsis" vert="horz" wrap="square" anchor="ctr" anchorCtr="1"/>
        <a:lstStyle/>
        <a:p>
          <a:pPr>
            <a:defRPr sz="288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69850"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744826208129056E-2"/>
          <c:y val="0.12906995100804233"/>
          <c:w val="0.90925517379187093"/>
          <c:h val="0.75252927041834139"/>
        </c:manualLayout>
      </c:layout>
      <c:lineChart>
        <c:grouping val="standard"/>
        <c:varyColors val="0"/>
        <c:ser>
          <c:idx val="0"/>
          <c:order val="0"/>
          <c:tx>
            <c:strRef>
              <c:f>'pivot table'!$B$3</c:f>
              <c:strCache>
                <c:ptCount val="1"/>
                <c:pt idx="0">
                  <c:v>Total</c:v>
                </c:pt>
              </c:strCache>
            </c:strRef>
          </c:tx>
          <c:spPr>
            <a:ln w="69850" cap="rnd">
              <a:solidFill>
                <a:schemeClr val="accent6"/>
              </a:solidFill>
              <a:round/>
            </a:ln>
            <a:effectLst/>
          </c:spPr>
          <c:marker>
            <c:symbol val="none"/>
          </c:marker>
          <c:cat>
            <c:strRef>
              <c:f>'pivot table'!$A$4:$A$8</c:f>
              <c:strCache>
                <c:ptCount val="4"/>
                <c:pt idx="0">
                  <c:v>2026</c:v>
                </c:pt>
                <c:pt idx="1">
                  <c:v>2025</c:v>
                </c:pt>
                <c:pt idx="2">
                  <c:v>2024</c:v>
                </c:pt>
                <c:pt idx="3">
                  <c:v>2023</c:v>
                </c:pt>
              </c:strCache>
            </c:strRef>
          </c:cat>
          <c:val>
            <c:numRef>
              <c:f>'pivot table'!$B$4:$B$8</c:f>
              <c:numCache>
                <c:formatCode>_("$"* #,##0_);_("$"* \(#,##0\);_("$"* "-"??_);_(@_)</c:formatCode>
                <c:ptCount val="4"/>
                <c:pt idx="0">
                  <c:v>372154.51609999989</c:v>
                </c:pt>
                <c:pt idx="1">
                  <c:v>297186.69299999991</c:v>
                </c:pt>
                <c:pt idx="2">
                  <c:v>301306.00559999992</c:v>
                </c:pt>
                <c:pt idx="3">
                  <c:v>361224.39580000006</c:v>
                </c:pt>
              </c:numCache>
            </c:numRef>
          </c:val>
          <c:smooth val="0"/>
        </c:ser>
        <c:dLbls>
          <c:dLblPos val="t"/>
          <c:showLegendKey val="0"/>
          <c:showVal val="0"/>
          <c:showCatName val="0"/>
          <c:showSerName val="0"/>
          <c:showPercent val="0"/>
          <c:showBubbleSize val="0"/>
        </c:dLbls>
        <c:smooth val="0"/>
        <c:axId val="390916784"/>
        <c:axId val="390917176"/>
      </c:lineChart>
      <c:catAx>
        <c:axId val="390916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crossAx val="390917176"/>
        <c:crosses val="autoZero"/>
        <c:auto val="1"/>
        <c:lblAlgn val="ctr"/>
        <c:lblOffset val="100"/>
        <c:noMultiLvlLbl val="0"/>
      </c:catAx>
      <c:valAx>
        <c:axId val="390917176"/>
        <c:scaling>
          <c:orientation val="minMax"/>
        </c:scaling>
        <c:delete val="1"/>
        <c:axPos val="l"/>
        <c:numFmt formatCode="_(&quot;$&quot;* #,##0_);_(&quot;$&quot;* \(#,##0\);_(&quot;$&quot;* &quot;-&quot;??_);_(@_)" sourceLinked="1"/>
        <c:majorTickMark val="none"/>
        <c:minorTickMark val="none"/>
        <c:tickLblPos val="nextTo"/>
        <c:crossAx val="3909167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24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63500" cap="flat" cmpd="sng" algn="ctr">
      <a:solidFill>
        <a:schemeClr val="accent6">
          <a:lumMod val="50000"/>
        </a:schemeClr>
      </a:solidFill>
      <a:round/>
    </a:ln>
    <a:effectLst/>
  </c:spPr>
  <c:txPr>
    <a:bodyPr/>
    <a:lstStyle/>
    <a:p>
      <a:pPr>
        <a:defRPr sz="24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561975</xdr:colOff>
      <xdr:row>11</xdr:row>
      <xdr:rowOff>171450</xdr:rowOff>
    </xdr:from>
    <xdr:to>
      <xdr:col>3</xdr:col>
      <xdr:colOff>147782</xdr:colOff>
      <xdr:row>25</xdr:row>
      <xdr:rowOff>28575</xdr:rowOff>
    </xdr:to>
    <mc:AlternateContent xmlns:mc="http://schemas.openxmlformats.org/markup-compatibility/2006" xmlns:a14="http://schemas.microsoft.com/office/drawing/2010/main">
      <mc:Choice Requires="a14">
        <xdr:graphicFrame macro="">
          <xdr:nvGraphicFramePr>
            <xdr:cNvPr id="8"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438275" y="22669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2140273</xdr:colOff>
      <xdr:row>3</xdr:row>
      <xdr:rowOff>338943</xdr:rowOff>
    </xdr:from>
    <xdr:to>
      <xdr:col>19</xdr:col>
      <xdr:colOff>63500</xdr:colOff>
      <xdr:row>18</xdr:row>
      <xdr:rowOff>127000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3821675</xdr:colOff>
      <xdr:row>19</xdr:row>
      <xdr:rowOff>214679</xdr:rowOff>
    </xdr:from>
    <xdr:to>
      <xdr:col>3</xdr:col>
      <xdr:colOff>0</xdr:colOff>
      <xdr:row>32</xdr:row>
      <xdr:rowOff>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422955</xdr:colOff>
      <xdr:row>19</xdr:row>
      <xdr:rowOff>155347</xdr:rowOff>
    </xdr:from>
    <xdr:to>
      <xdr:col>5</xdr:col>
      <xdr:colOff>1706562</xdr:colOff>
      <xdr:row>31</xdr:row>
      <xdr:rowOff>436562</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2408465</xdr:colOff>
      <xdr:row>18</xdr:row>
      <xdr:rowOff>503465</xdr:rowOff>
    </xdr:from>
    <xdr:to>
      <xdr:col>19</xdr:col>
      <xdr:colOff>285750</xdr:colOff>
      <xdr:row>31</xdr:row>
      <xdr:rowOff>285751</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367541</xdr:colOff>
      <xdr:row>4</xdr:row>
      <xdr:rowOff>31344</xdr:rowOff>
    </xdr:from>
    <xdr:to>
      <xdr:col>0</xdr:col>
      <xdr:colOff>3727174</xdr:colOff>
      <xdr:row>13</xdr:row>
      <xdr:rowOff>248476</xdr:rowOff>
    </xdr:to>
    <mc:AlternateContent xmlns:mc="http://schemas.openxmlformats.org/markup-compatibility/2006">
      <mc:Choice xmlns:a14="http://schemas.microsoft.com/office/drawing/2010/main" Requires="a14">
        <xdr:graphicFrame macro="">
          <xdr:nvGraphicFramePr>
            <xdr:cNvPr id="8"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367541" y="3285719"/>
              <a:ext cx="3359633" cy="55749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4147812</xdr:colOff>
      <xdr:row>3</xdr:row>
      <xdr:rowOff>502204</xdr:rowOff>
    </xdr:from>
    <xdr:to>
      <xdr:col>3</xdr:col>
      <xdr:colOff>41413</xdr:colOff>
      <xdr:row>18</xdr:row>
      <xdr:rowOff>289890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432465</xdr:colOff>
      <xdr:row>3</xdr:row>
      <xdr:rowOff>416065</xdr:rowOff>
    </xdr:from>
    <xdr:to>
      <xdr:col>5</xdr:col>
      <xdr:colOff>1831731</xdr:colOff>
      <xdr:row>18</xdr:row>
      <xdr:rowOff>256442</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079.203565046293" createdVersion="5" refreshedVersion="5" minRefreshableVersion="3" recordCount="434">
  <cacheSource type="worksheet">
    <worksheetSource ref="A1:AB435" sheet="Sales Dataset"/>
  </cacheSource>
  <cacheFields count="28">
    <cacheField name="OrderID" numFmtId="0">
      <sharedItems/>
    </cacheField>
    <cacheField name="CustomerID" numFmtId="0">
      <sharedItems/>
    </cacheField>
    <cacheField name="SalesRepID" numFmtId="0">
      <sharedItems/>
    </cacheField>
    <cacheField name="SalesRepName" numFmtId="0">
      <sharedItems count="9">
        <s v="Ahmed Khan"/>
        <s v="Maria Garcia"/>
        <s v="Fatima Adebayo"/>
        <s v="Emma Dubois"/>
        <s v="Sophie Lee"/>
        <s v="Olivia Patel"/>
        <s v="Carlos Rodriguez"/>
        <s v="Liam Chen"/>
        <s v="Noah Kim"/>
      </sharedItems>
    </cacheField>
    <cacheField name="Date" numFmtId="14">
      <sharedItems containsSemiMixedTypes="0" containsNonDate="0" containsDate="1" containsString="0" minDate="2023-01-04T00:00:00" maxDate="2027-01-01T00:00:00"/>
    </cacheField>
    <cacheField name="Year" numFmtId="1">
      <sharedItems containsSemiMixedTypes="0" containsString="0" containsNumber="1" containsInteger="1" minValue="2023" maxValue="2026" count="4">
        <n v="2024"/>
        <n v="2026"/>
        <n v="2023"/>
        <n v="2025"/>
      </sharedItems>
    </cacheField>
    <cacheField name="Month" numFmtId="14">
      <sharedItems/>
    </cacheField>
    <cacheField name="Day" numFmtId="14">
      <sharedItems/>
    </cacheField>
    <cacheField name="Time" numFmtId="21">
      <sharedItems containsSemiMixedTypes="0" containsNonDate="0" containsDate="1" containsString="0" minDate="1899-12-30T08:00:52" maxDate="1899-12-30T21:59:04"/>
    </cacheField>
    <cacheField name="Hour" numFmtId="1">
      <sharedItems containsSemiMixedTypes="0" containsString="0" containsNumber="1" containsInteger="1" minValue="8" maxValue="21"/>
    </cacheField>
    <cacheField name="Minute" numFmtId="1">
      <sharedItems containsSemiMixedTypes="0" containsString="0" containsNumber="1" containsInteger="1" minValue="0" maxValue="59"/>
    </cacheField>
    <cacheField name="Product" numFmtId="0">
      <sharedItems count="5">
        <s v="Laptop"/>
        <s v="Smartphone"/>
        <s v="Tablet"/>
        <s v="Smartwatch"/>
        <s v="Headphones"/>
      </sharedItems>
    </cacheField>
    <cacheField name="Product cat" numFmtId="0">
      <sharedItems/>
    </cacheField>
    <cacheField name="OrderQuantity" numFmtId="0">
      <sharedItems containsSemiMixedTypes="0" containsString="0" containsNumber="1" containsInteger="1" minValue="1" maxValue="15"/>
    </cacheField>
    <cacheField name="UnitPrice" numFmtId="0">
      <sharedItems containsSemiMixedTypes="0" containsString="0" containsNumber="1" minValue="120.56" maxValue="1292.0899999999999"/>
    </cacheField>
    <cacheField name="Unit Cost" numFmtId="0">
      <sharedItems containsSemiMixedTypes="0" containsString="0" containsNumber="1" containsInteger="1" minValue="50" maxValue="600"/>
    </cacheField>
    <cacheField name="Region" numFmtId="0">
      <sharedItems count="5">
        <s v="North America"/>
        <s v="Asia"/>
        <s v="Europe"/>
        <s v="South America"/>
        <s v="Africa"/>
      </sharedItems>
    </cacheField>
    <cacheField name="SalesRepEmail" numFmtId="0">
      <sharedItems/>
    </cacheField>
    <cacheField name="Feedback" numFmtId="0">
      <sharedItems containsBlank="1" count="16">
        <s v="Excellent quality"/>
        <s v="Fast delivery"/>
        <s v="Good value for money"/>
        <s v="Very satisfied"/>
        <m/>
        <s v="Packaging was damaged"/>
        <s v="Perfect fit"/>
        <s v="Battery life amazing"/>
        <s v="A bit expensive but worth it"/>
        <s v="Fantastic customer service"/>
        <s v="Great product"/>
        <s v="Highly recommend"/>
        <s v="Quick shipping"/>
        <s v="Love the design"/>
        <s v="Not as expected"/>
        <s v="Would buy again"/>
      </sharedItems>
    </cacheField>
    <cacheField name="Feedback Category" numFmtId="0">
      <sharedItems count="3">
        <s v="Postive"/>
        <s v="Neutral"/>
        <s v="Negative"/>
      </sharedItems>
    </cacheField>
    <cacheField name="Gross Revenue" numFmtId="164">
      <sharedItems containsSemiMixedTypes="0" containsString="0" containsNumber="1" minValue="124.72" maxValue="19209"/>
    </cacheField>
    <cacheField name="Total Cost" numFmtId="164">
      <sharedItems containsSemiMixedTypes="0" containsString="0" containsNumber="1" containsInteger="1" minValue="50" maxValue="9000"/>
    </cacheField>
    <cacheField name="Tax Rate" numFmtId="9">
      <sharedItems containsSemiMixedTypes="0" containsString="0" containsNumber="1" minValue="7.0000000000000007E-2" maxValue="0.2"/>
    </cacheField>
    <cacheField name="Tax Amount" numFmtId="165">
      <sharedItems containsSemiMixedTypes="0" containsString="0" containsNumber="1" minValue="15.231999999999999" maxValue="3055.11"/>
    </cacheField>
    <cacheField name="Discount Rate" numFmtId="9">
      <sharedItems containsSemiMixedTypes="0" containsString="0" containsNumber="1" minValue="0.03" maxValue="0.1"/>
    </cacheField>
    <cacheField name="Discount Amount" numFmtId="164">
      <sharedItems containsSemiMixedTypes="0" containsString="0" containsNumber="1" minValue="3.7416" maxValue="981.5680000000001"/>
    </cacheField>
    <cacheField name="Net Sales" numFmtId="164">
      <sharedItems containsSemiMixedTypes="0" containsString="0" containsNumber="1" minValue="96.034399999999991" maxValue="16327.649999999998"/>
    </cacheField>
    <cacheField name="Profit/loss" numFmtId="164">
      <sharedItems containsSemiMixedTypes="0" containsString="0" containsNumber="1" minValue="-3375" maxValue="7327.6499999999978"/>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434">
  <r>
    <s v="ORD-00001"/>
    <s v="CUST-754"/>
    <s v="REP-13"/>
    <x v="0"/>
    <d v="2024-07-17T00:00:00"/>
    <x v="0"/>
    <s v="July"/>
    <s v="Wednesday"/>
    <d v="1899-12-30T11:08:47"/>
    <n v="11"/>
    <n v="8"/>
    <x v="0"/>
    <s v="Computers"/>
    <n v="15"/>
    <n v="1095.25"/>
    <n v="600"/>
    <x v="0"/>
    <s v="ahmedkhan@tg.inc"/>
    <x v="0"/>
    <x v="0"/>
    <n v="16428.75"/>
    <n v="9000"/>
    <n v="7.0000000000000007E-2"/>
    <n v="1150.0125"/>
    <n v="0.05"/>
    <n v="821.4375"/>
    <n v="14457.3"/>
    <n v="5457.2999999999993"/>
  </r>
  <r>
    <s v="ORD-00002"/>
    <s v="CUST-529"/>
    <s v="REP-17"/>
    <x v="1"/>
    <d v="2026-04-21T00:00:00"/>
    <x v="1"/>
    <s v="April"/>
    <s v="Tuesday"/>
    <d v="1899-12-30T20:55:00"/>
    <n v="20"/>
    <n v="55"/>
    <x v="1"/>
    <s v="Mobile Devices"/>
    <n v="6"/>
    <n v="544.59"/>
    <n v="300"/>
    <x v="1"/>
    <s v="mariagarcia@tg.inc"/>
    <x v="1"/>
    <x v="0"/>
    <n v="3267.54"/>
    <n v="1800"/>
    <n v="0.1"/>
    <n v="326.75400000000002"/>
    <n v="0.1"/>
    <n v="326.75400000000002"/>
    <n v="2614.0320000000002"/>
    <n v="814.03200000000015"/>
  </r>
  <r>
    <s v="ORD-00003"/>
    <s v="CUST-649"/>
    <s v="REP-13"/>
    <x v="0"/>
    <d v="2023-11-06T00:00:00"/>
    <x v="2"/>
    <s v="November"/>
    <s v="Monday"/>
    <d v="1899-12-30T21:40:39"/>
    <n v="21"/>
    <n v="40"/>
    <x v="2"/>
    <s v="Tablets"/>
    <n v="12"/>
    <n v="500"/>
    <n v="200"/>
    <x v="2"/>
    <s v="ahmedkhan@sales.techg.com"/>
    <x v="2"/>
    <x v="0"/>
    <n v="6000"/>
    <n v="2400"/>
    <n v="0.2"/>
    <n v="1200"/>
    <n v="0.08"/>
    <n v="480"/>
    <n v="4320"/>
    <n v="1920"/>
  </r>
  <r>
    <s v="ORD-00004"/>
    <s v="CUST-266"/>
    <s v="REP-22"/>
    <x v="2"/>
    <d v="2024-05-03T00:00:00"/>
    <x v="0"/>
    <s v="May"/>
    <s v="Friday"/>
    <d v="1899-12-30T19:59:43"/>
    <n v="19"/>
    <n v="59"/>
    <x v="0"/>
    <s v="Computers"/>
    <n v="3"/>
    <n v="922.41"/>
    <n v="600"/>
    <x v="3"/>
    <s v="fatimaadebayo@sales.techg.com"/>
    <x v="3"/>
    <x v="0"/>
    <n v="2767.23"/>
    <n v="1800"/>
    <n v="0.15"/>
    <n v="415.08449999999999"/>
    <n v="0.05"/>
    <n v="138.36150000000001"/>
    <n v="2213.7840000000001"/>
    <n v="413.78400000000011"/>
  </r>
  <r>
    <s v="ORD-00005"/>
    <s v="CUST-334"/>
    <s v="REP-11"/>
    <x v="3"/>
    <d v="2025-01-04T00:00:00"/>
    <x v="3"/>
    <s v="January"/>
    <s v="Saturday"/>
    <d v="1899-12-30T09:13:58"/>
    <n v="9"/>
    <n v="13"/>
    <x v="3"/>
    <s v="Wearables"/>
    <n v="6"/>
    <n v="230.92"/>
    <n v="150"/>
    <x v="3"/>
    <s v="emmadubois@techgadgetsco.com"/>
    <x v="4"/>
    <x v="1"/>
    <n v="1385.52"/>
    <n v="900"/>
    <n v="0.15"/>
    <n v="207.828"/>
    <n v="7.0000000000000007E-2"/>
    <n v="96.986400000000003"/>
    <n v="1080.7056"/>
    <n v="180.7056"/>
  </r>
  <r>
    <s v="ORD-00006"/>
    <s v="CUST-470"/>
    <s v="REP-17"/>
    <x v="1"/>
    <d v="2025-09-11T00:00:00"/>
    <x v="3"/>
    <s v="September"/>
    <s v="Thursday"/>
    <d v="1899-12-30T09:48:03"/>
    <n v="9"/>
    <n v="48"/>
    <x v="0"/>
    <s v="Computers"/>
    <n v="3"/>
    <n v="1011.08"/>
    <n v="600"/>
    <x v="0"/>
    <s v="mariagarcia@techgadgetsco.com"/>
    <x v="4"/>
    <x v="1"/>
    <n v="3033.2400000000002"/>
    <n v="1800"/>
    <n v="7.0000000000000007E-2"/>
    <n v="212.32680000000005"/>
    <n v="0.05"/>
    <n v="151.66200000000001"/>
    <n v="2669.2512000000002"/>
    <n v="869.25120000000015"/>
  </r>
  <r>
    <s v="ORD-00007"/>
    <s v="CUST-838"/>
    <s v="REP-13"/>
    <x v="0"/>
    <d v="2026-05-08T00:00:00"/>
    <x v="1"/>
    <s v="May"/>
    <s v="Friday"/>
    <d v="1899-12-30T09:18:27"/>
    <n v="9"/>
    <n v="18"/>
    <x v="1"/>
    <s v="Mobile Devices"/>
    <n v="12"/>
    <n v="559.02"/>
    <n v="300"/>
    <x v="4"/>
    <s v="ahmedkhan@sales.techg.com"/>
    <x v="4"/>
    <x v="1"/>
    <n v="6708.24"/>
    <n v="3600"/>
    <n v="0.12"/>
    <n v="804.98879999999997"/>
    <n v="0.1"/>
    <n v="670.82400000000007"/>
    <n v="5232.4272000000001"/>
    <n v="1632.4272000000001"/>
  </r>
  <r>
    <s v="ORD-00008"/>
    <s v="CUST-482"/>
    <s v="REP-15"/>
    <x v="4"/>
    <d v="2025-12-22T00:00:00"/>
    <x v="3"/>
    <s v="December"/>
    <s v="Monday"/>
    <d v="1899-12-30T17:20:31"/>
    <n v="17"/>
    <n v="20"/>
    <x v="0"/>
    <s v="Computers"/>
    <n v="6"/>
    <n v="1215.83"/>
    <n v="600"/>
    <x v="1"/>
    <s v="sophielee@sales.techg.com"/>
    <x v="4"/>
    <x v="1"/>
    <n v="7294.98"/>
    <n v="3600"/>
    <n v="0.1"/>
    <n v="729.49800000000005"/>
    <n v="0.05"/>
    <n v="364.74900000000002"/>
    <n v="6200.7330000000002"/>
    <n v="2600.7330000000002"/>
  </r>
  <r>
    <s v="ORD-00009"/>
    <s v="CUST-878"/>
    <s v="REP-33"/>
    <x v="0"/>
    <d v="2023-09-20T00:00:00"/>
    <x v="2"/>
    <s v="September"/>
    <s v="Wednesday"/>
    <d v="1899-12-30T16:10:16"/>
    <n v="16"/>
    <n v="10"/>
    <x v="3"/>
    <s v="Wearables"/>
    <n v="7"/>
    <n v="278.18"/>
    <n v="150"/>
    <x v="2"/>
    <s v="ahmedkhan@sales.techg.com"/>
    <x v="1"/>
    <x v="0"/>
    <n v="1947.26"/>
    <n v="1050"/>
    <n v="0.2"/>
    <n v="389.452"/>
    <n v="7.0000000000000007E-2"/>
    <n v="136.3082"/>
    <n v="1421.4998000000001"/>
    <n v="371.49980000000005"/>
  </r>
  <r>
    <s v="ORD-00010"/>
    <s v="CUST-330"/>
    <s v="REP-12"/>
    <x v="5"/>
    <d v="2023-02-13T00:00:00"/>
    <x v="2"/>
    <s v="February"/>
    <s v="Monday"/>
    <d v="1899-12-30T17:14:00"/>
    <n v="17"/>
    <n v="14"/>
    <x v="0"/>
    <s v="Computers"/>
    <n v="1"/>
    <n v="1252.71"/>
    <n v="600"/>
    <x v="1"/>
    <s v="oliviapatel@tg.inc"/>
    <x v="5"/>
    <x v="2"/>
    <n v="1252.71"/>
    <n v="600"/>
    <n v="0.1"/>
    <n v="125.27100000000002"/>
    <n v="0.05"/>
    <n v="62.635500000000008"/>
    <n v="1064.8035"/>
    <n v="464.80349999999999"/>
  </r>
  <r>
    <s v="ORD-00011"/>
    <s v="CUST-690"/>
    <s v="REP-29"/>
    <x v="4"/>
    <d v="2025-08-26T00:00:00"/>
    <x v="3"/>
    <s v="August"/>
    <s v="Tuesday"/>
    <d v="1899-12-30T11:06:06"/>
    <n v="11"/>
    <n v="6"/>
    <x v="4"/>
    <s v="Audio"/>
    <n v="7"/>
    <n v="174.68"/>
    <n v="50"/>
    <x v="0"/>
    <s v="sophielee@tg.inc"/>
    <x v="2"/>
    <x v="0"/>
    <n v="1222.76"/>
    <n v="350"/>
    <n v="7.0000000000000007E-2"/>
    <n v="85.59320000000001"/>
    <n v="0.03"/>
    <n v="36.6828"/>
    <n v="1100.4839999999999"/>
    <n v="750.48399999999992"/>
  </r>
  <r>
    <s v="ORD-00012"/>
    <s v="CUST-532"/>
    <s v="REP-15"/>
    <x v="4"/>
    <d v="2025-05-08T00:00:00"/>
    <x v="3"/>
    <s v="May"/>
    <s v="Thursday"/>
    <d v="1899-12-30T21:59:04"/>
    <n v="21"/>
    <n v="59"/>
    <x v="4"/>
    <s v="Audio"/>
    <n v="14"/>
    <n v="123.79"/>
    <n v="50"/>
    <x v="4"/>
    <s v="sophielee@tg.inc"/>
    <x v="3"/>
    <x v="0"/>
    <n v="1733.0600000000002"/>
    <n v="700"/>
    <n v="0.12"/>
    <n v="207.96720000000002"/>
    <n v="0.03"/>
    <n v="51.991800000000005"/>
    <n v="1473.1010000000001"/>
    <n v="773.10100000000011"/>
  </r>
  <r>
    <s v="ORD-00013"/>
    <s v="CUST-510"/>
    <s v="REP-11"/>
    <x v="3"/>
    <d v="2025-02-15T00:00:00"/>
    <x v="3"/>
    <s v="February"/>
    <s v="Saturday"/>
    <d v="1899-12-30T14:16:59"/>
    <n v="14"/>
    <n v="16"/>
    <x v="4"/>
    <s v="Audio"/>
    <n v="12"/>
    <n v="194.66"/>
    <n v="50"/>
    <x v="4"/>
    <s v="emmadubois@tg.inc"/>
    <x v="5"/>
    <x v="2"/>
    <n v="2335.92"/>
    <n v="600"/>
    <n v="0.12"/>
    <n v="280.31040000000002"/>
    <n v="0.03"/>
    <n v="70.077600000000004"/>
    <n v="1985.5320000000002"/>
    <n v="1385.5320000000002"/>
  </r>
  <r>
    <s v="ORD-00014"/>
    <s v="CUST-865"/>
    <s v="REP-21"/>
    <x v="2"/>
    <d v="2023-04-13T00:00:00"/>
    <x v="2"/>
    <s v="April"/>
    <s v="Thursday"/>
    <d v="1899-12-30T16:58:54"/>
    <n v="16"/>
    <n v="58"/>
    <x v="3"/>
    <s v="Wearables"/>
    <n v="9"/>
    <n v="500"/>
    <n v="150"/>
    <x v="2"/>
    <s v="fatimaadebayo@tg.inc"/>
    <x v="4"/>
    <x v="1"/>
    <n v="4500"/>
    <n v="1350"/>
    <n v="0.2"/>
    <n v="900"/>
    <n v="7.0000000000000007E-2"/>
    <n v="315.00000000000006"/>
    <n v="3285"/>
    <n v="1935"/>
  </r>
  <r>
    <s v="ORD-00015"/>
    <s v="CUST-708"/>
    <s v="REP-11"/>
    <x v="3"/>
    <d v="2023-06-17T00:00:00"/>
    <x v="2"/>
    <s v="June"/>
    <s v="Saturday"/>
    <d v="1899-12-30T18:37:36"/>
    <n v="18"/>
    <n v="37"/>
    <x v="3"/>
    <s v="Wearables"/>
    <n v="5"/>
    <n v="254.78"/>
    <n v="150"/>
    <x v="2"/>
    <s v="emmadubois@sales.techg.com"/>
    <x v="6"/>
    <x v="0"/>
    <n v="1273.9000000000001"/>
    <n v="750"/>
    <n v="0.2"/>
    <n v="254.78000000000003"/>
    <n v="7.0000000000000007E-2"/>
    <n v="89.173000000000016"/>
    <n v="929.94700000000012"/>
    <n v="179.94700000000012"/>
  </r>
  <r>
    <s v="ORD-00016"/>
    <s v="CUST-569"/>
    <s v="REP-35"/>
    <x v="6"/>
    <d v="2023-07-24T00:00:00"/>
    <x v="2"/>
    <s v="July"/>
    <s v="Monday"/>
    <d v="1899-12-30T16:13:32"/>
    <n v="16"/>
    <n v="13"/>
    <x v="2"/>
    <s v="Tablets"/>
    <n v="6"/>
    <n v="495.85"/>
    <n v="200"/>
    <x v="1"/>
    <s v="carlosrodriguez@tg.inc"/>
    <x v="4"/>
    <x v="1"/>
    <n v="2975.1000000000004"/>
    <n v="1200"/>
    <n v="0.1"/>
    <n v="297.51000000000005"/>
    <n v="0.08"/>
    <n v="238.00800000000004"/>
    <n v="2439.5820000000003"/>
    <n v="1239.5820000000003"/>
  </r>
  <r>
    <s v="ORD-00017"/>
    <s v="CUST-108"/>
    <s v="REP-33"/>
    <x v="0"/>
    <d v="2026-09-20T00:00:00"/>
    <x v="1"/>
    <s v="September"/>
    <s v="Sunday"/>
    <d v="1899-12-30T10:16:07"/>
    <n v="10"/>
    <n v="16"/>
    <x v="0"/>
    <s v="Computers"/>
    <n v="3"/>
    <n v="1102.4100000000001"/>
    <n v="600"/>
    <x v="1"/>
    <s v="ahmedkhan@tg.inc"/>
    <x v="7"/>
    <x v="0"/>
    <n v="3307.2300000000005"/>
    <n v="1800"/>
    <n v="0.1"/>
    <n v="330.72300000000007"/>
    <n v="0.05"/>
    <n v="165.36150000000004"/>
    <n v="2811.1455000000005"/>
    <n v="1011.1455000000005"/>
  </r>
  <r>
    <s v="ORD-00018"/>
    <s v="CUST-749"/>
    <s v="REP-24"/>
    <x v="7"/>
    <d v="2023-01-04T00:00:00"/>
    <x v="2"/>
    <s v="January"/>
    <s v="Wednesday"/>
    <d v="1899-12-30T13:49:08"/>
    <n v="13"/>
    <n v="49"/>
    <x v="2"/>
    <s v="Tablets"/>
    <n v="8"/>
    <n v="405.54"/>
    <n v="200"/>
    <x v="0"/>
    <s v="liamchen@sales.techg.com"/>
    <x v="8"/>
    <x v="1"/>
    <n v="3244.32"/>
    <n v="1600"/>
    <n v="7.0000000000000007E-2"/>
    <n v="227.10240000000005"/>
    <n v="0.08"/>
    <n v="259.54560000000004"/>
    <n v="2757.672"/>
    <n v="1157.672"/>
  </r>
  <r>
    <s v="ORD-00019"/>
    <s v="CUST-251"/>
    <s v="REP-24"/>
    <x v="7"/>
    <d v="2023-03-27T00:00:00"/>
    <x v="2"/>
    <s v="March"/>
    <s v="Monday"/>
    <d v="1899-12-30T13:57:59"/>
    <n v="13"/>
    <n v="57"/>
    <x v="0"/>
    <s v="Computers"/>
    <n v="4"/>
    <n v="1133.47"/>
    <n v="600"/>
    <x v="1"/>
    <s v="liamchen@techgadgetsco.com"/>
    <x v="8"/>
    <x v="1"/>
    <n v="4533.88"/>
    <n v="2400"/>
    <n v="0.1"/>
    <n v="453.38800000000003"/>
    <n v="0.05"/>
    <n v="226.69400000000002"/>
    <n v="3853.7980000000002"/>
    <n v="1453.7980000000002"/>
  </r>
  <r>
    <s v="ORD-00020"/>
    <s v="CUST-919"/>
    <s v="REP-15"/>
    <x v="4"/>
    <d v="2023-02-20T00:00:00"/>
    <x v="2"/>
    <s v="February"/>
    <s v="Monday"/>
    <d v="1899-12-30T19:59:21"/>
    <n v="19"/>
    <n v="59"/>
    <x v="4"/>
    <s v="Audio"/>
    <n v="14"/>
    <n v="138.61000000000001"/>
    <n v="50"/>
    <x v="2"/>
    <s v="sophielee@tg.inc"/>
    <x v="7"/>
    <x v="0"/>
    <n v="1940.5400000000002"/>
    <n v="700"/>
    <n v="0.2"/>
    <n v="388.10800000000006"/>
    <n v="0.03"/>
    <n v="58.216200000000001"/>
    <n v="1494.2158000000002"/>
    <n v="794.21580000000017"/>
  </r>
  <r>
    <s v="ORD-00021"/>
    <s v="CUST-412"/>
    <s v="REP-17"/>
    <x v="1"/>
    <d v="2023-02-18T00:00:00"/>
    <x v="2"/>
    <s v="February"/>
    <s v="Saturday"/>
    <d v="1899-12-30T14:21:17"/>
    <n v="14"/>
    <n v="21"/>
    <x v="0"/>
    <s v="Computers"/>
    <n v="5"/>
    <n v="1054.7"/>
    <n v="600"/>
    <x v="4"/>
    <s v="mariagarcia@techgadgetsco.com"/>
    <x v="4"/>
    <x v="1"/>
    <n v="5273.5"/>
    <n v="3000"/>
    <n v="0.12"/>
    <n v="632.81999999999994"/>
    <n v="0.05"/>
    <n v="263.67500000000001"/>
    <n v="4377.0050000000001"/>
    <n v="1377.0050000000001"/>
  </r>
  <r>
    <s v="ORD-00022"/>
    <s v="CUST-211"/>
    <s v="REP-35"/>
    <x v="6"/>
    <d v="2024-08-12T00:00:00"/>
    <x v="0"/>
    <s v="August"/>
    <s v="Monday"/>
    <d v="1899-12-30T14:38:32"/>
    <n v="14"/>
    <n v="38"/>
    <x v="0"/>
    <s v="Computers"/>
    <n v="10"/>
    <n v="822.19"/>
    <n v="600"/>
    <x v="3"/>
    <s v="carlosrodriguez@techgadgetsco.com"/>
    <x v="5"/>
    <x v="2"/>
    <n v="8221.9000000000015"/>
    <n v="6000"/>
    <n v="0.15"/>
    <n v="1233.2850000000001"/>
    <n v="0.05"/>
    <n v="411.09500000000008"/>
    <n v="6577.5200000000013"/>
    <n v="577.52000000000135"/>
  </r>
  <r>
    <s v="ORD-00023"/>
    <s v="CUST-438"/>
    <s v="REP-35"/>
    <x v="6"/>
    <d v="2026-09-20T00:00:00"/>
    <x v="1"/>
    <s v="September"/>
    <s v="Sunday"/>
    <d v="1899-12-30T19:57:19"/>
    <n v="19"/>
    <n v="57"/>
    <x v="3"/>
    <s v="Wearables"/>
    <n v="7"/>
    <n v="252.69"/>
    <n v="150"/>
    <x v="4"/>
    <s v="carlosrodriguez@techgadgetsco.com"/>
    <x v="9"/>
    <x v="0"/>
    <n v="1768.83"/>
    <n v="1050"/>
    <n v="0.12"/>
    <n v="212.25959999999998"/>
    <n v="7.0000000000000007E-2"/>
    <n v="123.8181"/>
    <n v="1432.7523000000001"/>
    <n v="382.7523000000001"/>
  </r>
  <r>
    <s v="ORD-00024"/>
    <s v="CUST-100"/>
    <s v="REP-20"/>
    <x v="4"/>
    <d v="2024-06-03T00:00:00"/>
    <x v="0"/>
    <s v="June"/>
    <s v="Monday"/>
    <d v="1899-12-30T20:37:38"/>
    <n v="20"/>
    <n v="37"/>
    <x v="2"/>
    <s v="Tablets"/>
    <n v="8"/>
    <n v="422.23"/>
    <n v="200"/>
    <x v="2"/>
    <s v="sophielee@sales.techg.com"/>
    <x v="4"/>
    <x v="1"/>
    <n v="3377.84"/>
    <n v="1600"/>
    <n v="0.2"/>
    <n v="675.5680000000001"/>
    <n v="0.08"/>
    <n v="270.22720000000004"/>
    <n v="2432.0447999999997"/>
    <n v="832.04479999999967"/>
  </r>
  <r>
    <s v="ORD-00025"/>
    <s v="CUST-417"/>
    <s v="REP-17"/>
    <x v="1"/>
    <d v="2023-10-29T00:00:00"/>
    <x v="2"/>
    <s v="October"/>
    <s v="Sunday"/>
    <d v="1899-12-30T08:15:30"/>
    <n v="8"/>
    <n v="15"/>
    <x v="3"/>
    <s v="Wearables"/>
    <n v="2"/>
    <n v="273.48"/>
    <n v="150"/>
    <x v="4"/>
    <s v="mariagarcia@techgadgetsco.com"/>
    <x v="4"/>
    <x v="1"/>
    <n v="546.96"/>
    <n v="300"/>
    <n v="0.12"/>
    <n v="65.635199999999998"/>
    <n v="7.0000000000000007E-2"/>
    <n v="38.287200000000006"/>
    <n v="443.03760000000005"/>
    <n v="143.03760000000005"/>
  </r>
  <r>
    <s v="ORD-00026"/>
    <s v="CUST-981"/>
    <s v="REP-13"/>
    <x v="0"/>
    <d v="2024-03-24T00:00:00"/>
    <x v="0"/>
    <s v="March"/>
    <s v="Sunday"/>
    <d v="1899-12-30T20:44:33"/>
    <n v="20"/>
    <n v="44"/>
    <x v="4"/>
    <s v="Audio"/>
    <n v="7"/>
    <n v="183.63"/>
    <n v="50"/>
    <x v="3"/>
    <s v="ahmedkhan@sales.techg.com"/>
    <x v="10"/>
    <x v="0"/>
    <n v="1285.4099999999999"/>
    <n v="350"/>
    <n v="0.15"/>
    <n v="192.81149999999997"/>
    <n v="0.03"/>
    <n v="38.562299999999993"/>
    <n v="1054.0361999999998"/>
    <n v="704.03619999999978"/>
  </r>
  <r>
    <s v="ORD-00027"/>
    <s v="CUST-836"/>
    <s v="REP-32"/>
    <x v="1"/>
    <d v="2026-01-27T00:00:00"/>
    <x v="1"/>
    <s v="January"/>
    <s v="Tuesday"/>
    <d v="1899-12-30T10:47:55"/>
    <n v="10"/>
    <n v="47"/>
    <x v="4"/>
    <s v="Audio"/>
    <n v="13"/>
    <n v="167.82"/>
    <n v="50"/>
    <x v="4"/>
    <s v="mariagarcia@techgadgetsco.com"/>
    <x v="4"/>
    <x v="1"/>
    <n v="2181.66"/>
    <n v="650"/>
    <n v="0.12"/>
    <n v="261.79919999999998"/>
    <n v="0.03"/>
    <n v="65.449799999999996"/>
    <n v="1854.4109999999998"/>
    <n v="1204.4109999999998"/>
  </r>
  <r>
    <s v="ORD-00028"/>
    <s v="CUST-182"/>
    <s v="REP-14"/>
    <x v="1"/>
    <d v="2024-04-18T00:00:00"/>
    <x v="0"/>
    <s v="April"/>
    <s v="Thursday"/>
    <d v="1899-12-30T19:09:45"/>
    <n v="19"/>
    <n v="9"/>
    <x v="1"/>
    <s v="Mobile Devices"/>
    <n v="7"/>
    <n v="642.78"/>
    <n v="300"/>
    <x v="3"/>
    <s v="mariagarcia@techgadgetsco.com"/>
    <x v="0"/>
    <x v="0"/>
    <n v="4499.46"/>
    <n v="2100"/>
    <n v="0.15"/>
    <n v="674.91899999999998"/>
    <n v="0.1"/>
    <n v="449.94600000000003"/>
    <n v="3374.5950000000003"/>
    <n v="1274.5950000000003"/>
  </r>
  <r>
    <s v="ORD-00029"/>
    <s v="CUST-106"/>
    <s v="REP-22"/>
    <x v="2"/>
    <d v="2025-09-03T00:00:00"/>
    <x v="3"/>
    <s v="September"/>
    <s v="Wednesday"/>
    <d v="1899-12-30T16:47:47"/>
    <n v="16"/>
    <n v="47"/>
    <x v="3"/>
    <s v="Wearables"/>
    <n v="15"/>
    <n v="200.14"/>
    <n v="150"/>
    <x v="3"/>
    <s v="fatimaadebayo@sales.techg.com"/>
    <x v="11"/>
    <x v="0"/>
    <n v="3002.1"/>
    <n v="2250"/>
    <n v="0.15"/>
    <n v="450.315"/>
    <n v="7.0000000000000007E-2"/>
    <n v="210.14700000000002"/>
    <n v="2341.6379999999999"/>
    <n v="91.63799999999992"/>
  </r>
  <r>
    <s v="ORD-00030"/>
    <s v="CUST-737"/>
    <s v="REP-33"/>
    <x v="0"/>
    <d v="2025-03-17T00:00:00"/>
    <x v="3"/>
    <s v="March"/>
    <s v="Monday"/>
    <d v="1899-12-30T09:41:27"/>
    <n v="9"/>
    <n v="41"/>
    <x v="1"/>
    <s v="Mobile Devices"/>
    <n v="3"/>
    <n v="500"/>
    <n v="300"/>
    <x v="3"/>
    <s v="ahmedkhan@sales.techg.com"/>
    <x v="11"/>
    <x v="0"/>
    <n v="1500"/>
    <n v="900"/>
    <n v="0.15"/>
    <n v="225"/>
    <n v="0.1"/>
    <n v="150"/>
    <n v="1125"/>
    <n v="225"/>
  </r>
  <r>
    <s v="ORD-00031"/>
    <s v="CUST-954"/>
    <s v="REP-12"/>
    <x v="5"/>
    <d v="2023-09-02T00:00:00"/>
    <x v="2"/>
    <s v="September"/>
    <s v="Saturday"/>
    <d v="1899-12-30T13:14:41"/>
    <n v="13"/>
    <n v="14"/>
    <x v="0"/>
    <s v="Computers"/>
    <n v="11"/>
    <n v="500"/>
    <n v="600"/>
    <x v="0"/>
    <s v="oliviapatel@tg.inc"/>
    <x v="8"/>
    <x v="1"/>
    <n v="5500"/>
    <n v="6600"/>
    <n v="7.0000000000000007E-2"/>
    <n v="385.00000000000006"/>
    <n v="0.05"/>
    <n v="275"/>
    <n v="4840"/>
    <n v="-1760"/>
  </r>
  <r>
    <s v="ORD-00032"/>
    <s v="CUST-323"/>
    <s v="REP-28"/>
    <x v="1"/>
    <d v="2025-01-25T00:00:00"/>
    <x v="3"/>
    <s v="January"/>
    <s v="Saturday"/>
    <d v="1899-12-30T17:38:47"/>
    <n v="17"/>
    <n v="38"/>
    <x v="0"/>
    <s v="Computers"/>
    <n v="3"/>
    <n v="854.05"/>
    <n v="600"/>
    <x v="0"/>
    <s v="mariagarcia@tg.inc"/>
    <x v="11"/>
    <x v="0"/>
    <n v="2562.1499999999996"/>
    <n v="1800"/>
    <n v="7.0000000000000007E-2"/>
    <n v="179.35049999999998"/>
    <n v="0.05"/>
    <n v="128.10749999999999"/>
    <n v="2254.6919999999996"/>
    <n v="454.69199999999955"/>
  </r>
  <r>
    <s v="ORD-00033"/>
    <s v="CUST-807"/>
    <s v="REP-17"/>
    <x v="1"/>
    <d v="2026-11-28T00:00:00"/>
    <x v="1"/>
    <s v="November"/>
    <s v="Saturday"/>
    <d v="1899-12-30T21:43:38"/>
    <n v="21"/>
    <n v="43"/>
    <x v="0"/>
    <s v="Computers"/>
    <n v="10"/>
    <n v="973.6"/>
    <n v="600"/>
    <x v="3"/>
    <s v="mariagarcia@techgadgetsco.com"/>
    <x v="0"/>
    <x v="0"/>
    <n v="9736"/>
    <n v="6000"/>
    <n v="0.15"/>
    <n v="1460.3999999999999"/>
    <n v="0.05"/>
    <n v="486.8"/>
    <n v="7788.8"/>
    <n v="1788.8000000000002"/>
  </r>
  <r>
    <s v="ORD-00034"/>
    <s v="CUST-470"/>
    <s v="REP-28"/>
    <x v="1"/>
    <d v="2025-10-06T00:00:00"/>
    <x v="3"/>
    <s v="October"/>
    <s v="Monday"/>
    <d v="1899-12-30T19:33:41"/>
    <n v="19"/>
    <n v="33"/>
    <x v="2"/>
    <s v="Tablets"/>
    <n v="15"/>
    <n v="416.7"/>
    <n v="200"/>
    <x v="3"/>
    <s v="mariagarcia@sales.techg.com"/>
    <x v="3"/>
    <x v="0"/>
    <n v="6250.5"/>
    <n v="3000"/>
    <n v="0.15"/>
    <n v="937.57499999999993"/>
    <n v="0.08"/>
    <n v="500.04"/>
    <n v="4812.8850000000002"/>
    <n v="1812.8850000000002"/>
  </r>
  <r>
    <s v="ORD-00035"/>
    <s v="CUST-349"/>
    <s v="REP-28"/>
    <x v="1"/>
    <d v="2024-11-19T00:00:00"/>
    <x v="0"/>
    <s v="November"/>
    <s v="Tuesday"/>
    <d v="1899-12-30T15:54:20"/>
    <n v="15"/>
    <n v="54"/>
    <x v="1"/>
    <s v="Mobile Devices"/>
    <n v="6"/>
    <n v="582.1"/>
    <n v="300"/>
    <x v="4"/>
    <s v="mariagarcia@tg.inc"/>
    <x v="4"/>
    <x v="1"/>
    <n v="3492.6000000000004"/>
    <n v="1800"/>
    <n v="0.12"/>
    <n v="419.11200000000002"/>
    <n v="0.1"/>
    <n v="349.26000000000005"/>
    <n v="2724.2280000000001"/>
    <n v="924.22800000000007"/>
  </r>
  <r>
    <s v="ORD-00036"/>
    <s v="CUST-876"/>
    <s v="REP-17"/>
    <x v="1"/>
    <d v="2026-08-15T00:00:00"/>
    <x v="1"/>
    <s v="August"/>
    <s v="Saturday"/>
    <d v="1899-12-30T15:50:01"/>
    <n v="15"/>
    <n v="50"/>
    <x v="0"/>
    <s v="Computers"/>
    <n v="7"/>
    <n v="953.1"/>
    <n v="600"/>
    <x v="4"/>
    <s v="mariagarcia@tg.inc"/>
    <x v="10"/>
    <x v="0"/>
    <n v="6671.7"/>
    <n v="4200"/>
    <n v="0.12"/>
    <n v="800.60399999999993"/>
    <n v="0.05"/>
    <n v="333.58500000000004"/>
    <n v="5537.5109999999995"/>
    <n v="1337.5109999999995"/>
  </r>
  <r>
    <s v="ORD-00037"/>
    <s v="CUST-336"/>
    <s v="REP-13"/>
    <x v="0"/>
    <d v="2024-08-10T00:00:00"/>
    <x v="0"/>
    <s v="August"/>
    <s v="Saturday"/>
    <d v="1899-12-30T19:34:48"/>
    <n v="19"/>
    <n v="34"/>
    <x v="1"/>
    <s v="Mobile Devices"/>
    <n v="12"/>
    <n v="697.38"/>
    <n v="300"/>
    <x v="4"/>
    <s v="ahmedkhan@tg.inc"/>
    <x v="4"/>
    <x v="1"/>
    <n v="8368.56"/>
    <n v="3600"/>
    <n v="0.12"/>
    <n v="1004.2271999999999"/>
    <n v="0.1"/>
    <n v="836.85599999999999"/>
    <n v="6527.4767999999995"/>
    <n v="2927.4767999999995"/>
  </r>
  <r>
    <s v="ORD-00038"/>
    <s v="CUST-646"/>
    <s v="REP-14"/>
    <x v="1"/>
    <d v="2023-04-04T00:00:00"/>
    <x v="2"/>
    <s v="April"/>
    <s v="Tuesday"/>
    <d v="1899-12-30T16:18:44"/>
    <n v="16"/>
    <n v="18"/>
    <x v="1"/>
    <s v="Mobile Devices"/>
    <n v="13"/>
    <n v="741.82"/>
    <n v="300"/>
    <x v="4"/>
    <s v="mariagarcia@sales.techg.com"/>
    <x v="12"/>
    <x v="0"/>
    <n v="9643.66"/>
    <n v="3900"/>
    <n v="0.12"/>
    <n v="1157.2392"/>
    <n v="0.1"/>
    <n v="964.36599999999999"/>
    <n v="7522.0547999999999"/>
    <n v="3622.0547999999999"/>
  </r>
  <r>
    <s v="ORD-00039"/>
    <s v="CUST-166"/>
    <s v="REP-23"/>
    <x v="8"/>
    <d v="2023-01-06T00:00:00"/>
    <x v="2"/>
    <s v="January"/>
    <s v="Friday"/>
    <d v="1899-12-30T10:09:51"/>
    <n v="10"/>
    <n v="9"/>
    <x v="3"/>
    <s v="Wearables"/>
    <n v="2"/>
    <n v="189.03"/>
    <n v="150"/>
    <x v="3"/>
    <s v="noahkim@sales.techg.com"/>
    <x v="13"/>
    <x v="0"/>
    <n v="378.06"/>
    <n v="300"/>
    <n v="0.15"/>
    <n v="56.708999999999996"/>
    <n v="7.0000000000000007E-2"/>
    <n v="26.464200000000002"/>
    <n v="294.88679999999999"/>
    <n v="-5.1132000000000062"/>
  </r>
  <r>
    <s v="ORD-00040"/>
    <s v="CUST-702"/>
    <s v="REP-24"/>
    <x v="7"/>
    <d v="2026-10-03T00:00:00"/>
    <x v="1"/>
    <s v="October"/>
    <s v="Saturday"/>
    <d v="1899-12-30T17:47:06"/>
    <n v="17"/>
    <n v="47"/>
    <x v="1"/>
    <s v="Mobile Devices"/>
    <n v="5"/>
    <n v="527.12"/>
    <n v="300"/>
    <x v="2"/>
    <s v="liamchen@sales.techg.com"/>
    <x v="7"/>
    <x v="0"/>
    <n v="2635.6"/>
    <n v="1500"/>
    <n v="0.2"/>
    <n v="527.12"/>
    <n v="0.1"/>
    <n v="263.56"/>
    <n v="1844.92"/>
    <n v="344.92000000000007"/>
  </r>
  <r>
    <s v="ORD-00041"/>
    <s v="CUST-819"/>
    <s v="REP-28"/>
    <x v="1"/>
    <d v="2026-08-11T00:00:00"/>
    <x v="1"/>
    <s v="August"/>
    <s v="Tuesday"/>
    <d v="1899-12-30T12:50:50"/>
    <n v="12"/>
    <n v="50"/>
    <x v="3"/>
    <s v="Wearables"/>
    <n v="15"/>
    <n v="188.63"/>
    <n v="150"/>
    <x v="2"/>
    <s v="mariagarcia@sales.techg.com"/>
    <x v="4"/>
    <x v="1"/>
    <n v="2829.45"/>
    <n v="2250"/>
    <n v="0.2"/>
    <n v="565.89"/>
    <n v="7.0000000000000007E-2"/>
    <n v="198.0615"/>
    <n v="2065.4985000000001"/>
    <n v="-184.50149999999985"/>
  </r>
  <r>
    <s v="ORD-00042"/>
    <s v="CUST-944"/>
    <s v="REP-34"/>
    <x v="2"/>
    <d v="2025-06-18T00:00:00"/>
    <x v="3"/>
    <s v="June"/>
    <s v="Wednesday"/>
    <d v="1899-12-30T15:44:19"/>
    <n v="15"/>
    <n v="44"/>
    <x v="4"/>
    <s v="Audio"/>
    <n v="9"/>
    <n v="152.83000000000001"/>
    <n v="50"/>
    <x v="4"/>
    <s v="fatimaadebayo@sales.techg.com"/>
    <x v="4"/>
    <x v="1"/>
    <n v="1375.47"/>
    <n v="450"/>
    <n v="0.12"/>
    <n v="165.0564"/>
    <n v="0.03"/>
    <n v="41.264099999999999"/>
    <n v="1169.1495"/>
    <n v="719.14949999999999"/>
  </r>
  <r>
    <s v="ORD-00043"/>
    <s v="CUST-981"/>
    <s v="REP-34"/>
    <x v="2"/>
    <d v="2026-08-10T00:00:00"/>
    <x v="1"/>
    <s v="August"/>
    <s v="Monday"/>
    <d v="1899-12-30T17:02:48"/>
    <n v="17"/>
    <n v="2"/>
    <x v="1"/>
    <s v="Mobile Devices"/>
    <n v="11"/>
    <n v="563.45000000000005"/>
    <n v="300"/>
    <x v="4"/>
    <s v="fatimaadebayo@tg.inc"/>
    <x v="7"/>
    <x v="0"/>
    <n v="6197.9500000000007"/>
    <n v="3300"/>
    <n v="0.12"/>
    <n v="743.75400000000002"/>
    <n v="0.1"/>
    <n v="619.79500000000007"/>
    <n v="4834.4010000000007"/>
    <n v="1534.4010000000007"/>
  </r>
  <r>
    <s v="ORD-00044"/>
    <s v="CUST-978"/>
    <s v="REP-15"/>
    <x v="4"/>
    <d v="2025-04-23T00:00:00"/>
    <x v="3"/>
    <s v="April"/>
    <s v="Wednesday"/>
    <d v="1899-12-30T12:42:25"/>
    <n v="12"/>
    <n v="42"/>
    <x v="3"/>
    <s v="Wearables"/>
    <n v="7"/>
    <n v="500"/>
    <n v="150"/>
    <x v="1"/>
    <s v="sophielee@tg.inc"/>
    <x v="13"/>
    <x v="0"/>
    <n v="3500"/>
    <n v="1050"/>
    <n v="0.1"/>
    <n v="350"/>
    <n v="7.0000000000000007E-2"/>
    <n v="245.00000000000003"/>
    <n v="2905"/>
    <n v="1855"/>
  </r>
  <r>
    <s v="ORD-00045"/>
    <s v="CUST-573"/>
    <s v="REP-24"/>
    <x v="7"/>
    <d v="2024-01-20T00:00:00"/>
    <x v="0"/>
    <s v="January"/>
    <s v="Saturday"/>
    <d v="1899-12-30T17:48:31"/>
    <n v="17"/>
    <n v="48"/>
    <x v="4"/>
    <s v="Audio"/>
    <n v="4"/>
    <n v="129.83000000000001"/>
    <n v="50"/>
    <x v="1"/>
    <s v="liamchen@techgadgetsco.com"/>
    <x v="3"/>
    <x v="0"/>
    <n v="519.32000000000005"/>
    <n v="200"/>
    <n v="0.1"/>
    <n v="51.932000000000009"/>
    <n v="0.03"/>
    <n v="15.579600000000001"/>
    <n v="451.80840000000001"/>
    <n v="251.80840000000001"/>
  </r>
  <r>
    <s v="ORD-00046"/>
    <s v="CUST-517"/>
    <s v="REP-12"/>
    <x v="5"/>
    <d v="2023-08-21T00:00:00"/>
    <x v="2"/>
    <s v="August"/>
    <s v="Monday"/>
    <d v="1899-12-30T09:41:53"/>
    <n v="9"/>
    <n v="41"/>
    <x v="1"/>
    <s v="Mobile Devices"/>
    <n v="12"/>
    <n v="691.62"/>
    <n v="300"/>
    <x v="3"/>
    <s v="oliviapatel@techgadgetsco.com"/>
    <x v="8"/>
    <x v="1"/>
    <n v="8299.44"/>
    <n v="3600"/>
    <n v="0.15"/>
    <n v="1244.9159999999999"/>
    <n v="0.1"/>
    <n v="829.94400000000007"/>
    <n v="6224.58"/>
    <n v="2624.58"/>
  </r>
  <r>
    <s v="ORD-00047"/>
    <s v="CUST-239"/>
    <s v="REP-12"/>
    <x v="5"/>
    <d v="2025-04-29T00:00:00"/>
    <x v="3"/>
    <s v="April"/>
    <s v="Tuesday"/>
    <d v="1899-12-30T20:32:17"/>
    <n v="20"/>
    <n v="32"/>
    <x v="0"/>
    <s v="Computers"/>
    <n v="5"/>
    <n v="1089.96"/>
    <n v="600"/>
    <x v="3"/>
    <s v="oliviapatel@tg.inc"/>
    <x v="10"/>
    <x v="0"/>
    <n v="5449.8"/>
    <n v="3000"/>
    <n v="0.15"/>
    <n v="817.47"/>
    <n v="0.05"/>
    <n v="272.49"/>
    <n v="4359.84"/>
    <n v="1359.8400000000001"/>
  </r>
  <r>
    <s v="ORD-00048"/>
    <s v="CUST-429"/>
    <s v="REP-16"/>
    <x v="4"/>
    <d v="2026-03-17T00:00:00"/>
    <x v="1"/>
    <s v="March"/>
    <s v="Tuesday"/>
    <d v="1899-12-30T11:54:49"/>
    <n v="11"/>
    <n v="54"/>
    <x v="4"/>
    <s v="Audio"/>
    <n v="7"/>
    <n v="172.89"/>
    <n v="50"/>
    <x v="3"/>
    <s v="sophielee@sales.techg.com"/>
    <x v="8"/>
    <x v="1"/>
    <n v="1210.23"/>
    <n v="350"/>
    <n v="0.15"/>
    <n v="181.53450000000001"/>
    <n v="0.03"/>
    <n v="36.306899999999999"/>
    <n v="992.3886"/>
    <n v="642.3886"/>
  </r>
  <r>
    <s v="ORD-00049"/>
    <s v="CUST-704"/>
    <s v="REP-21"/>
    <x v="2"/>
    <d v="2025-06-20T00:00:00"/>
    <x v="3"/>
    <s v="June"/>
    <s v="Friday"/>
    <d v="1899-12-30T16:58:29"/>
    <n v="16"/>
    <n v="58"/>
    <x v="0"/>
    <s v="Computers"/>
    <n v="7"/>
    <n v="1284.98"/>
    <n v="600"/>
    <x v="0"/>
    <s v="fatimaadebayo@tg.inc"/>
    <x v="11"/>
    <x v="0"/>
    <n v="8994.86"/>
    <n v="4200"/>
    <n v="7.0000000000000007E-2"/>
    <n v="629.64020000000005"/>
    <n v="0.05"/>
    <n v="449.74300000000005"/>
    <n v="7915.4768000000004"/>
    <n v="3715.4768000000004"/>
  </r>
  <r>
    <s v="ORD-00050"/>
    <s v="CUST-979"/>
    <s v="REP-33"/>
    <x v="0"/>
    <d v="2024-10-10T00:00:00"/>
    <x v="0"/>
    <s v="October"/>
    <s v="Thursday"/>
    <d v="1899-12-30T21:34:02"/>
    <n v="21"/>
    <n v="34"/>
    <x v="3"/>
    <s v="Wearables"/>
    <n v="7"/>
    <n v="277.3"/>
    <n v="150"/>
    <x v="2"/>
    <s v="ahmedkhan@tg.inc"/>
    <x v="2"/>
    <x v="0"/>
    <n v="1941.1000000000001"/>
    <n v="1050"/>
    <n v="0.2"/>
    <n v="388.22"/>
    <n v="7.0000000000000007E-2"/>
    <n v="135.87700000000001"/>
    <n v="1417.0030000000002"/>
    <n v="367.00300000000016"/>
  </r>
  <r>
    <s v="ORD-00051"/>
    <s v="CUST-147"/>
    <s v="REP-21"/>
    <x v="2"/>
    <d v="2024-08-23T00:00:00"/>
    <x v="0"/>
    <s v="August"/>
    <s v="Friday"/>
    <d v="1899-12-30T13:27:09"/>
    <n v="13"/>
    <n v="27"/>
    <x v="1"/>
    <s v="Mobile Devices"/>
    <n v="10"/>
    <n v="534.02"/>
    <n v="300"/>
    <x v="2"/>
    <s v="fatimaadebayo@tg.inc"/>
    <x v="3"/>
    <x v="0"/>
    <n v="5340.2"/>
    <n v="3000"/>
    <n v="0.2"/>
    <n v="1068.04"/>
    <n v="0.1"/>
    <n v="534.02"/>
    <n v="3738.14"/>
    <n v="738.13999999999987"/>
  </r>
  <r>
    <s v="ORD-00052"/>
    <s v="CUST-753"/>
    <s v="REP-18"/>
    <x v="8"/>
    <d v="2024-06-06T00:00:00"/>
    <x v="0"/>
    <s v="June"/>
    <s v="Thursday"/>
    <d v="1899-12-30T20:29:57"/>
    <n v="20"/>
    <n v="29"/>
    <x v="2"/>
    <s v="Tablets"/>
    <n v="3"/>
    <n v="500"/>
    <n v="200"/>
    <x v="1"/>
    <s v="noahkim@sales.techg.com"/>
    <x v="4"/>
    <x v="1"/>
    <n v="1500"/>
    <n v="600"/>
    <n v="0.1"/>
    <n v="150"/>
    <n v="0.08"/>
    <n v="120"/>
    <n v="1230"/>
    <n v="630"/>
  </r>
  <r>
    <s v="ORD-00053"/>
    <s v="CUST-973"/>
    <s v="REP-29"/>
    <x v="4"/>
    <d v="2024-04-30T00:00:00"/>
    <x v="0"/>
    <s v="April"/>
    <s v="Tuesday"/>
    <d v="1899-12-30T17:22:36"/>
    <n v="17"/>
    <n v="22"/>
    <x v="2"/>
    <s v="Tablets"/>
    <n v="5"/>
    <n v="500"/>
    <n v="200"/>
    <x v="3"/>
    <s v="sophielee@tg.inc"/>
    <x v="12"/>
    <x v="0"/>
    <n v="2500"/>
    <n v="1000"/>
    <n v="0.15"/>
    <n v="375"/>
    <n v="0.08"/>
    <n v="200"/>
    <n v="1925"/>
    <n v="925"/>
  </r>
  <r>
    <s v="ORD-00054"/>
    <s v="CUST-393"/>
    <s v="REP-17"/>
    <x v="1"/>
    <d v="2024-03-24T00:00:00"/>
    <x v="0"/>
    <s v="March"/>
    <s v="Sunday"/>
    <d v="1899-12-30T17:16:43"/>
    <n v="17"/>
    <n v="16"/>
    <x v="1"/>
    <s v="Mobile Devices"/>
    <n v="15"/>
    <n v="491.83"/>
    <n v="300"/>
    <x v="3"/>
    <s v="mariagarcia@tg.inc"/>
    <x v="4"/>
    <x v="1"/>
    <n v="7377.45"/>
    <n v="4500"/>
    <n v="0.15"/>
    <n v="1106.6174999999998"/>
    <n v="0.1"/>
    <n v="737.745"/>
    <n v="5533.0875000000005"/>
    <n v="1033.0875000000005"/>
  </r>
  <r>
    <s v="ORD-00055"/>
    <s v="CUST-905"/>
    <s v="REP-33"/>
    <x v="0"/>
    <d v="2025-12-23T00:00:00"/>
    <x v="3"/>
    <s v="December"/>
    <s v="Tuesday"/>
    <d v="1899-12-30T21:10:16"/>
    <n v="21"/>
    <n v="10"/>
    <x v="4"/>
    <s v="Audio"/>
    <n v="5"/>
    <n v="145.4"/>
    <n v="50"/>
    <x v="0"/>
    <s v="ahmedkhan@tg.inc"/>
    <x v="3"/>
    <x v="0"/>
    <n v="727"/>
    <n v="250"/>
    <n v="7.0000000000000007E-2"/>
    <n v="50.890000000000008"/>
    <n v="0.03"/>
    <n v="21.81"/>
    <n v="654.30000000000007"/>
    <n v="404.30000000000007"/>
  </r>
  <r>
    <s v="ORD-00056"/>
    <s v="CUST-966"/>
    <s v="REP-33"/>
    <x v="0"/>
    <d v="2023-04-07T00:00:00"/>
    <x v="2"/>
    <s v="April"/>
    <s v="Friday"/>
    <d v="1899-12-30T08:16:34"/>
    <n v="8"/>
    <n v="16"/>
    <x v="0"/>
    <s v="Computers"/>
    <n v="11"/>
    <n v="931.08"/>
    <n v="600"/>
    <x v="3"/>
    <s v="ahmedkhan@tg.inc"/>
    <x v="3"/>
    <x v="0"/>
    <n v="10241.880000000001"/>
    <n v="6600"/>
    <n v="0.15"/>
    <n v="1536.2820000000002"/>
    <n v="0.05"/>
    <n v="512.09400000000005"/>
    <n v="8193.5040000000008"/>
    <n v="1593.5040000000008"/>
  </r>
  <r>
    <s v="ORD-00057"/>
    <s v="CUST-435"/>
    <s v="REP-35"/>
    <x v="6"/>
    <d v="2026-08-19T00:00:00"/>
    <x v="1"/>
    <s v="August"/>
    <s v="Wednesday"/>
    <d v="1899-12-30T18:52:29"/>
    <n v="18"/>
    <n v="52"/>
    <x v="2"/>
    <s v="Tablets"/>
    <n v="2"/>
    <n v="509.25"/>
    <n v="200"/>
    <x v="1"/>
    <s v="carlosrodriguez@sales.techg.com"/>
    <x v="8"/>
    <x v="1"/>
    <n v="1018.5"/>
    <n v="400"/>
    <n v="0.1"/>
    <n v="101.85000000000001"/>
    <n v="0.08"/>
    <n v="81.48"/>
    <n v="835.17"/>
    <n v="435.16999999999996"/>
  </r>
  <r>
    <s v="ORD-00058"/>
    <s v="CUST-813"/>
    <s v="REP-33"/>
    <x v="0"/>
    <d v="2026-04-17T00:00:00"/>
    <x v="1"/>
    <s v="April"/>
    <s v="Friday"/>
    <d v="1899-12-30T14:41:06"/>
    <n v="14"/>
    <n v="41"/>
    <x v="4"/>
    <s v="Audio"/>
    <n v="5"/>
    <n v="500"/>
    <n v="50"/>
    <x v="1"/>
    <s v="ahmedkhan@tg.inc"/>
    <x v="4"/>
    <x v="1"/>
    <n v="2500"/>
    <n v="250"/>
    <n v="0.1"/>
    <n v="250"/>
    <n v="0.03"/>
    <n v="75"/>
    <n v="2175"/>
    <n v="1925"/>
  </r>
  <r>
    <s v="ORD-00059"/>
    <s v="CUST-760"/>
    <s v="REP-22"/>
    <x v="2"/>
    <d v="2025-03-26T00:00:00"/>
    <x v="3"/>
    <s v="March"/>
    <s v="Wednesday"/>
    <d v="1899-12-30T11:07:54"/>
    <n v="11"/>
    <n v="7"/>
    <x v="4"/>
    <s v="Audio"/>
    <n v="7"/>
    <n v="167.96"/>
    <n v="50"/>
    <x v="0"/>
    <s v="fatimaadebayo@tg.inc"/>
    <x v="4"/>
    <x v="1"/>
    <n v="1175.72"/>
    <n v="350"/>
    <n v="7.0000000000000007E-2"/>
    <n v="82.30040000000001"/>
    <n v="0.03"/>
    <n v="35.271599999999999"/>
    <n v="1058.1479999999999"/>
    <n v="708.14799999999991"/>
  </r>
  <r>
    <s v="ORD-00060"/>
    <s v="CUST-321"/>
    <s v="REP-17"/>
    <x v="1"/>
    <d v="2023-10-30T00:00:00"/>
    <x v="2"/>
    <s v="October"/>
    <s v="Monday"/>
    <d v="1899-12-30T12:54:09"/>
    <n v="12"/>
    <n v="54"/>
    <x v="1"/>
    <s v="Mobile Devices"/>
    <n v="13"/>
    <n v="678.32"/>
    <n v="300"/>
    <x v="0"/>
    <s v="mariagarcia@tg.inc"/>
    <x v="4"/>
    <x v="1"/>
    <n v="8818.16"/>
    <n v="3900"/>
    <n v="7.0000000000000007E-2"/>
    <n v="617.27120000000002"/>
    <n v="0.1"/>
    <n v="881.81600000000003"/>
    <n v="7319.0728000000008"/>
    <n v="3419.0728000000008"/>
  </r>
  <r>
    <s v="ORD-00061"/>
    <s v="CUST-531"/>
    <s v="REP-32"/>
    <x v="1"/>
    <d v="2023-11-05T00:00:00"/>
    <x v="2"/>
    <s v="November"/>
    <s v="Sunday"/>
    <d v="1899-12-30T15:49:23"/>
    <n v="15"/>
    <n v="49"/>
    <x v="3"/>
    <s v="Wearables"/>
    <n v="8"/>
    <n v="280"/>
    <n v="150"/>
    <x v="0"/>
    <s v="mariagarcia@tg.inc"/>
    <x v="4"/>
    <x v="1"/>
    <n v="2240"/>
    <n v="1200"/>
    <n v="7.0000000000000007E-2"/>
    <n v="156.80000000000001"/>
    <n v="7.0000000000000007E-2"/>
    <n v="156.80000000000001"/>
    <n v="1926.3999999999999"/>
    <n v="726.39999999999986"/>
  </r>
  <r>
    <s v="ORD-00062"/>
    <s v="CUST-590"/>
    <s v="REP-23"/>
    <x v="8"/>
    <d v="2026-06-11T00:00:00"/>
    <x v="1"/>
    <s v="June"/>
    <s v="Thursday"/>
    <d v="1899-12-30T15:45:58"/>
    <n v="15"/>
    <n v="45"/>
    <x v="4"/>
    <s v="Audio"/>
    <n v="7"/>
    <n v="500"/>
    <n v="50"/>
    <x v="4"/>
    <s v="noahkim@sales.techg.com"/>
    <x v="10"/>
    <x v="0"/>
    <n v="3500"/>
    <n v="350"/>
    <n v="0.12"/>
    <n v="420"/>
    <n v="0.03"/>
    <n v="105"/>
    <n v="2975"/>
    <n v="2625"/>
  </r>
  <r>
    <s v="ORD-00063"/>
    <s v="CUST-617"/>
    <s v="REP-35"/>
    <x v="6"/>
    <d v="2023-07-23T00:00:00"/>
    <x v="2"/>
    <s v="July"/>
    <s v="Sunday"/>
    <d v="1899-12-30T21:41:41"/>
    <n v="21"/>
    <n v="41"/>
    <x v="3"/>
    <s v="Wearables"/>
    <n v="4"/>
    <n v="273.69"/>
    <n v="150"/>
    <x v="3"/>
    <s v="carlosrodriguez@techgadgetsco.com"/>
    <x v="2"/>
    <x v="0"/>
    <n v="1094.76"/>
    <n v="600"/>
    <n v="0.15"/>
    <n v="164.214"/>
    <n v="7.0000000000000007E-2"/>
    <n v="76.633200000000002"/>
    <n v="853.91280000000006"/>
    <n v="253.91280000000006"/>
  </r>
  <r>
    <s v="ORD-00064"/>
    <s v="CUST-256"/>
    <s v="REP-29"/>
    <x v="4"/>
    <d v="2023-06-07T00:00:00"/>
    <x v="2"/>
    <s v="June"/>
    <s v="Wednesday"/>
    <d v="1899-12-30T09:27:06"/>
    <n v="9"/>
    <n v="27"/>
    <x v="2"/>
    <s v="Tablets"/>
    <n v="9"/>
    <n v="500"/>
    <n v="200"/>
    <x v="4"/>
    <s v="sophielee@tg.inc"/>
    <x v="14"/>
    <x v="2"/>
    <n v="4500"/>
    <n v="1800"/>
    <n v="0.12"/>
    <n v="540"/>
    <n v="0.08"/>
    <n v="360"/>
    <n v="3600"/>
    <n v="1800"/>
  </r>
  <r>
    <s v="ORD-00065"/>
    <s v="CUST-714"/>
    <s v="REP-20"/>
    <x v="4"/>
    <d v="2023-01-08T00:00:00"/>
    <x v="2"/>
    <s v="January"/>
    <s v="Sunday"/>
    <d v="1899-12-30T10:42:30"/>
    <n v="10"/>
    <n v="42"/>
    <x v="1"/>
    <s v="Mobile Devices"/>
    <n v="6"/>
    <n v="590.27"/>
    <n v="300"/>
    <x v="1"/>
    <s v="sophielee@sales.techg.com"/>
    <x v="0"/>
    <x v="0"/>
    <n v="3541.62"/>
    <n v="1800"/>
    <n v="0.1"/>
    <n v="354.16200000000003"/>
    <n v="0.1"/>
    <n v="354.16200000000003"/>
    <n v="2833.2959999999994"/>
    <n v="1033.2959999999994"/>
  </r>
  <r>
    <s v="ORD-00066"/>
    <s v="CUST-129"/>
    <s v="REP-15"/>
    <x v="4"/>
    <d v="2026-10-12T00:00:00"/>
    <x v="1"/>
    <s v="October"/>
    <s v="Monday"/>
    <d v="1899-12-30T13:22:00"/>
    <n v="13"/>
    <n v="22"/>
    <x v="1"/>
    <s v="Mobile Devices"/>
    <n v="10"/>
    <n v="500.88"/>
    <n v="300"/>
    <x v="0"/>
    <s v="sophielee@tg.inc"/>
    <x v="6"/>
    <x v="0"/>
    <n v="5008.8"/>
    <n v="3000"/>
    <n v="7.0000000000000007E-2"/>
    <n v="350.61600000000004"/>
    <n v="0.1"/>
    <n v="500.88000000000005"/>
    <n v="4157.3040000000001"/>
    <n v="1157.3040000000001"/>
  </r>
  <r>
    <s v="ORD-00067"/>
    <s v="CUST-895"/>
    <s v="REP-34"/>
    <x v="2"/>
    <d v="2023-04-18T00:00:00"/>
    <x v="2"/>
    <s v="April"/>
    <s v="Tuesday"/>
    <d v="1899-12-30T10:48:39"/>
    <n v="10"/>
    <n v="48"/>
    <x v="0"/>
    <s v="Computers"/>
    <n v="5"/>
    <n v="1012.01"/>
    <n v="600"/>
    <x v="4"/>
    <s v="fatimaadebayo@tg.inc"/>
    <x v="2"/>
    <x v="0"/>
    <n v="5060.05"/>
    <n v="3000"/>
    <n v="0.12"/>
    <n v="607.20600000000002"/>
    <n v="0.05"/>
    <n v="253.00250000000003"/>
    <n v="4199.8415000000005"/>
    <n v="1199.8415000000005"/>
  </r>
  <r>
    <s v="ORD-00068"/>
    <s v="CUST-707"/>
    <s v="REP-29"/>
    <x v="4"/>
    <d v="2023-04-04T00:00:00"/>
    <x v="2"/>
    <s v="April"/>
    <s v="Tuesday"/>
    <d v="1899-12-30T14:38:03"/>
    <n v="14"/>
    <n v="38"/>
    <x v="0"/>
    <s v="Computers"/>
    <n v="4"/>
    <n v="1182.08"/>
    <n v="600"/>
    <x v="1"/>
    <s v="sophielee@techgadgetsco.com"/>
    <x v="4"/>
    <x v="1"/>
    <n v="4728.32"/>
    <n v="2400"/>
    <n v="0.1"/>
    <n v="472.83199999999999"/>
    <n v="0.05"/>
    <n v="236.416"/>
    <n v="4019.0719999999992"/>
    <n v="1619.0719999999992"/>
  </r>
  <r>
    <s v="ORD-00069"/>
    <s v="CUST-672"/>
    <s v="REP-22"/>
    <x v="2"/>
    <d v="2025-03-24T00:00:00"/>
    <x v="3"/>
    <s v="March"/>
    <s v="Monday"/>
    <d v="1899-12-30T14:01:29"/>
    <n v="14"/>
    <n v="1"/>
    <x v="0"/>
    <s v="Computers"/>
    <n v="10"/>
    <n v="1002.21"/>
    <n v="600"/>
    <x v="3"/>
    <s v="fatimaadebayo@tg.inc"/>
    <x v="9"/>
    <x v="0"/>
    <n v="10022.1"/>
    <n v="6000"/>
    <n v="0.15"/>
    <n v="1503.3150000000001"/>
    <n v="0.05"/>
    <n v="501.10500000000002"/>
    <n v="8017.68"/>
    <n v="2017.6800000000003"/>
  </r>
  <r>
    <s v="ORD-00070"/>
    <s v="CUST-470"/>
    <s v="REP-12"/>
    <x v="5"/>
    <d v="2023-05-08T00:00:00"/>
    <x v="2"/>
    <s v="May"/>
    <s v="Monday"/>
    <d v="1899-12-30T14:37:25"/>
    <n v="14"/>
    <n v="37"/>
    <x v="3"/>
    <s v="Wearables"/>
    <n v="7"/>
    <n v="258.04000000000002"/>
    <n v="150"/>
    <x v="2"/>
    <s v="oliviapatel@tg.inc"/>
    <x v="2"/>
    <x v="0"/>
    <n v="1806.2800000000002"/>
    <n v="1050"/>
    <n v="0.2"/>
    <n v="361.25600000000009"/>
    <n v="7.0000000000000007E-2"/>
    <n v="126.43960000000003"/>
    <n v="1318.5844000000002"/>
    <n v="268.58440000000019"/>
  </r>
  <r>
    <s v="ORD-00071"/>
    <s v="CUST-459"/>
    <s v="REP-14"/>
    <x v="1"/>
    <d v="2023-07-30T00:00:00"/>
    <x v="2"/>
    <s v="July"/>
    <s v="Sunday"/>
    <d v="1899-12-30T12:12:11"/>
    <n v="12"/>
    <n v="12"/>
    <x v="3"/>
    <s v="Wearables"/>
    <n v="13"/>
    <n v="195.49"/>
    <n v="150"/>
    <x v="3"/>
    <s v="mariagarcia@techgadgetsco.com"/>
    <x v="10"/>
    <x v="0"/>
    <n v="2541.37"/>
    <n v="1950"/>
    <n v="0.15"/>
    <n v="381.20549999999997"/>
    <n v="7.0000000000000007E-2"/>
    <n v="177.89590000000001"/>
    <n v="1982.2685999999999"/>
    <n v="32.268599999999878"/>
  </r>
  <r>
    <s v="ORD-00072"/>
    <s v="CUST-169"/>
    <s v="REP-29"/>
    <x v="4"/>
    <d v="2026-07-17T00:00:00"/>
    <x v="1"/>
    <s v="July"/>
    <s v="Friday"/>
    <d v="1899-12-30T20:17:37"/>
    <n v="20"/>
    <n v="17"/>
    <x v="0"/>
    <s v="Computers"/>
    <n v="2"/>
    <n v="1025.96"/>
    <n v="600"/>
    <x v="0"/>
    <s v="sophielee@techgadgetsco.com"/>
    <x v="15"/>
    <x v="0"/>
    <n v="2051.92"/>
    <n v="1200"/>
    <n v="7.0000000000000007E-2"/>
    <n v="143.63440000000003"/>
    <n v="0.05"/>
    <n v="102.596"/>
    <n v="1805.6896000000002"/>
    <n v="605.68960000000015"/>
  </r>
  <r>
    <s v="ORD-00073"/>
    <s v="CUST-667"/>
    <s v="REP-11"/>
    <x v="3"/>
    <d v="2026-03-16T00:00:00"/>
    <x v="1"/>
    <s v="March"/>
    <s v="Monday"/>
    <d v="1899-12-30T13:38:30"/>
    <n v="13"/>
    <n v="38"/>
    <x v="3"/>
    <s v="Wearables"/>
    <n v="1"/>
    <n v="265.20999999999998"/>
    <n v="150"/>
    <x v="1"/>
    <s v="emmadubois@techgadgetsco.com"/>
    <x v="12"/>
    <x v="0"/>
    <n v="265.20999999999998"/>
    <n v="150"/>
    <n v="0.1"/>
    <n v="26.521000000000001"/>
    <n v="7.0000000000000007E-2"/>
    <n v="18.564700000000002"/>
    <n v="220.12429999999995"/>
    <n v="70.124299999999948"/>
  </r>
  <r>
    <s v="ORD-00074"/>
    <s v="CUST-635"/>
    <s v="REP-35"/>
    <x v="6"/>
    <d v="2025-01-15T00:00:00"/>
    <x v="3"/>
    <s v="January"/>
    <s v="Wednesday"/>
    <d v="1899-12-30T12:24:26"/>
    <n v="12"/>
    <n v="24"/>
    <x v="2"/>
    <s v="Tablets"/>
    <n v="1"/>
    <n v="449.46"/>
    <n v="200"/>
    <x v="0"/>
    <s v="carlosrodriguez@sales.techg.com"/>
    <x v="4"/>
    <x v="1"/>
    <n v="449.46"/>
    <n v="200"/>
    <n v="7.0000000000000007E-2"/>
    <n v="31.462200000000003"/>
    <n v="0.08"/>
    <n v="35.956800000000001"/>
    <n v="382.041"/>
    <n v="182.041"/>
  </r>
  <r>
    <s v="ORD-00075"/>
    <s v="CUST-994"/>
    <s v="REP-14"/>
    <x v="1"/>
    <d v="2023-06-16T00:00:00"/>
    <x v="2"/>
    <s v="June"/>
    <s v="Friday"/>
    <d v="1899-12-30T13:19:41"/>
    <n v="13"/>
    <n v="19"/>
    <x v="4"/>
    <s v="Audio"/>
    <n v="12"/>
    <n v="143.22"/>
    <n v="50"/>
    <x v="3"/>
    <s v="mariagarcia@sales.techg.com"/>
    <x v="4"/>
    <x v="1"/>
    <n v="1718.6399999999999"/>
    <n v="600"/>
    <n v="0.15"/>
    <n v="257.79599999999999"/>
    <n v="0.03"/>
    <n v="51.559199999999997"/>
    <n v="1409.2847999999999"/>
    <n v="809.2847999999999"/>
  </r>
  <r>
    <s v="ORD-00076"/>
    <s v="CUST-118"/>
    <s v="REP-22"/>
    <x v="2"/>
    <d v="2024-05-01T00:00:00"/>
    <x v="0"/>
    <s v="May"/>
    <s v="Wednesday"/>
    <d v="1899-12-30T13:49:31"/>
    <n v="13"/>
    <n v="49"/>
    <x v="1"/>
    <s v="Mobile Devices"/>
    <n v="3"/>
    <n v="568.74"/>
    <n v="300"/>
    <x v="0"/>
    <s v="fatimaadebayo@sales.techg.com"/>
    <x v="4"/>
    <x v="1"/>
    <n v="1706.22"/>
    <n v="900"/>
    <n v="7.0000000000000007E-2"/>
    <n v="119.43540000000002"/>
    <n v="0.1"/>
    <n v="170.62200000000001"/>
    <n v="1416.1625999999999"/>
    <n v="516.16259999999988"/>
  </r>
  <r>
    <s v="ORD-00077"/>
    <s v="CUST-234"/>
    <s v="REP-35"/>
    <x v="6"/>
    <d v="2023-12-11T00:00:00"/>
    <x v="2"/>
    <s v="December"/>
    <s v="Monday"/>
    <d v="1899-12-30T10:53:44"/>
    <n v="10"/>
    <n v="53"/>
    <x v="3"/>
    <s v="Wearables"/>
    <n v="3"/>
    <n v="180.81"/>
    <n v="150"/>
    <x v="1"/>
    <s v="carlosrodriguez@techgadgetsco.com"/>
    <x v="4"/>
    <x v="1"/>
    <n v="542.43000000000006"/>
    <n v="450"/>
    <n v="0.1"/>
    <n v="54.243000000000009"/>
    <n v="7.0000000000000007E-2"/>
    <n v="37.970100000000009"/>
    <n v="450.21690000000007"/>
    <n v="0.21690000000006648"/>
  </r>
  <r>
    <s v="ORD-00078"/>
    <s v="CUST-344"/>
    <s v="REP-20"/>
    <x v="4"/>
    <d v="2024-02-02T00:00:00"/>
    <x v="0"/>
    <s v="February"/>
    <s v="Friday"/>
    <d v="1899-12-30T18:36:28"/>
    <n v="18"/>
    <n v="36"/>
    <x v="4"/>
    <s v="Audio"/>
    <n v="13"/>
    <n v="159.56"/>
    <n v="50"/>
    <x v="2"/>
    <s v="sophielee@sales.techg.com"/>
    <x v="4"/>
    <x v="1"/>
    <n v="2074.2800000000002"/>
    <n v="650"/>
    <n v="0.2"/>
    <n v="414.85600000000005"/>
    <n v="0.03"/>
    <n v="62.228400000000001"/>
    <n v="1597.1956000000002"/>
    <n v="947.19560000000024"/>
  </r>
  <r>
    <s v="ORD-00079"/>
    <s v="CUST-205"/>
    <s v="REP-32"/>
    <x v="1"/>
    <d v="2024-06-08T00:00:00"/>
    <x v="0"/>
    <s v="June"/>
    <s v="Saturday"/>
    <d v="1899-12-30T20:10:17"/>
    <n v="20"/>
    <n v="10"/>
    <x v="4"/>
    <s v="Audio"/>
    <n v="3"/>
    <n v="126.88"/>
    <n v="50"/>
    <x v="2"/>
    <s v="mariagarcia@tg.inc"/>
    <x v="4"/>
    <x v="1"/>
    <n v="380.64"/>
    <n v="150"/>
    <n v="0.2"/>
    <n v="76.128"/>
    <n v="0.03"/>
    <n v="11.4192"/>
    <n v="293.09280000000001"/>
    <n v="143.09280000000001"/>
  </r>
  <r>
    <s v="ORD-00080"/>
    <s v="CUST-183"/>
    <s v="REP-22"/>
    <x v="2"/>
    <d v="2023-02-27T00:00:00"/>
    <x v="2"/>
    <s v="February"/>
    <s v="Monday"/>
    <d v="1899-12-30T09:53:45"/>
    <n v="9"/>
    <n v="53"/>
    <x v="2"/>
    <s v="Tablets"/>
    <n v="3"/>
    <n v="500"/>
    <n v="200"/>
    <x v="3"/>
    <s v="fatimaadebayo@tg.inc"/>
    <x v="6"/>
    <x v="0"/>
    <n v="1500"/>
    <n v="600"/>
    <n v="0.15"/>
    <n v="225"/>
    <n v="0.08"/>
    <n v="120"/>
    <n v="1155"/>
    <n v="555"/>
  </r>
  <r>
    <s v="ORD-00081"/>
    <s v="CUST-320"/>
    <s v="REP-14"/>
    <x v="1"/>
    <d v="2026-05-31T00:00:00"/>
    <x v="1"/>
    <s v="May"/>
    <s v="Sunday"/>
    <d v="1899-12-30T09:49:18"/>
    <n v="9"/>
    <n v="49"/>
    <x v="1"/>
    <s v="Mobile Devices"/>
    <n v="1"/>
    <n v="671.69"/>
    <n v="300"/>
    <x v="4"/>
    <s v="mariagarcia@tg.inc"/>
    <x v="0"/>
    <x v="0"/>
    <n v="671.69"/>
    <n v="300"/>
    <n v="0.12"/>
    <n v="80.602800000000002"/>
    <n v="0.1"/>
    <n v="67.169000000000011"/>
    <n v="523.91820000000007"/>
    <n v="223.91820000000007"/>
  </r>
  <r>
    <s v="ORD-00082"/>
    <s v="CUST-398"/>
    <s v="REP-24"/>
    <x v="7"/>
    <d v="2026-06-13T00:00:00"/>
    <x v="1"/>
    <s v="June"/>
    <s v="Saturday"/>
    <d v="1899-12-30T11:36:26"/>
    <n v="11"/>
    <n v="36"/>
    <x v="1"/>
    <s v="Mobile Devices"/>
    <n v="2"/>
    <n v="588.17999999999995"/>
    <n v="300"/>
    <x v="4"/>
    <s v="liamchen@techgadgetsco.com"/>
    <x v="0"/>
    <x v="0"/>
    <n v="1176.3599999999999"/>
    <n v="600"/>
    <n v="0.12"/>
    <n v="141.16319999999999"/>
    <n v="0.1"/>
    <n v="117.636"/>
    <n v="917.56079999999997"/>
    <n v="317.56079999999997"/>
  </r>
  <r>
    <s v="ORD-00083"/>
    <s v="CUST-482"/>
    <s v="REP-18"/>
    <x v="8"/>
    <d v="2025-01-01T00:00:00"/>
    <x v="3"/>
    <s v="January"/>
    <s v="Wednesday"/>
    <d v="1899-12-30T13:15:46"/>
    <n v="13"/>
    <n v="15"/>
    <x v="0"/>
    <s v="Computers"/>
    <n v="12"/>
    <n v="866.7"/>
    <n v="600"/>
    <x v="1"/>
    <s v="noahkim@tg.inc"/>
    <x v="6"/>
    <x v="0"/>
    <n v="10400.400000000001"/>
    <n v="7200"/>
    <n v="0.1"/>
    <n v="1040.0400000000002"/>
    <n v="0.05"/>
    <n v="520.0200000000001"/>
    <n v="8840.34"/>
    <n v="1640.3400000000001"/>
  </r>
  <r>
    <s v="ORD-00084"/>
    <s v="CUST-238"/>
    <s v="REP-12"/>
    <x v="5"/>
    <d v="2023-03-17T00:00:00"/>
    <x v="2"/>
    <s v="March"/>
    <s v="Friday"/>
    <d v="1899-12-30T11:02:50"/>
    <n v="11"/>
    <n v="2"/>
    <x v="1"/>
    <s v="Mobile Devices"/>
    <n v="6"/>
    <n v="634.62"/>
    <n v="300"/>
    <x v="4"/>
    <s v="oliviapatel@tg.inc"/>
    <x v="4"/>
    <x v="1"/>
    <n v="3807.7200000000003"/>
    <n v="1800"/>
    <n v="0.12"/>
    <n v="456.9264"/>
    <n v="0.1"/>
    <n v="380.77200000000005"/>
    <n v="2970.0216000000005"/>
    <n v="1170.0216000000005"/>
  </r>
  <r>
    <s v="ORD-00085"/>
    <s v="CUST-439"/>
    <s v="REP-18"/>
    <x v="8"/>
    <d v="2025-01-23T00:00:00"/>
    <x v="3"/>
    <s v="January"/>
    <s v="Thursday"/>
    <d v="1899-12-30T14:47:28"/>
    <n v="14"/>
    <n v="47"/>
    <x v="4"/>
    <s v="Audio"/>
    <n v="3"/>
    <n v="157.31"/>
    <n v="50"/>
    <x v="4"/>
    <s v="noahkim@tg.inc"/>
    <x v="14"/>
    <x v="2"/>
    <n v="471.93"/>
    <n v="150"/>
    <n v="0.12"/>
    <n v="56.631599999999999"/>
    <n v="0.03"/>
    <n v="14.1579"/>
    <n v="401.14050000000003"/>
    <n v="251.14050000000003"/>
  </r>
  <r>
    <s v="ORD-00086"/>
    <s v="CUST-428"/>
    <s v="REP-13"/>
    <x v="0"/>
    <d v="2024-02-11T00:00:00"/>
    <x v="0"/>
    <s v="February"/>
    <s v="Sunday"/>
    <d v="1899-12-30T12:28:38"/>
    <n v="12"/>
    <n v="28"/>
    <x v="4"/>
    <s v="Audio"/>
    <n v="8"/>
    <n v="123.18"/>
    <n v="50"/>
    <x v="1"/>
    <s v="ahmedkhan@tg.inc"/>
    <x v="4"/>
    <x v="1"/>
    <n v="985.44"/>
    <n v="400"/>
    <n v="0.1"/>
    <n v="98.544000000000011"/>
    <n v="0.03"/>
    <n v="29.563200000000002"/>
    <n v="857.33280000000002"/>
    <n v="457.33280000000002"/>
  </r>
  <r>
    <s v="ORD-00087"/>
    <s v="CUST-920"/>
    <s v="REP-15"/>
    <x v="4"/>
    <d v="2023-10-20T00:00:00"/>
    <x v="2"/>
    <s v="October"/>
    <s v="Friday"/>
    <d v="1899-12-30T08:08:04"/>
    <n v="8"/>
    <n v="8"/>
    <x v="1"/>
    <s v="Mobile Devices"/>
    <n v="6"/>
    <n v="764.84"/>
    <n v="300"/>
    <x v="0"/>
    <s v="sophielee@techgadgetsco.com"/>
    <x v="1"/>
    <x v="0"/>
    <n v="4589.04"/>
    <n v="1800"/>
    <n v="7.0000000000000007E-2"/>
    <n v="321.23280000000005"/>
    <n v="0.1"/>
    <n v="458.904"/>
    <n v="3808.9032000000002"/>
    <n v="2008.9032000000002"/>
  </r>
  <r>
    <s v="ORD-00088"/>
    <s v="CUST-475"/>
    <s v="REP-23"/>
    <x v="8"/>
    <d v="2026-08-23T00:00:00"/>
    <x v="1"/>
    <s v="August"/>
    <s v="Sunday"/>
    <d v="1899-12-30T11:07:01"/>
    <n v="11"/>
    <n v="7"/>
    <x v="1"/>
    <s v="Mobile Devices"/>
    <n v="7"/>
    <n v="515.33000000000004"/>
    <n v="300"/>
    <x v="1"/>
    <s v="noahkim@sales.techg.com"/>
    <x v="7"/>
    <x v="0"/>
    <n v="3607.3100000000004"/>
    <n v="2100"/>
    <n v="0.1"/>
    <n v="360.73100000000005"/>
    <n v="0.1"/>
    <n v="360.73100000000005"/>
    <n v="2885.848"/>
    <n v="785.84799999999996"/>
  </r>
  <r>
    <s v="ORD-00089"/>
    <s v="CUST-276"/>
    <s v="REP-28"/>
    <x v="1"/>
    <d v="2026-10-28T00:00:00"/>
    <x v="1"/>
    <s v="October"/>
    <s v="Wednesday"/>
    <d v="1899-12-30T18:22:45"/>
    <n v="18"/>
    <n v="22"/>
    <x v="0"/>
    <s v="Computers"/>
    <n v="5"/>
    <n v="1225.68"/>
    <n v="600"/>
    <x v="2"/>
    <s v="mariagarcia@sales.techg.com"/>
    <x v="5"/>
    <x v="2"/>
    <n v="6128.4000000000005"/>
    <n v="3000"/>
    <n v="0.2"/>
    <n v="1225.68"/>
    <n v="0.05"/>
    <n v="306.42"/>
    <n v="4596.3"/>
    <n v="1596.3000000000002"/>
  </r>
  <r>
    <s v="ORD-00090"/>
    <s v="CUST-469"/>
    <s v="REP-33"/>
    <x v="0"/>
    <d v="2025-08-15T00:00:00"/>
    <x v="3"/>
    <s v="August"/>
    <s v="Friday"/>
    <d v="1899-12-30T17:56:05"/>
    <n v="17"/>
    <n v="56"/>
    <x v="0"/>
    <s v="Computers"/>
    <n v="12"/>
    <n v="1062.8499999999999"/>
    <n v="600"/>
    <x v="3"/>
    <s v="ahmedkhan@tg.inc"/>
    <x v="15"/>
    <x v="0"/>
    <n v="12754.199999999999"/>
    <n v="7200"/>
    <n v="0.15"/>
    <n v="1913.1299999999997"/>
    <n v="0.05"/>
    <n v="637.71"/>
    <n v="10203.36"/>
    <n v="3003.3600000000006"/>
  </r>
  <r>
    <s v="ORD-00091"/>
    <s v="CUST-999"/>
    <s v="REP-33"/>
    <x v="0"/>
    <d v="2023-09-22T00:00:00"/>
    <x v="2"/>
    <s v="September"/>
    <s v="Friday"/>
    <d v="1899-12-30T16:58:55"/>
    <n v="16"/>
    <n v="58"/>
    <x v="0"/>
    <s v="Computers"/>
    <n v="9"/>
    <n v="882.33"/>
    <n v="600"/>
    <x v="1"/>
    <s v="ahmedkhan@sales.techg.com"/>
    <x v="13"/>
    <x v="0"/>
    <n v="7940.97"/>
    <n v="5400"/>
    <n v="0.1"/>
    <n v="794.09700000000009"/>
    <n v="0.05"/>
    <n v="397.04850000000005"/>
    <n v="6749.8245000000006"/>
    <n v="1349.8245000000006"/>
  </r>
  <r>
    <s v="ORD-00092"/>
    <s v="CUST-750"/>
    <s v="REP-33"/>
    <x v="0"/>
    <d v="2023-09-14T00:00:00"/>
    <x v="2"/>
    <s v="September"/>
    <s v="Thursday"/>
    <d v="1899-12-30T17:34:05"/>
    <n v="17"/>
    <n v="34"/>
    <x v="3"/>
    <s v="Wearables"/>
    <n v="10"/>
    <n v="192.96"/>
    <n v="150"/>
    <x v="4"/>
    <s v="ahmedkhan@tg.inc"/>
    <x v="12"/>
    <x v="0"/>
    <n v="1929.6000000000001"/>
    <n v="1500"/>
    <n v="0.12"/>
    <n v="231.55200000000002"/>
    <n v="7.0000000000000007E-2"/>
    <n v="135.07200000000003"/>
    <n v="1562.9760000000001"/>
    <n v="62.976000000000113"/>
  </r>
  <r>
    <s v="ORD-00093"/>
    <s v="CUST-756"/>
    <s v="REP-34"/>
    <x v="2"/>
    <d v="2026-08-26T00:00:00"/>
    <x v="1"/>
    <s v="August"/>
    <s v="Wednesday"/>
    <d v="1899-12-30T20:36:26"/>
    <n v="20"/>
    <n v="36"/>
    <x v="3"/>
    <s v="Wearables"/>
    <n v="8"/>
    <n v="236.01"/>
    <n v="150"/>
    <x v="1"/>
    <s v="fatimaadebayo@sales.techg.com"/>
    <x v="4"/>
    <x v="1"/>
    <n v="1888.08"/>
    <n v="1200"/>
    <n v="0.1"/>
    <n v="188.80799999999999"/>
    <n v="7.0000000000000007E-2"/>
    <n v="132.16560000000001"/>
    <n v="1567.1063999999999"/>
    <n v="367.10639999999989"/>
  </r>
  <r>
    <s v="ORD-00094"/>
    <s v="CUST-525"/>
    <s v="REP-29"/>
    <x v="4"/>
    <d v="2024-02-22T00:00:00"/>
    <x v="0"/>
    <s v="February"/>
    <s v="Thursday"/>
    <d v="1899-12-30T17:09:20"/>
    <n v="17"/>
    <n v="9"/>
    <x v="2"/>
    <s v="Tablets"/>
    <n v="14"/>
    <n v="399.74"/>
    <n v="200"/>
    <x v="1"/>
    <s v="sophielee@techgadgetsco.com"/>
    <x v="2"/>
    <x v="0"/>
    <n v="5596.3600000000006"/>
    <n v="2800"/>
    <n v="0.1"/>
    <n v="559.63600000000008"/>
    <n v="0.08"/>
    <n v="447.70880000000005"/>
    <n v="4589.0151999999998"/>
    <n v="1789.0151999999998"/>
  </r>
  <r>
    <s v="ORD-00095"/>
    <s v="CUST-397"/>
    <s v="REP-23"/>
    <x v="8"/>
    <d v="2024-05-23T00:00:00"/>
    <x v="0"/>
    <s v="May"/>
    <s v="Thursday"/>
    <d v="1899-12-30T21:20:59"/>
    <n v="21"/>
    <n v="20"/>
    <x v="3"/>
    <s v="Wearables"/>
    <n v="4"/>
    <n v="230.81"/>
    <n v="150"/>
    <x v="4"/>
    <s v="noahkim@sales.techg.com"/>
    <x v="15"/>
    <x v="0"/>
    <n v="923.24"/>
    <n v="600"/>
    <n v="0.12"/>
    <n v="110.78879999999999"/>
    <n v="7.0000000000000007E-2"/>
    <n v="64.626800000000003"/>
    <n v="747.82439999999997"/>
    <n v="147.82439999999997"/>
  </r>
  <r>
    <s v="ORD-00096"/>
    <s v="CUST-320"/>
    <s v="REP-34"/>
    <x v="2"/>
    <d v="2023-10-04T00:00:00"/>
    <x v="2"/>
    <s v="October"/>
    <s v="Wednesday"/>
    <d v="1899-12-30T12:31:38"/>
    <n v="12"/>
    <n v="31"/>
    <x v="4"/>
    <s v="Audio"/>
    <n v="1"/>
    <n v="152.32"/>
    <n v="50"/>
    <x v="1"/>
    <s v="fatimaadebayo@sales.techg.com"/>
    <x v="4"/>
    <x v="1"/>
    <n v="152.32"/>
    <n v="50"/>
    <n v="0.1"/>
    <n v="15.231999999999999"/>
    <n v="0.03"/>
    <n v="4.5695999999999994"/>
    <n v="132.51839999999999"/>
    <n v="82.518399999999986"/>
  </r>
  <r>
    <s v="ORD-00097"/>
    <s v="CUST-395"/>
    <s v="REP-12"/>
    <x v="5"/>
    <d v="2025-10-29T00:00:00"/>
    <x v="3"/>
    <s v="October"/>
    <s v="Wednesday"/>
    <d v="1899-12-30T20:35:17"/>
    <n v="20"/>
    <n v="35"/>
    <x v="3"/>
    <s v="Wearables"/>
    <n v="2"/>
    <n v="186.63"/>
    <n v="150"/>
    <x v="1"/>
    <s v="oliviapatel@tg.inc"/>
    <x v="8"/>
    <x v="1"/>
    <n v="373.26"/>
    <n v="300"/>
    <n v="0.1"/>
    <n v="37.326000000000001"/>
    <n v="7.0000000000000007E-2"/>
    <n v="26.128200000000003"/>
    <n v="309.80579999999998"/>
    <n v="9.8057999999999765"/>
  </r>
  <r>
    <s v="ORD-00098"/>
    <s v="CUST-146"/>
    <s v="REP-11"/>
    <x v="3"/>
    <d v="2024-11-13T00:00:00"/>
    <x v="0"/>
    <s v="November"/>
    <s v="Wednesday"/>
    <d v="1899-12-30T16:29:09"/>
    <n v="16"/>
    <n v="29"/>
    <x v="3"/>
    <s v="Wearables"/>
    <n v="3"/>
    <n v="243.44"/>
    <n v="150"/>
    <x v="2"/>
    <s v="emmadubois@tg.inc"/>
    <x v="10"/>
    <x v="0"/>
    <n v="730.31999999999994"/>
    <n v="450"/>
    <n v="0.2"/>
    <n v="146.06399999999999"/>
    <n v="7.0000000000000007E-2"/>
    <n v="51.122399999999999"/>
    <n v="533.1336"/>
    <n v="83.133600000000001"/>
  </r>
  <r>
    <s v="ORD-00099"/>
    <s v="CUST-676"/>
    <s v="REP-20"/>
    <x v="4"/>
    <d v="2023-04-02T00:00:00"/>
    <x v="2"/>
    <s v="April"/>
    <s v="Sunday"/>
    <d v="1899-12-30T13:43:07"/>
    <n v="13"/>
    <n v="43"/>
    <x v="4"/>
    <s v="Audio"/>
    <n v="13"/>
    <n v="185.41"/>
    <n v="50"/>
    <x v="0"/>
    <s v="sophielee@sales.techg.com"/>
    <x v="3"/>
    <x v="0"/>
    <n v="2410.33"/>
    <n v="650"/>
    <n v="7.0000000000000007E-2"/>
    <n v="168.72310000000002"/>
    <n v="0.03"/>
    <n v="72.309899999999999"/>
    <n v="2169.2969999999996"/>
    <n v="1519.2969999999996"/>
  </r>
  <r>
    <s v="ORD-00100"/>
    <s v="CUST-744"/>
    <s v="REP-35"/>
    <x v="6"/>
    <d v="2023-10-30T00:00:00"/>
    <x v="2"/>
    <s v="October"/>
    <s v="Monday"/>
    <d v="1899-12-30T08:36:44"/>
    <n v="8"/>
    <n v="36"/>
    <x v="0"/>
    <s v="Computers"/>
    <n v="8"/>
    <n v="875.72"/>
    <n v="600"/>
    <x v="2"/>
    <s v="carlosrodriguez@techgadgetsco.com"/>
    <x v="12"/>
    <x v="0"/>
    <n v="7005.76"/>
    <n v="4800"/>
    <n v="0.2"/>
    <n v="1401.152"/>
    <n v="0.05"/>
    <n v="350.28800000000001"/>
    <n v="5254.32"/>
    <n v="454.31999999999971"/>
  </r>
  <r>
    <s v="ORD-00101"/>
    <s v="CUST-778"/>
    <s v="REP-29"/>
    <x v="4"/>
    <d v="2024-04-10T00:00:00"/>
    <x v="0"/>
    <s v="April"/>
    <s v="Wednesday"/>
    <d v="1899-12-30T15:58:34"/>
    <n v="15"/>
    <n v="58"/>
    <x v="2"/>
    <s v="Tablets"/>
    <n v="11"/>
    <n v="464.18"/>
    <n v="200"/>
    <x v="1"/>
    <s v="sophielee@techgadgetsco.com"/>
    <x v="4"/>
    <x v="1"/>
    <n v="5105.9800000000005"/>
    <n v="2200"/>
    <n v="0.1"/>
    <n v="510.59800000000007"/>
    <n v="0.08"/>
    <n v="408.47840000000002"/>
    <n v="4186.9036000000006"/>
    <n v="1986.9036000000006"/>
  </r>
  <r>
    <s v="ORD-00102"/>
    <s v="CUST-395"/>
    <s v="REP-16"/>
    <x v="4"/>
    <d v="2024-11-10T00:00:00"/>
    <x v="0"/>
    <s v="November"/>
    <s v="Sunday"/>
    <d v="1899-12-30T13:35:59"/>
    <n v="13"/>
    <n v="35"/>
    <x v="2"/>
    <s v="Tablets"/>
    <n v="10"/>
    <n v="395.94"/>
    <n v="200"/>
    <x v="3"/>
    <s v="sophielee@techgadgetsco.com"/>
    <x v="4"/>
    <x v="1"/>
    <n v="3959.4"/>
    <n v="2000"/>
    <n v="0.15"/>
    <n v="593.91"/>
    <n v="0.08"/>
    <n v="316.75200000000001"/>
    <n v="3048.7380000000003"/>
    <n v="1048.7380000000003"/>
  </r>
  <r>
    <s v="ORD-00103"/>
    <s v="CUST-552"/>
    <s v="REP-18"/>
    <x v="8"/>
    <d v="2024-03-14T00:00:00"/>
    <x v="0"/>
    <s v="March"/>
    <s v="Thursday"/>
    <d v="1899-12-30T21:34:17"/>
    <n v="21"/>
    <n v="34"/>
    <x v="3"/>
    <s v="Wearables"/>
    <n v="3"/>
    <n v="500"/>
    <n v="150"/>
    <x v="4"/>
    <s v="noahkim@sales.techg.com"/>
    <x v="3"/>
    <x v="0"/>
    <n v="1500"/>
    <n v="450"/>
    <n v="0.12"/>
    <n v="180"/>
    <n v="7.0000000000000007E-2"/>
    <n v="105.00000000000001"/>
    <n v="1215"/>
    <n v="765"/>
  </r>
  <r>
    <s v="ORD-00104"/>
    <s v="CUST-834"/>
    <s v="REP-29"/>
    <x v="4"/>
    <d v="2026-10-27T00:00:00"/>
    <x v="1"/>
    <s v="October"/>
    <s v="Tuesday"/>
    <d v="1899-12-30T08:35:59"/>
    <n v="8"/>
    <n v="35"/>
    <x v="1"/>
    <s v="Mobile Devices"/>
    <n v="15"/>
    <n v="622.71"/>
    <n v="300"/>
    <x v="2"/>
    <s v="sophielee@tg.inc"/>
    <x v="12"/>
    <x v="0"/>
    <n v="9340.6500000000015"/>
    <n v="4500"/>
    <n v="0.2"/>
    <n v="1868.1300000000003"/>
    <n v="0.1"/>
    <n v="934.06500000000017"/>
    <n v="6538.4550000000008"/>
    <n v="2038.4550000000008"/>
  </r>
  <r>
    <s v="ORD-00105"/>
    <s v="CUST-647"/>
    <s v="REP-11"/>
    <x v="3"/>
    <d v="2025-05-05T00:00:00"/>
    <x v="3"/>
    <s v="May"/>
    <s v="Monday"/>
    <d v="1899-12-30T08:53:25"/>
    <n v="8"/>
    <n v="53"/>
    <x v="4"/>
    <s v="Audio"/>
    <n v="12"/>
    <n v="189.45"/>
    <n v="50"/>
    <x v="0"/>
    <s v="emmadubois@tg.inc"/>
    <x v="10"/>
    <x v="0"/>
    <n v="2273.3999999999996"/>
    <n v="600"/>
    <n v="7.0000000000000007E-2"/>
    <n v="159.13799999999998"/>
    <n v="0.03"/>
    <n v="68.201999999999984"/>
    <n v="2046.0599999999997"/>
    <n v="1446.0599999999997"/>
  </r>
  <r>
    <s v="ORD-00106"/>
    <s v="CUST-605"/>
    <s v="REP-14"/>
    <x v="1"/>
    <d v="2025-08-16T00:00:00"/>
    <x v="3"/>
    <s v="August"/>
    <s v="Saturday"/>
    <d v="1899-12-30T11:51:07"/>
    <n v="11"/>
    <n v="51"/>
    <x v="2"/>
    <s v="Tablets"/>
    <n v="8"/>
    <n v="463.72"/>
    <n v="200"/>
    <x v="0"/>
    <s v="mariagarcia@tg.inc"/>
    <x v="5"/>
    <x v="2"/>
    <n v="3709.76"/>
    <n v="1600"/>
    <n v="7.0000000000000007E-2"/>
    <n v="259.68320000000006"/>
    <n v="0.08"/>
    <n v="296.7808"/>
    <n v="3153.2960000000003"/>
    <n v="1553.2960000000003"/>
  </r>
  <r>
    <s v="ORD-00107"/>
    <s v="CUST-946"/>
    <s v="REP-24"/>
    <x v="7"/>
    <d v="2023-06-27T00:00:00"/>
    <x v="2"/>
    <s v="June"/>
    <s v="Tuesday"/>
    <d v="1899-12-30T18:06:11"/>
    <n v="18"/>
    <n v="6"/>
    <x v="1"/>
    <s v="Mobile Devices"/>
    <n v="15"/>
    <n v="558.24"/>
    <n v="300"/>
    <x v="2"/>
    <s v="liamchen@sales.techg.com"/>
    <x v="0"/>
    <x v="0"/>
    <n v="8373.6"/>
    <n v="4500"/>
    <n v="0.2"/>
    <n v="1674.7200000000003"/>
    <n v="0.1"/>
    <n v="837.36000000000013"/>
    <n v="5861.52"/>
    <n v="1361.5200000000004"/>
  </r>
  <r>
    <s v="ORD-00108"/>
    <s v="CUST-783"/>
    <s v="REP-13"/>
    <x v="0"/>
    <d v="2024-09-20T00:00:00"/>
    <x v="0"/>
    <s v="September"/>
    <s v="Friday"/>
    <d v="1899-12-30T14:43:32"/>
    <n v="14"/>
    <n v="43"/>
    <x v="2"/>
    <s v="Tablets"/>
    <n v="11"/>
    <n v="379.01"/>
    <n v="200"/>
    <x v="4"/>
    <s v="ahmedkhan@sales.techg.com"/>
    <x v="6"/>
    <x v="0"/>
    <n v="4169.1099999999997"/>
    <n v="2200"/>
    <n v="0.12"/>
    <n v="500.29319999999996"/>
    <n v="0.08"/>
    <n v="333.52879999999999"/>
    <n v="3335.2879999999996"/>
    <n v="1135.2879999999996"/>
  </r>
  <r>
    <s v="ORD-00109"/>
    <s v="CUST-662"/>
    <s v="REP-29"/>
    <x v="4"/>
    <d v="2024-05-21T00:00:00"/>
    <x v="0"/>
    <s v="May"/>
    <s v="Tuesday"/>
    <d v="1899-12-30T16:28:33"/>
    <n v="16"/>
    <n v="28"/>
    <x v="2"/>
    <s v="Tablets"/>
    <n v="7"/>
    <n v="332.35"/>
    <n v="200"/>
    <x v="4"/>
    <s v="sophielee@tg.inc"/>
    <x v="9"/>
    <x v="0"/>
    <n v="2326.4500000000003"/>
    <n v="1400"/>
    <n v="0.12"/>
    <n v="279.17400000000004"/>
    <n v="0.08"/>
    <n v="186.11600000000001"/>
    <n v="1861.1600000000003"/>
    <n v="461.16000000000031"/>
  </r>
  <r>
    <s v="ORD-00110"/>
    <s v="CUST-310"/>
    <s v="REP-34"/>
    <x v="2"/>
    <d v="2023-06-07T00:00:00"/>
    <x v="2"/>
    <s v="June"/>
    <s v="Wednesday"/>
    <d v="1899-12-30T20:03:29"/>
    <n v="20"/>
    <n v="3"/>
    <x v="1"/>
    <s v="Mobile Devices"/>
    <n v="8"/>
    <n v="647.64"/>
    <n v="300"/>
    <x v="1"/>
    <s v="fatimaadebayo@sales.techg.com"/>
    <x v="5"/>
    <x v="2"/>
    <n v="5181.12"/>
    <n v="2400"/>
    <n v="0.1"/>
    <n v="518.11199999999997"/>
    <n v="0.1"/>
    <n v="518.11199999999997"/>
    <n v="4144.8959999999997"/>
    <n v="1744.8959999999997"/>
  </r>
  <r>
    <s v="ORD-00111"/>
    <s v="CUST-165"/>
    <s v="REP-33"/>
    <x v="0"/>
    <d v="2023-05-22T00:00:00"/>
    <x v="2"/>
    <s v="May"/>
    <s v="Monday"/>
    <d v="1899-12-30T08:18:26"/>
    <n v="8"/>
    <n v="18"/>
    <x v="1"/>
    <s v="Mobile Devices"/>
    <n v="13"/>
    <n v="698.79"/>
    <n v="300"/>
    <x v="3"/>
    <s v="ahmedkhan@sales.techg.com"/>
    <x v="11"/>
    <x v="0"/>
    <n v="9084.27"/>
    <n v="3900"/>
    <n v="0.15"/>
    <n v="1362.6405"/>
    <n v="0.1"/>
    <n v="908.42700000000013"/>
    <n v="6813.2025000000012"/>
    <n v="2913.2025000000012"/>
  </r>
  <r>
    <s v="ORD-00112"/>
    <s v="CUST-652"/>
    <s v="REP-14"/>
    <x v="1"/>
    <d v="2024-12-13T00:00:00"/>
    <x v="0"/>
    <s v="December"/>
    <s v="Friday"/>
    <d v="1899-12-30T10:34:25"/>
    <n v="10"/>
    <n v="34"/>
    <x v="3"/>
    <s v="Wearables"/>
    <n v="4"/>
    <n v="259.18"/>
    <n v="150"/>
    <x v="1"/>
    <s v="mariagarcia@tg.inc"/>
    <x v="11"/>
    <x v="0"/>
    <n v="1036.72"/>
    <n v="600"/>
    <n v="0.1"/>
    <n v="103.67200000000001"/>
    <n v="7.0000000000000007E-2"/>
    <n v="72.570400000000006"/>
    <n v="860.47759999999994"/>
    <n v="260.47759999999994"/>
  </r>
  <r>
    <s v="ORD-00113"/>
    <s v="CUST-382"/>
    <s v="REP-16"/>
    <x v="4"/>
    <d v="2023-07-03T00:00:00"/>
    <x v="2"/>
    <s v="July"/>
    <s v="Monday"/>
    <d v="1899-12-30T17:49:59"/>
    <n v="17"/>
    <n v="49"/>
    <x v="0"/>
    <s v="Computers"/>
    <n v="2"/>
    <n v="500"/>
    <n v="600"/>
    <x v="0"/>
    <s v="sophielee@sales.techg.com"/>
    <x v="3"/>
    <x v="0"/>
    <n v="1000"/>
    <n v="1200"/>
    <n v="7.0000000000000007E-2"/>
    <n v="70"/>
    <n v="0.05"/>
    <n v="50"/>
    <n v="880"/>
    <n v="-320"/>
  </r>
  <r>
    <s v="ORD-00114"/>
    <s v="CUST-322"/>
    <s v="REP-11"/>
    <x v="3"/>
    <d v="2025-10-28T00:00:00"/>
    <x v="3"/>
    <s v="October"/>
    <s v="Tuesday"/>
    <d v="1899-12-30T11:52:58"/>
    <n v="11"/>
    <n v="52"/>
    <x v="3"/>
    <s v="Wearables"/>
    <n v="10"/>
    <n v="266.02"/>
    <n v="150"/>
    <x v="2"/>
    <s v="emmadubois@tg.inc"/>
    <x v="3"/>
    <x v="0"/>
    <n v="2660.2"/>
    <n v="1500"/>
    <n v="0.2"/>
    <n v="532.04"/>
    <n v="7.0000000000000007E-2"/>
    <n v="186.214"/>
    <n v="1941.9459999999999"/>
    <n v="441.94599999999991"/>
  </r>
  <r>
    <s v="ORD-00115"/>
    <s v="CUST-705"/>
    <s v="REP-15"/>
    <x v="4"/>
    <d v="2026-10-22T00:00:00"/>
    <x v="1"/>
    <s v="October"/>
    <s v="Thursday"/>
    <d v="1899-12-30T16:31:03"/>
    <n v="16"/>
    <n v="31"/>
    <x v="2"/>
    <s v="Tablets"/>
    <n v="11"/>
    <n v="424.89"/>
    <n v="200"/>
    <x v="3"/>
    <s v="sophielee@sales.techg.com"/>
    <x v="7"/>
    <x v="0"/>
    <n v="4673.79"/>
    <n v="2200"/>
    <n v="0.15"/>
    <n v="701.06849999999997"/>
    <n v="0.08"/>
    <n v="373.90320000000003"/>
    <n v="3598.8182999999999"/>
    <n v="1398.8182999999999"/>
  </r>
  <r>
    <s v="ORD-00116"/>
    <s v="CUST-247"/>
    <s v="REP-28"/>
    <x v="1"/>
    <d v="2026-02-25T00:00:00"/>
    <x v="1"/>
    <s v="February"/>
    <s v="Wednesday"/>
    <d v="1899-12-30T14:35:33"/>
    <n v="14"/>
    <n v="35"/>
    <x v="1"/>
    <s v="Mobile Devices"/>
    <n v="5"/>
    <n v="674.01"/>
    <n v="300"/>
    <x v="3"/>
    <s v="mariagarcia@sales.techg.com"/>
    <x v="4"/>
    <x v="1"/>
    <n v="3370.05"/>
    <n v="1500"/>
    <n v="0.15"/>
    <n v="505.50749999999999"/>
    <n v="0.1"/>
    <n v="337.00500000000005"/>
    <n v="2527.5374999999999"/>
    <n v="1027.5374999999999"/>
  </r>
  <r>
    <s v="ORD-00117"/>
    <s v="CUST-140"/>
    <s v="REP-12"/>
    <x v="5"/>
    <d v="2026-04-18T00:00:00"/>
    <x v="1"/>
    <s v="April"/>
    <s v="Saturday"/>
    <d v="1899-12-30T15:13:55"/>
    <n v="15"/>
    <n v="13"/>
    <x v="2"/>
    <s v="Tablets"/>
    <n v="15"/>
    <n v="500"/>
    <n v="200"/>
    <x v="2"/>
    <s v="oliviapatel@techgadgetsco.com"/>
    <x v="7"/>
    <x v="0"/>
    <n v="7500"/>
    <n v="3000"/>
    <n v="0.2"/>
    <n v="1500"/>
    <n v="0.08"/>
    <n v="600"/>
    <n v="5400"/>
    <n v="2400"/>
  </r>
  <r>
    <s v="ORD-00118"/>
    <s v="CUST-506"/>
    <s v="REP-17"/>
    <x v="1"/>
    <d v="2024-02-08T00:00:00"/>
    <x v="0"/>
    <s v="February"/>
    <s v="Thursday"/>
    <d v="1899-12-30T15:34:41"/>
    <n v="15"/>
    <n v="34"/>
    <x v="2"/>
    <s v="Tablets"/>
    <n v="6"/>
    <n v="419.46"/>
    <n v="200"/>
    <x v="0"/>
    <s v="mariagarcia@tg.inc"/>
    <x v="10"/>
    <x v="0"/>
    <n v="2516.7599999999998"/>
    <n v="1200"/>
    <n v="7.0000000000000007E-2"/>
    <n v="176.17320000000001"/>
    <n v="0.08"/>
    <n v="201.34079999999997"/>
    <n v="2139.2459999999996"/>
    <n v="939.24599999999964"/>
  </r>
  <r>
    <s v="ORD-00119"/>
    <s v="CUST-676"/>
    <s v="REP-17"/>
    <x v="1"/>
    <d v="2023-03-02T00:00:00"/>
    <x v="2"/>
    <s v="March"/>
    <s v="Thursday"/>
    <d v="1899-12-30T16:59:37"/>
    <n v="16"/>
    <n v="59"/>
    <x v="3"/>
    <s v="Wearables"/>
    <n v="5"/>
    <n v="212.29"/>
    <n v="150"/>
    <x v="3"/>
    <s v="mariagarcia@techgadgetsco.com"/>
    <x v="10"/>
    <x v="0"/>
    <n v="1061.45"/>
    <n v="750"/>
    <n v="0.15"/>
    <n v="159.2175"/>
    <n v="7.0000000000000007E-2"/>
    <n v="74.301500000000004"/>
    <n v="827.93100000000004"/>
    <n v="77.93100000000004"/>
  </r>
  <r>
    <s v="ORD-00120"/>
    <s v="CUST-757"/>
    <s v="REP-29"/>
    <x v="4"/>
    <d v="2023-11-12T00:00:00"/>
    <x v="2"/>
    <s v="November"/>
    <s v="Sunday"/>
    <d v="1899-12-30T10:08:46"/>
    <n v="10"/>
    <n v="8"/>
    <x v="3"/>
    <s v="Wearables"/>
    <n v="15"/>
    <n v="284.94"/>
    <n v="150"/>
    <x v="0"/>
    <s v="sophielee@techgadgetsco.com"/>
    <x v="12"/>
    <x v="0"/>
    <n v="4274.1000000000004"/>
    <n v="2250"/>
    <n v="7.0000000000000007E-2"/>
    <n v="299.18700000000007"/>
    <n v="7.0000000000000007E-2"/>
    <n v="299.18700000000007"/>
    <n v="3675.7260000000006"/>
    <n v="1425.7260000000006"/>
  </r>
  <r>
    <s v="ORD-00121"/>
    <s v="CUST-336"/>
    <s v="REP-12"/>
    <x v="5"/>
    <d v="2023-01-19T00:00:00"/>
    <x v="2"/>
    <s v="January"/>
    <s v="Thursday"/>
    <d v="1899-12-30T16:29:23"/>
    <n v="16"/>
    <n v="29"/>
    <x v="0"/>
    <s v="Computers"/>
    <n v="11"/>
    <n v="1256.3800000000001"/>
    <n v="600"/>
    <x v="3"/>
    <s v="oliviapatel@techgadgetsco.com"/>
    <x v="0"/>
    <x v="0"/>
    <n v="13820.18"/>
    <n v="6600"/>
    <n v="0.15"/>
    <n v="2073.027"/>
    <n v="0.05"/>
    <n v="691.00900000000001"/>
    <n v="11056.144"/>
    <n v="4456.1440000000002"/>
  </r>
  <r>
    <s v="ORD-00122"/>
    <s v="CUST-117"/>
    <s v="REP-32"/>
    <x v="1"/>
    <d v="2024-03-01T00:00:00"/>
    <x v="0"/>
    <s v="March"/>
    <s v="Friday"/>
    <d v="1899-12-30T09:33:09"/>
    <n v="9"/>
    <n v="33"/>
    <x v="1"/>
    <s v="Mobile Devices"/>
    <n v="9"/>
    <n v="586.33000000000004"/>
    <n v="300"/>
    <x v="3"/>
    <s v="mariagarcia@techgadgetsco.com"/>
    <x v="3"/>
    <x v="0"/>
    <n v="5276.97"/>
    <n v="2700"/>
    <n v="0.15"/>
    <n v="791.54550000000006"/>
    <n v="0.1"/>
    <n v="527.697"/>
    <n v="3957.7275"/>
    <n v="1257.7275"/>
  </r>
  <r>
    <s v="ORD-00123"/>
    <s v="CUST-968"/>
    <s v="REP-12"/>
    <x v="5"/>
    <d v="2023-11-07T00:00:00"/>
    <x v="2"/>
    <s v="November"/>
    <s v="Tuesday"/>
    <d v="1899-12-30T14:24:35"/>
    <n v="14"/>
    <n v="24"/>
    <x v="4"/>
    <s v="Audio"/>
    <n v="7"/>
    <n v="500"/>
    <n v="50"/>
    <x v="2"/>
    <s v="oliviapatel@techgadgetsco.com"/>
    <x v="10"/>
    <x v="0"/>
    <n v="3500"/>
    <n v="350"/>
    <n v="0.2"/>
    <n v="700"/>
    <n v="0.03"/>
    <n v="105"/>
    <n v="2695"/>
    <n v="2345"/>
  </r>
  <r>
    <s v="ORD-00124"/>
    <s v="CUST-640"/>
    <s v="REP-11"/>
    <x v="3"/>
    <d v="2024-08-03T00:00:00"/>
    <x v="0"/>
    <s v="August"/>
    <s v="Saturday"/>
    <d v="1899-12-30T12:02:59"/>
    <n v="12"/>
    <n v="2"/>
    <x v="0"/>
    <s v="Computers"/>
    <n v="5"/>
    <n v="1081.75"/>
    <n v="600"/>
    <x v="0"/>
    <s v="emmadubois@tg.inc"/>
    <x v="5"/>
    <x v="2"/>
    <n v="5408.75"/>
    <n v="3000"/>
    <n v="7.0000000000000007E-2"/>
    <n v="378.61250000000001"/>
    <n v="0.05"/>
    <n v="270.4375"/>
    <n v="4759.7"/>
    <n v="1759.6999999999998"/>
  </r>
  <r>
    <s v="ORD-00125"/>
    <s v="CUST-507"/>
    <s v="REP-12"/>
    <x v="5"/>
    <d v="2023-11-29T00:00:00"/>
    <x v="2"/>
    <s v="November"/>
    <s v="Wednesday"/>
    <d v="1899-12-30T17:53:54"/>
    <n v="17"/>
    <n v="53"/>
    <x v="4"/>
    <s v="Audio"/>
    <n v="9"/>
    <n v="176.67"/>
    <n v="50"/>
    <x v="2"/>
    <s v="oliviapatel@tg.inc"/>
    <x v="4"/>
    <x v="1"/>
    <n v="1590.03"/>
    <n v="450"/>
    <n v="0.2"/>
    <n v="318.00600000000003"/>
    <n v="0.03"/>
    <n v="47.700899999999997"/>
    <n v="1224.3230999999998"/>
    <n v="774.32309999999984"/>
  </r>
  <r>
    <s v="ORD-00126"/>
    <s v="CUST-448"/>
    <s v="REP-35"/>
    <x v="6"/>
    <d v="2026-04-05T00:00:00"/>
    <x v="1"/>
    <s v="April"/>
    <s v="Sunday"/>
    <d v="1899-12-30T20:20:01"/>
    <n v="20"/>
    <n v="20"/>
    <x v="2"/>
    <s v="Tablets"/>
    <n v="8"/>
    <n v="391.16"/>
    <n v="200"/>
    <x v="3"/>
    <s v="carlosrodriguez@tg.inc"/>
    <x v="15"/>
    <x v="0"/>
    <n v="3129.28"/>
    <n v="1600"/>
    <n v="0.15"/>
    <n v="469.392"/>
    <n v="0.08"/>
    <n v="250.34240000000003"/>
    <n v="2409.5456000000004"/>
    <n v="809.54560000000038"/>
  </r>
  <r>
    <s v="ORD-00127"/>
    <s v="CUST-175"/>
    <s v="REP-12"/>
    <x v="5"/>
    <d v="2023-12-11T00:00:00"/>
    <x v="2"/>
    <s v="December"/>
    <s v="Monday"/>
    <d v="1899-12-30T19:50:40"/>
    <n v="19"/>
    <n v="50"/>
    <x v="1"/>
    <s v="Mobile Devices"/>
    <n v="6"/>
    <n v="507.46"/>
    <n v="300"/>
    <x v="1"/>
    <s v="oliviapatel@tg.inc"/>
    <x v="15"/>
    <x v="0"/>
    <n v="3044.7599999999998"/>
    <n v="1800"/>
    <n v="0.1"/>
    <n v="304.476"/>
    <n v="0.1"/>
    <n v="304.476"/>
    <n v="2435.8079999999995"/>
    <n v="635.80799999999954"/>
  </r>
  <r>
    <s v="ORD-00128"/>
    <s v="CUST-517"/>
    <s v="REP-13"/>
    <x v="0"/>
    <d v="2023-03-07T00:00:00"/>
    <x v="2"/>
    <s v="March"/>
    <s v="Tuesday"/>
    <d v="1899-12-30T16:05:38"/>
    <n v="16"/>
    <n v="5"/>
    <x v="3"/>
    <s v="Wearables"/>
    <n v="14"/>
    <n v="208.1"/>
    <n v="150"/>
    <x v="3"/>
    <s v="ahmedkhan@tg.inc"/>
    <x v="3"/>
    <x v="0"/>
    <n v="2913.4"/>
    <n v="2100"/>
    <n v="0.15"/>
    <n v="437.01"/>
    <n v="7.0000000000000007E-2"/>
    <n v="203.93800000000002"/>
    <n v="2272.4520000000002"/>
    <n v="172.45200000000023"/>
  </r>
  <r>
    <s v="ORD-00129"/>
    <s v="CUST-242"/>
    <s v="REP-18"/>
    <x v="8"/>
    <d v="2024-03-07T00:00:00"/>
    <x v="0"/>
    <s v="March"/>
    <s v="Thursday"/>
    <d v="1899-12-30T10:04:10"/>
    <n v="10"/>
    <n v="4"/>
    <x v="4"/>
    <s v="Audio"/>
    <n v="5"/>
    <n v="125.77"/>
    <n v="50"/>
    <x v="1"/>
    <s v="noahkim@sales.techg.com"/>
    <x v="5"/>
    <x v="2"/>
    <n v="628.85"/>
    <n v="250"/>
    <n v="0.1"/>
    <n v="62.885000000000005"/>
    <n v="0.03"/>
    <n v="18.865500000000001"/>
    <n v="547.09950000000003"/>
    <n v="297.09950000000003"/>
  </r>
  <r>
    <s v="ORD-00130"/>
    <s v="CUST-505"/>
    <s v="REP-21"/>
    <x v="2"/>
    <d v="2025-02-17T00:00:00"/>
    <x v="3"/>
    <s v="February"/>
    <s v="Monday"/>
    <d v="1899-12-30T15:21:27"/>
    <n v="15"/>
    <n v="21"/>
    <x v="3"/>
    <s v="Wearables"/>
    <n v="6"/>
    <n v="252.48"/>
    <n v="150"/>
    <x v="3"/>
    <s v="fatimaadebayo@sales.techg.com"/>
    <x v="4"/>
    <x v="1"/>
    <n v="1514.8799999999999"/>
    <n v="900"/>
    <n v="0.15"/>
    <n v="227.23199999999997"/>
    <n v="7.0000000000000007E-2"/>
    <n v="106.0416"/>
    <n v="1181.6063999999999"/>
    <n v="281.60639999999989"/>
  </r>
  <r>
    <s v="ORD-00131"/>
    <s v="CUST-900"/>
    <s v="REP-17"/>
    <x v="1"/>
    <d v="2025-09-02T00:00:00"/>
    <x v="3"/>
    <s v="September"/>
    <s v="Tuesday"/>
    <d v="1899-12-30T21:50:25"/>
    <n v="21"/>
    <n v="50"/>
    <x v="2"/>
    <s v="Tablets"/>
    <n v="10"/>
    <n v="519.45000000000005"/>
    <n v="200"/>
    <x v="2"/>
    <s v="mariagarcia@tg.inc"/>
    <x v="6"/>
    <x v="0"/>
    <n v="5194.5"/>
    <n v="2000"/>
    <n v="0.2"/>
    <n v="1038.9000000000001"/>
    <n v="0.08"/>
    <n v="415.56"/>
    <n v="3740.0400000000004"/>
    <n v="1740.0400000000004"/>
  </r>
  <r>
    <s v="ORD-00132"/>
    <s v="CUST-951"/>
    <s v="REP-12"/>
    <x v="5"/>
    <d v="2026-10-10T00:00:00"/>
    <x v="1"/>
    <s v="October"/>
    <s v="Saturday"/>
    <d v="1899-12-30T10:40:19"/>
    <n v="10"/>
    <n v="40"/>
    <x v="1"/>
    <s v="Mobile Devices"/>
    <n v="3"/>
    <n v="716.72"/>
    <n v="300"/>
    <x v="0"/>
    <s v="oliviapatel@tg.inc"/>
    <x v="13"/>
    <x v="0"/>
    <n v="2150.16"/>
    <n v="900"/>
    <n v="7.0000000000000007E-2"/>
    <n v="150.5112"/>
    <n v="0.1"/>
    <n v="215.01599999999999"/>
    <n v="1784.6327999999999"/>
    <n v="884.63279999999986"/>
  </r>
  <r>
    <s v="ORD-00133"/>
    <s v="CUST-137"/>
    <s v="REP-22"/>
    <x v="2"/>
    <d v="2023-12-08T00:00:00"/>
    <x v="2"/>
    <s v="December"/>
    <s v="Friday"/>
    <d v="1899-12-30T18:42:22"/>
    <n v="18"/>
    <n v="42"/>
    <x v="1"/>
    <s v="Mobile Devices"/>
    <n v="1"/>
    <n v="673.51"/>
    <n v="300"/>
    <x v="3"/>
    <s v="fatimaadebayo@tg.inc"/>
    <x v="4"/>
    <x v="1"/>
    <n v="673.51"/>
    <n v="300"/>
    <n v="0.15"/>
    <n v="101.0265"/>
    <n v="0.1"/>
    <n v="67.350999999999999"/>
    <n v="505.13250000000005"/>
    <n v="205.13250000000005"/>
  </r>
  <r>
    <s v="ORD-00134"/>
    <s v="CUST-631"/>
    <s v="REP-33"/>
    <x v="0"/>
    <d v="2025-01-07T00:00:00"/>
    <x v="3"/>
    <s v="January"/>
    <s v="Tuesday"/>
    <d v="1899-12-30T14:29:49"/>
    <n v="14"/>
    <n v="29"/>
    <x v="3"/>
    <s v="Wearables"/>
    <n v="3"/>
    <n v="178.7"/>
    <n v="150"/>
    <x v="0"/>
    <s v="ahmedkhan@sales.techg.com"/>
    <x v="8"/>
    <x v="1"/>
    <n v="536.09999999999991"/>
    <n v="450"/>
    <n v="7.0000000000000007E-2"/>
    <n v="37.526999999999994"/>
    <n v="7.0000000000000007E-2"/>
    <n v="37.526999999999994"/>
    <n v="461.04599999999994"/>
    <n v="11.045999999999935"/>
  </r>
  <r>
    <s v="ORD-00135"/>
    <s v="CUST-633"/>
    <s v="REP-29"/>
    <x v="4"/>
    <d v="2025-02-09T00:00:00"/>
    <x v="3"/>
    <s v="February"/>
    <s v="Sunday"/>
    <d v="1899-12-30T15:46:44"/>
    <n v="15"/>
    <n v="46"/>
    <x v="4"/>
    <s v="Audio"/>
    <n v="5"/>
    <n v="500"/>
    <n v="50"/>
    <x v="0"/>
    <s v="sophielee@techgadgetsco.com"/>
    <x v="9"/>
    <x v="0"/>
    <n v="2500"/>
    <n v="250"/>
    <n v="7.0000000000000007E-2"/>
    <n v="175.00000000000003"/>
    <n v="0.03"/>
    <n v="75"/>
    <n v="2250"/>
    <n v="2000"/>
  </r>
  <r>
    <s v="ORD-00136"/>
    <s v="CUST-665"/>
    <s v="REP-15"/>
    <x v="4"/>
    <d v="2026-02-20T00:00:00"/>
    <x v="1"/>
    <s v="February"/>
    <s v="Friday"/>
    <d v="1899-12-30T15:14:51"/>
    <n v="15"/>
    <n v="14"/>
    <x v="4"/>
    <s v="Audio"/>
    <n v="3"/>
    <n v="152.41"/>
    <n v="50"/>
    <x v="0"/>
    <s v="sophielee@tg.inc"/>
    <x v="14"/>
    <x v="2"/>
    <n v="457.23"/>
    <n v="150"/>
    <n v="7.0000000000000007E-2"/>
    <n v="32.006100000000004"/>
    <n v="0.03"/>
    <n v="13.716900000000001"/>
    <n v="411.50700000000001"/>
    <n v="261.50700000000001"/>
  </r>
  <r>
    <s v="ORD-00137"/>
    <s v="CUST-870"/>
    <s v="REP-12"/>
    <x v="5"/>
    <d v="2026-04-01T00:00:00"/>
    <x v="1"/>
    <s v="April"/>
    <s v="Wednesday"/>
    <d v="1899-12-30T13:20:12"/>
    <n v="13"/>
    <n v="20"/>
    <x v="4"/>
    <s v="Audio"/>
    <n v="11"/>
    <n v="159.58000000000001"/>
    <n v="50"/>
    <x v="1"/>
    <s v="oliviapatel@techgadgetsco.com"/>
    <x v="1"/>
    <x v="0"/>
    <n v="1755.38"/>
    <n v="550"/>
    <n v="0.1"/>
    <n v="175.53800000000001"/>
    <n v="0.03"/>
    <n v="52.6614"/>
    <n v="1527.1806000000001"/>
    <n v="977.18060000000014"/>
  </r>
  <r>
    <s v="ORD-00138"/>
    <s v="CUST-789"/>
    <s v="REP-20"/>
    <x v="4"/>
    <d v="2026-08-10T00:00:00"/>
    <x v="1"/>
    <s v="August"/>
    <s v="Monday"/>
    <d v="1899-12-30T13:07:15"/>
    <n v="13"/>
    <n v="7"/>
    <x v="2"/>
    <s v="Tablets"/>
    <n v="6"/>
    <n v="422.16"/>
    <n v="200"/>
    <x v="3"/>
    <s v="sophielee@techgadgetsco.com"/>
    <x v="7"/>
    <x v="0"/>
    <n v="2532.96"/>
    <n v="1200"/>
    <n v="0.15"/>
    <n v="379.94400000000002"/>
    <n v="0.08"/>
    <n v="202.63679999999999"/>
    <n v="1950.3792000000001"/>
    <n v="750.37920000000008"/>
  </r>
  <r>
    <s v="ORD-00139"/>
    <s v="CUST-277"/>
    <s v="REP-33"/>
    <x v="0"/>
    <d v="2025-09-29T00:00:00"/>
    <x v="3"/>
    <s v="September"/>
    <s v="Monday"/>
    <d v="1899-12-30T10:11:20"/>
    <n v="10"/>
    <n v="11"/>
    <x v="4"/>
    <s v="Audio"/>
    <n v="14"/>
    <n v="120.72"/>
    <n v="50"/>
    <x v="2"/>
    <s v="ahmedkhan@sales.techg.com"/>
    <x v="7"/>
    <x v="0"/>
    <n v="1690.08"/>
    <n v="700"/>
    <n v="0.2"/>
    <n v="338.01600000000002"/>
    <n v="0.03"/>
    <n v="50.702399999999997"/>
    <n v="1301.3616"/>
    <n v="601.36159999999995"/>
  </r>
  <r>
    <s v="ORD-00140"/>
    <s v="CUST-554"/>
    <s v="REP-29"/>
    <x v="4"/>
    <d v="2023-06-19T00:00:00"/>
    <x v="2"/>
    <s v="June"/>
    <s v="Monday"/>
    <d v="1899-12-30T20:48:14"/>
    <n v="20"/>
    <n v="48"/>
    <x v="2"/>
    <s v="Tablets"/>
    <n v="7"/>
    <n v="377.73"/>
    <n v="200"/>
    <x v="3"/>
    <s v="sophielee@tg.inc"/>
    <x v="4"/>
    <x v="1"/>
    <n v="2644.11"/>
    <n v="1400"/>
    <n v="0.15"/>
    <n v="396.61650000000003"/>
    <n v="0.08"/>
    <n v="211.52880000000002"/>
    <n v="2035.9647"/>
    <n v="635.96469999999999"/>
  </r>
  <r>
    <s v="ORD-00141"/>
    <s v="CUST-943"/>
    <s v="REP-22"/>
    <x v="2"/>
    <d v="2025-06-22T00:00:00"/>
    <x v="3"/>
    <s v="June"/>
    <s v="Sunday"/>
    <d v="1899-12-30T14:06:47"/>
    <n v="14"/>
    <n v="6"/>
    <x v="1"/>
    <s v="Mobile Devices"/>
    <n v="1"/>
    <n v="584.57000000000005"/>
    <n v="300"/>
    <x v="0"/>
    <s v="fatimaadebayo@tg.inc"/>
    <x v="3"/>
    <x v="0"/>
    <n v="584.57000000000005"/>
    <n v="300"/>
    <n v="7.0000000000000007E-2"/>
    <n v="40.919900000000005"/>
    <n v="0.1"/>
    <n v="58.457000000000008"/>
    <n v="485.19310000000007"/>
    <n v="185.19310000000007"/>
  </r>
  <r>
    <s v="ORD-00142"/>
    <s v="CUST-981"/>
    <s v="REP-35"/>
    <x v="6"/>
    <d v="2025-05-26T00:00:00"/>
    <x v="3"/>
    <s v="May"/>
    <s v="Monday"/>
    <d v="1899-12-30T17:08:50"/>
    <n v="17"/>
    <n v="8"/>
    <x v="1"/>
    <s v="Mobile Devices"/>
    <n v="13"/>
    <n v="500"/>
    <n v="300"/>
    <x v="1"/>
    <s v="carlosrodriguez@tg.inc"/>
    <x v="4"/>
    <x v="1"/>
    <n v="6500"/>
    <n v="3900"/>
    <n v="0.1"/>
    <n v="650"/>
    <n v="0.1"/>
    <n v="650"/>
    <n v="5200"/>
    <n v="1300"/>
  </r>
  <r>
    <s v="ORD-00143"/>
    <s v="CUST-795"/>
    <s v="REP-13"/>
    <x v="0"/>
    <d v="2025-04-22T00:00:00"/>
    <x v="3"/>
    <s v="April"/>
    <s v="Tuesday"/>
    <d v="1899-12-30T12:55:41"/>
    <n v="12"/>
    <n v="55"/>
    <x v="1"/>
    <s v="Mobile Devices"/>
    <n v="3"/>
    <n v="693.42"/>
    <n v="300"/>
    <x v="2"/>
    <s v="ahmedkhan@tg.inc"/>
    <x v="4"/>
    <x v="1"/>
    <n v="2080.2599999999998"/>
    <n v="900"/>
    <n v="0.2"/>
    <n v="416.05199999999996"/>
    <n v="0.1"/>
    <n v="208.02599999999998"/>
    <n v="1456.1819999999998"/>
    <n v="556.18199999999979"/>
  </r>
  <r>
    <s v="ORD-00144"/>
    <s v="CUST-913"/>
    <s v="REP-12"/>
    <x v="5"/>
    <d v="2025-11-21T00:00:00"/>
    <x v="3"/>
    <s v="November"/>
    <s v="Friday"/>
    <d v="1899-12-30T19:59:56"/>
    <n v="19"/>
    <n v="59"/>
    <x v="2"/>
    <s v="Tablets"/>
    <n v="8"/>
    <n v="320.49"/>
    <n v="200"/>
    <x v="0"/>
    <s v="oliviapatel@tg.inc"/>
    <x v="1"/>
    <x v="0"/>
    <n v="2563.92"/>
    <n v="1600"/>
    <n v="7.0000000000000007E-2"/>
    <n v="179.47440000000003"/>
    <n v="0.08"/>
    <n v="205.11360000000002"/>
    <n v="2179.3319999999999"/>
    <n v="579.33199999999988"/>
  </r>
  <r>
    <s v="ORD-00145"/>
    <s v="CUST-539"/>
    <s v="REP-16"/>
    <x v="4"/>
    <d v="2024-03-07T00:00:00"/>
    <x v="0"/>
    <s v="March"/>
    <s v="Thursday"/>
    <d v="1899-12-30T21:18:21"/>
    <n v="21"/>
    <n v="18"/>
    <x v="3"/>
    <s v="Wearables"/>
    <n v="10"/>
    <n v="262.70999999999998"/>
    <n v="150"/>
    <x v="0"/>
    <s v="sophielee@techgadgetsco.com"/>
    <x v="4"/>
    <x v="1"/>
    <n v="2627.1"/>
    <n v="1500"/>
    <n v="7.0000000000000007E-2"/>
    <n v="183.89700000000002"/>
    <n v="7.0000000000000007E-2"/>
    <n v="183.89700000000002"/>
    <n v="2259.306"/>
    <n v="759.30600000000004"/>
  </r>
  <r>
    <s v="ORD-00146"/>
    <s v="CUST-100"/>
    <s v="REP-24"/>
    <x v="7"/>
    <d v="2026-11-11T00:00:00"/>
    <x v="1"/>
    <s v="November"/>
    <s v="Wednesday"/>
    <d v="1899-12-30T18:19:10"/>
    <n v="18"/>
    <n v="19"/>
    <x v="2"/>
    <s v="Tablets"/>
    <n v="7"/>
    <n v="336.48"/>
    <n v="200"/>
    <x v="2"/>
    <s v="liamchen@techgadgetsco.com"/>
    <x v="3"/>
    <x v="0"/>
    <n v="2355.36"/>
    <n v="1400"/>
    <n v="0.2"/>
    <n v="471.07200000000006"/>
    <n v="0.08"/>
    <n v="188.42880000000002"/>
    <n v="1695.8591999999999"/>
    <n v="295.85919999999987"/>
  </r>
  <r>
    <s v="ORD-00147"/>
    <s v="CUST-318"/>
    <s v="REP-29"/>
    <x v="4"/>
    <d v="2023-09-29T00:00:00"/>
    <x v="2"/>
    <s v="September"/>
    <s v="Friday"/>
    <d v="1899-12-30T16:43:28"/>
    <n v="16"/>
    <n v="43"/>
    <x v="0"/>
    <s v="Computers"/>
    <n v="7"/>
    <n v="860.3"/>
    <n v="600"/>
    <x v="3"/>
    <s v="sophielee@tg.inc"/>
    <x v="15"/>
    <x v="0"/>
    <n v="6022.0999999999995"/>
    <n v="4200"/>
    <n v="0.15"/>
    <n v="903.31499999999994"/>
    <n v="0.05"/>
    <n v="301.10499999999996"/>
    <n v="4817.68"/>
    <n v="617.68000000000029"/>
  </r>
  <r>
    <s v="ORD-00148"/>
    <s v="CUST-406"/>
    <s v="REP-14"/>
    <x v="1"/>
    <d v="2023-09-30T00:00:00"/>
    <x v="2"/>
    <s v="September"/>
    <s v="Saturday"/>
    <d v="1899-12-30T09:33:36"/>
    <n v="9"/>
    <n v="33"/>
    <x v="0"/>
    <s v="Computers"/>
    <n v="3"/>
    <n v="1161.22"/>
    <n v="600"/>
    <x v="2"/>
    <s v="mariagarcia@sales.techg.com"/>
    <x v="4"/>
    <x v="1"/>
    <n v="3483.66"/>
    <n v="1800"/>
    <n v="0.2"/>
    <n v="696.73199999999997"/>
    <n v="0.05"/>
    <n v="174.18299999999999"/>
    <n v="2612.7449999999999"/>
    <n v="812.74499999999989"/>
  </r>
  <r>
    <s v="ORD-00149"/>
    <s v="CUST-703"/>
    <s v="REP-23"/>
    <x v="8"/>
    <d v="2025-05-29T00:00:00"/>
    <x v="3"/>
    <s v="May"/>
    <s v="Thursday"/>
    <d v="1899-12-30T20:08:15"/>
    <n v="20"/>
    <n v="8"/>
    <x v="2"/>
    <s v="Tablets"/>
    <n v="4"/>
    <n v="440"/>
    <n v="200"/>
    <x v="4"/>
    <s v="noahkim@sales.techg.com"/>
    <x v="4"/>
    <x v="1"/>
    <n v="1760"/>
    <n v="800"/>
    <n v="0.12"/>
    <n v="211.2"/>
    <n v="0.08"/>
    <n v="140.80000000000001"/>
    <n v="1408"/>
    <n v="608"/>
  </r>
  <r>
    <s v="ORD-00150"/>
    <s v="CUST-501"/>
    <s v="REP-20"/>
    <x v="4"/>
    <d v="2024-05-05T00:00:00"/>
    <x v="0"/>
    <s v="May"/>
    <s v="Sunday"/>
    <d v="1899-12-30T14:07:15"/>
    <n v="14"/>
    <n v="7"/>
    <x v="4"/>
    <s v="Audio"/>
    <n v="2"/>
    <n v="193.33"/>
    <n v="50"/>
    <x v="1"/>
    <s v="sophielee@techgadgetsco.com"/>
    <x v="14"/>
    <x v="2"/>
    <n v="386.66"/>
    <n v="100"/>
    <n v="0.1"/>
    <n v="38.666000000000004"/>
    <n v="0.03"/>
    <n v="11.5998"/>
    <n v="336.39420000000001"/>
    <n v="236.39420000000001"/>
  </r>
  <r>
    <s v="ORD-00151"/>
    <s v="CUST-888"/>
    <s v="REP-12"/>
    <x v="5"/>
    <d v="2026-04-17T00:00:00"/>
    <x v="1"/>
    <s v="April"/>
    <s v="Friday"/>
    <d v="1899-12-30T08:16:13"/>
    <n v="8"/>
    <n v="16"/>
    <x v="0"/>
    <s v="Computers"/>
    <n v="13"/>
    <n v="943.24"/>
    <n v="600"/>
    <x v="4"/>
    <s v="oliviapatel@techgadgetsco.com"/>
    <x v="8"/>
    <x v="1"/>
    <n v="12262.12"/>
    <n v="7800"/>
    <n v="0.12"/>
    <n v="1471.4544000000001"/>
    <n v="0.05"/>
    <n v="613.10600000000011"/>
    <n v="10177.559600000001"/>
    <n v="2377.5596000000005"/>
  </r>
  <r>
    <s v="ORD-00152"/>
    <s v="CUST-308"/>
    <s v="REP-14"/>
    <x v="1"/>
    <d v="2024-10-31T00:00:00"/>
    <x v="0"/>
    <s v="October"/>
    <s v="Thursday"/>
    <d v="1899-12-30T17:40:48"/>
    <n v="17"/>
    <n v="40"/>
    <x v="0"/>
    <s v="Computers"/>
    <n v="7"/>
    <n v="1223.23"/>
    <n v="600"/>
    <x v="0"/>
    <s v="mariagarcia@tg.inc"/>
    <x v="12"/>
    <x v="0"/>
    <n v="8562.61"/>
    <n v="4200"/>
    <n v="7.0000000000000007E-2"/>
    <n v="599.38270000000011"/>
    <n v="0.05"/>
    <n v="428.13050000000004"/>
    <n v="7535.0968000000003"/>
    <n v="3335.0968000000003"/>
  </r>
  <r>
    <s v="ORD-00153"/>
    <s v="CUST-222"/>
    <s v="REP-10"/>
    <x v="3"/>
    <d v="2023-09-10T00:00:00"/>
    <x v="2"/>
    <s v="September"/>
    <s v="Sunday"/>
    <d v="1899-12-30T10:31:22"/>
    <n v="10"/>
    <n v="31"/>
    <x v="3"/>
    <s v="Wearables"/>
    <n v="14"/>
    <n v="194.37"/>
    <n v="150"/>
    <x v="2"/>
    <s v="emmadubois@sales.techg.com"/>
    <x v="2"/>
    <x v="0"/>
    <n v="2721.1800000000003"/>
    <n v="2100"/>
    <n v="0.2"/>
    <n v="544.2360000000001"/>
    <n v="7.0000000000000007E-2"/>
    <n v="190.48260000000005"/>
    <n v="1986.4614000000004"/>
    <n v="-113.53859999999963"/>
  </r>
  <r>
    <s v="ORD-00154"/>
    <s v="CUST-378"/>
    <s v="REP-32"/>
    <x v="1"/>
    <d v="2024-06-22T00:00:00"/>
    <x v="0"/>
    <s v="June"/>
    <s v="Saturday"/>
    <d v="1899-12-30T15:29:32"/>
    <n v="15"/>
    <n v="29"/>
    <x v="2"/>
    <s v="Tablets"/>
    <n v="7"/>
    <n v="353.38"/>
    <n v="200"/>
    <x v="2"/>
    <s v="mariagarcia@tg.inc"/>
    <x v="2"/>
    <x v="0"/>
    <n v="2473.66"/>
    <n v="1400"/>
    <n v="0.2"/>
    <n v="494.73199999999997"/>
    <n v="0.08"/>
    <n v="197.89279999999999"/>
    <n v="1781.0351999999998"/>
    <n v="381.0351999999998"/>
  </r>
  <r>
    <s v="ORD-00155"/>
    <s v="CUST-983"/>
    <s v="REP-10"/>
    <x v="3"/>
    <d v="2023-05-04T00:00:00"/>
    <x v="2"/>
    <s v="May"/>
    <s v="Thursday"/>
    <d v="1899-12-30T13:24:58"/>
    <n v="13"/>
    <n v="24"/>
    <x v="1"/>
    <s v="Mobile Devices"/>
    <n v="14"/>
    <n v="500"/>
    <n v="300"/>
    <x v="3"/>
    <s v="emmadubois@tg.inc"/>
    <x v="10"/>
    <x v="0"/>
    <n v="7000"/>
    <n v="4200"/>
    <n v="0.15"/>
    <n v="1050"/>
    <n v="0.1"/>
    <n v="700"/>
    <n v="5250"/>
    <n v="1050"/>
  </r>
  <r>
    <s v="ORD-00156"/>
    <s v="CUST-614"/>
    <s v="REP-11"/>
    <x v="3"/>
    <d v="2024-02-04T00:00:00"/>
    <x v="0"/>
    <s v="February"/>
    <s v="Sunday"/>
    <d v="1899-12-30T14:04:56"/>
    <n v="14"/>
    <n v="4"/>
    <x v="4"/>
    <s v="Audio"/>
    <n v="13"/>
    <n v="144.55000000000001"/>
    <n v="50"/>
    <x v="4"/>
    <s v="emmadubois@tg.inc"/>
    <x v="4"/>
    <x v="1"/>
    <n v="1879.15"/>
    <n v="650"/>
    <n v="0.12"/>
    <n v="225.49799999999999"/>
    <n v="0.03"/>
    <n v="56.374499999999998"/>
    <n v="1597.2775000000001"/>
    <n v="947.27750000000015"/>
  </r>
  <r>
    <s v="ORD-00157"/>
    <s v="CUST-605"/>
    <s v="REP-16"/>
    <x v="4"/>
    <d v="2023-05-11T00:00:00"/>
    <x v="2"/>
    <s v="May"/>
    <s v="Thursday"/>
    <d v="1899-12-30T14:01:14"/>
    <n v="14"/>
    <n v="1"/>
    <x v="3"/>
    <s v="Wearables"/>
    <n v="14"/>
    <n v="177.06"/>
    <n v="150"/>
    <x v="1"/>
    <s v="sophielee@sales.techg.com"/>
    <x v="4"/>
    <x v="1"/>
    <n v="2478.84"/>
    <n v="2100"/>
    <n v="0.1"/>
    <n v="247.88400000000001"/>
    <n v="7.0000000000000007E-2"/>
    <n v="173.51880000000003"/>
    <n v="2057.4372000000003"/>
    <n v="-42.562799999999697"/>
  </r>
  <r>
    <s v="ORD-00158"/>
    <s v="CUST-603"/>
    <s v="REP-11"/>
    <x v="3"/>
    <d v="2026-12-28T00:00:00"/>
    <x v="1"/>
    <s v="December"/>
    <s v="Monday"/>
    <d v="1899-12-30T09:02:58"/>
    <n v="9"/>
    <n v="2"/>
    <x v="1"/>
    <s v="Mobile Devices"/>
    <n v="9"/>
    <n v="748.67"/>
    <n v="300"/>
    <x v="3"/>
    <s v="emmadubois@tg.inc"/>
    <x v="8"/>
    <x v="1"/>
    <n v="6738.03"/>
    <n v="2700"/>
    <n v="0.15"/>
    <n v="1010.7044999999999"/>
    <n v="0.1"/>
    <n v="673.803"/>
    <n v="5053.5225"/>
    <n v="2353.5225"/>
  </r>
  <r>
    <s v="ORD-00159"/>
    <s v="CUST-163"/>
    <s v="REP-24"/>
    <x v="7"/>
    <d v="2024-04-29T00:00:00"/>
    <x v="0"/>
    <s v="April"/>
    <s v="Monday"/>
    <d v="1899-12-30T12:54:20"/>
    <n v="12"/>
    <n v="54"/>
    <x v="4"/>
    <s v="Audio"/>
    <n v="12"/>
    <n v="153.96"/>
    <n v="50"/>
    <x v="2"/>
    <s v="liamchen@techgadgetsco.com"/>
    <x v="2"/>
    <x v="0"/>
    <n v="1847.52"/>
    <n v="600"/>
    <n v="0.2"/>
    <n v="369.50400000000002"/>
    <n v="0.03"/>
    <n v="55.425599999999996"/>
    <n v="1422.5904"/>
    <n v="822.59040000000005"/>
  </r>
  <r>
    <s v="ORD-00160"/>
    <s v="CUST-516"/>
    <s v="REP-13"/>
    <x v="0"/>
    <d v="2024-01-03T00:00:00"/>
    <x v="0"/>
    <s v="January"/>
    <s v="Wednesday"/>
    <d v="1899-12-30T12:29:16"/>
    <n v="12"/>
    <n v="29"/>
    <x v="0"/>
    <s v="Computers"/>
    <n v="7"/>
    <n v="952.11"/>
    <n v="600"/>
    <x v="4"/>
    <s v="ahmedkhan@sales.techg.com"/>
    <x v="15"/>
    <x v="0"/>
    <n v="6664.77"/>
    <n v="4200"/>
    <n v="0.12"/>
    <n v="799.77240000000006"/>
    <n v="0.05"/>
    <n v="333.23850000000004"/>
    <n v="5531.7591000000002"/>
    <n v="1331.7591000000002"/>
  </r>
  <r>
    <s v="ORD-00161"/>
    <s v="CUST-150"/>
    <s v="REP-20"/>
    <x v="4"/>
    <d v="2023-12-23T00:00:00"/>
    <x v="2"/>
    <s v="December"/>
    <s v="Saturday"/>
    <d v="1899-12-30T14:54:28"/>
    <n v="14"/>
    <n v="54"/>
    <x v="3"/>
    <s v="Wearables"/>
    <n v="4"/>
    <n v="500"/>
    <n v="150"/>
    <x v="0"/>
    <s v="sophielee@sales.techg.com"/>
    <x v="4"/>
    <x v="1"/>
    <n v="2000"/>
    <n v="600"/>
    <n v="7.0000000000000007E-2"/>
    <n v="140"/>
    <n v="7.0000000000000007E-2"/>
    <n v="140"/>
    <n v="1720"/>
    <n v="1120"/>
  </r>
  <r>
    <s v="ORD-00162"/>
    <s v="CUST-745"/>
    <s v="REP-12"/>
    <x v="5"/>
    <d v="2023-03-06T00:00:00"/>
    <x v="2"/>
    <s v="March"/>
    <s v="Monday"/>
    <d v="1899-12-30T09:12:57"/>
    <n v="9"/>
    <n v="12"/>
    <x v="4"/>
    <s v="Audio"/>
    <n v="2"/>
    <n v="182.2"/>
    <n v="50"/>
    <x v="1"/>
    <s v="oliviapatel@tg.inc"/>
    <x v="14"/>
    <x v="2"/>
    <n v="364.4"/>
    <n v="100"/>
    <n v="0.1"/>
    <n v="36.44"/>
    <n v="0.03"/>
    <n v="10.931999999999999"/>
    <n v="317.02799999999996"/>
    <n v="217.02799999999996"/>
  </r>
  <r>
    <s v="ORD-00163"/>
    <s v="CUST-799"/>
    <s v="REP-24"/>
    <x v="7"/>
    <d v="2024-12-25T00:00:00"/>
    <x v="0"/>
    <s v="December"/>
    <s v="Wednesday"/>
    <d v="1899-12-30T10:17:17"/>
    <n v="10"/>
    <n v="17"/>
    <x v="4"/>
    <s v="Audio"/>
    <n v="1"/>
    <n v="166.27"/>
    <n v="50"/>
    <x v="1"/>
    <s v="liamchen@techgadgetsco.com"/>
    <x v="15"/>
    <x v="0"/>
    <n v="166.27"/>
    <n v="50"/>
    <n v="0.1"/>
    <n v="16.627000000000002"/>
    <n v="0.03"/>
    <n v="4.9881000000000002"/>
    <n v="144.6549"/>
    <n v="94.654899999999998"/>
  </r>
  <r>
    <s v="ORD-00164"/>
    <s v="CUST-916"/>
    <s v="REP-32"/>
    <x v="1"/>
    <d v="2026-07-15T00:00:00"/>
    <x v="1"/>
    <s v="July"/>
    <s v="Wednesday"/>
    <d v="1899-12-30T14:50:45"/>
    <n v="14"/>
    <n v="50"/>
    <x v="2"/>
    <s v="Tablets"/>
    <n v="13"/>
    <n v="502.54"/>
    <n v="200"/>
    <x v="4"/>
    <s v="mariagarcia@tg.inc"/>
    <x v="4"/>
    <x v="1"/>
    <n v="6533.02"/>
    <n v="2600"/>
    <n v="0.12"/>
    <n v="783.9624"/>
    <n v="0.08"/>
    <n v="522.64160000000004"/>
    <n v="5226.4160000000002"/>
    <n v="2626.4160000000002"/>
  </r>
  <r>
    <s v="ORD-00165"/>
    <s v="CUST-928"/>
    <s v="REP-29"/>
    <x v="4"/>
    <d v="2026-11-04T00:00:00"/>
    <x v="1"/>
    <s v="November"/>
    <s v="Wednesday"/>
    <d v="1899-12-30T10:06:15"/>
    <n v="10"/>
    <n v="6"/>
    <x v="1"/>
    <s v="Mobile Devices"/>
    <n v="14"/>
    <n v="701.12"/>
    <n v="300"/>
    <x v="2"/>
    <s v="sophielee@techgadgetsco.com"/>
    <x v="9"/>
    <x v="0"/>
    <n v="9815.68"/>
    <n v="4200"/>
    <n v="0.2"/>
    <n v="1963.1360000000002"/>
    <n v="0.1"/>
    <n v="981.5680000000001"/>
    <n v="6870.9759999999997"/>
    <n v="2670.9759999999997"/>
  </r>
  <r>
    <s v="ORD-00166"/>
    <s v="CUST-814"/>
    <s v="REP-22"/>
    <x v="2"/>
    <d v="2026-11-12T00:00:00"/>
    <x v="1"/>
    <s v="November"/>
    <s v="Thursday"/>
    <d v="1899-12-30T17:36:09"/>
    <n v="17"/>
    <n v="36"/>
    <x v="3"/>
    <s v="Wearables"/>
    <n v="14"/>
    <n v="272.98"/>
    <n v="150"/>
    <x v="3"/>
    <s v="fatimaadebayo@tg.inc"/>
    <x v="12"/>
    <x v="0"/>
    <n v="3821.7200000000003"/>
    <n v="2100"/>
    <n v="0.15"/>
    <n v="573.25800000000004"/>
    <n v="7.0000000000000007E-2"/>
    <n v="267.52040000000005"/>
    <n v="2980.9416000000006"/>
    <n v="880.94160000000056"/>
  </r>
  <r>
    <s v="ORD-00167"/>
    <s v="CUST-100"/>
    <s v="REP-21"/>
    <x v="2"/>
    <d v="2024-02-17T00:00:00"/>
    <x v="0"/>
    <s v="February"/>
    <s v="Saturday"/>
    <d v="1899-12-30T13:45:11"/>
    <n v="13"/>
    <n v="45"/>
    <x v="2"/>
    <s v="Tablets"/>
    <n v="7"/>
    <n v="460.94"/>
    <n v="200"/>
    <x v="2"/>
    <s v="fatimaadebayo@sales.techg.com"/>
    <x v="15"/>
    <x v="0"/>
    <n v="3226.58"/>
    <n v="1400"/>
    <n v="0.2"/>
    <n v="645.31600000000003"/>
    <n v="0.08"/>
    <n v="258.12639999999999"/>
    <n v="2323.1376"/>
    <n v="923.13760000000002"/>
  </r>
  <r>
    <s v="ORD-00168"/>
    <s v="CUST-203"/>
    <s v="REP-21"/>
    <x v="2"/>
    <d v="2024-10-22T00:00:00"/>
    <x v="0"/>
    <s v="October"/>
    <s v="Tuesday"/>
    <d v="1899-12-30T10:46:27"/>
    <n v="10"/>
    <n v="46"/>
    <x v="4"/>
    <s v="Audio"/>
    <n v="3"/>
    <n v="162.15"/>
    <n v="50"/>
    <x v="4"/>
    <s v="fatimaadebayo@techgadgetsco.com"/>
    <x v="9"/>
    <x v="0"/>
    <n v="486.45000000000005"/>
    <n v="150"/>
    <n v="0.12"/>
    <n v="58.374000000000002"/>
    <n v="0.03"/>
    <n v="14.593500000000001"/>
    <n v="413.48250000000002"/>
    <n v="263.48250000000002"/>
  </r>
  <r>
    <s v="ORD-00169"/>
    <s v="CUST-281"/>
    <s v="REP-10"/>
    <x v="3"/>
    <d v="2026-03-19T00:00:00"/>
    <x v="1"/>
    <s v="March"/>
    <s v="Thursday"/>
    <d v="1899-12-30T21:49:36"/>
    <n v="21"/>
    <n v="49"/>
    <x v="0"/>
    <s v="Computers"/>
    <n v="6"/>
    <n v="1283.77"/>
    <n v="600"/>
    <x v="2"/>
    <s v="emmadubois@sales.techg.com"/>
    <x v="10"/>
    <x v="0"/>
    <n v="7702.62"/>
    <n v="3600"/>
    <n v="0.2"/>
    <n v="1540.5240000000001"/>
    <n v="0.05"/>
    <n v="385.13100000000003"/>
    <n v="5776.9649999999992"/>
    <n v="2176.9649999999992"/>
  </r>
  <r>
    <s v="ORD-00170"/>
    <s v="CUST-271"/>
    <s v="REP-12"/>
    <x v="5"/>
    <d v="2025-03-07T00:00:00"/>
    <x v="3"/>
    <s v="March"/>
    <s v="Friday"/>
    <d v="1899-12-30T12:13:15"/>
    <n v="12"/>
    <n v="13"/>
    <x v="0"/>
    <s v="Computers"/>
    <n v="13"/>
    <n v="500"/>
    <n v="600"/>
    <x v="0"/>
    <s v="oliviapatel@tg.inc"/>
    <x v="9"/>
    <x v="0"/>
    <n v="6500"/>
    <n v="7800"/>
    <n v="7.0000000000000007E-2"/>
    <n v="455.00000000000006"/>
    <n v="0.05"/>
    <n v="325"/>
    <n v="5720"/>
    <n v="-2080"/>
  </r>
  <r>
    <s v="ORD-00171"/>
    <s v="CUST-659"/>
    <s v="REP-23"/>
    <x v="8"/>
    <d v="2025-08-09T00:00:00"/>
    <x v="3"/>
    <s v="August"/>
    <s v="Saturday"/>
    <d v="1899-12-30T10:28:04"/>
    <n v="10"/>
    <n v="28"/>
    <x v="0"/>
    <s v="Computers"/>
    <n v="6"/>
    <n v="852.36"/>
    <n v="600"/>
    <x v="1"/>
    <s v="noahkim@tg.inc"/>
    <x v="15"/>
    <x v="0"/>
    <n v="5114.16"/>
    <n v="3600"/>
    <n v="0.1"/>
    <n v="511.416"/>
    <n v="0.05"/>
    <n v="255.708"/>
    <n v="4347.0360000000001"/>
    <n v="747.03600000000006"/>
  </r>
  <r>
    <s v="ORD-00172"/>
    <s v="CUST-821"/>
    <s v="REP-10"/>
    <x v="3"/>
    <d v="2026-08-31T00:00:00"/>
    <x v="1"/>
    <s v="August"/>
    <s v="Monday"/>
    <d v="1899-12-30T17:56:27"/>
    <n v="17"/>
    <n v="56"/>
    <x v="1"/>
    <s v="Mobile Devices"/>
    <n v="7"/>
    <n v="772.32"/>
    <n v="300"/>
    <x v="3"/>
    <s v="emmadubois@techgadgetsco.com"/>
    <x v="4"/>
    <x v="1"/>
    <n v="5406.2400000000007"/>
    <n v="2100"/>
    <n v="0.15"/>
    <n v="810.93600000000004"/>
    <n v="0.1"/>
    <n v="540.62400000000014"/>
    <n v="4054.6800000000007"/>
    <n v="1954.6800000000007"/>
  </r>
  <r>
    <s v="ORD-00173"/>
    <s v="CUST-502"/>
    <s v="REP-34"/>
    <x v="2"/>
    <d v="2023-11-11T00:00:00"/>
    <x v="2"/>
    <s v="November"/>
    <s v="Saturday"/>
    <d v="1899-12-30T13:00:27"/>
    <n v="13"/>
    <n v="0"/>
    <x v="0"/>
    <s v="Computers"/>
    <n v="11"/>
    <n v="1040.1600000000001"/>
    <n v="600"/>
    <x v="0"/>
    <s v="fatimaadebayo@sales.techg.com"/>
    <x v="15"/>
    <x v="0"/>
    <n v="11441.76"/>
    <n v="6600"/>
    <n v="7.0000000000000007E-2"/>
    <n v="800.92320000000007"/>
    <n v="0.05"/>
    <n v="572.08800000000008"/>
    <n v="10068.748800000001"/>
    <n v="3468.7488000000012"/>
  </r>
  <r>
    <s v="ORD-00174"/>
    <s v="CUST-582"/>
    <s v="REP-29"/>
    <x v="4"/>
    <d v="2023-06-07T00:00:00"/>
    <x v="2"/>
    <s v="June"/>
    <s v="Wednesday"/>
    <d v="1899-12-30T10:23:56"/>
    <n v="10"/>
    <n v="23"/>
    <x v="4"/>
    <s v="Audio"/>
    <n v="8"/>
    <n v="500"/>
    <n v="50"/>
    <x v="3"/>
    <s v="sophielee@techgadgetsco.com"/>
    <x v="12"/>
    <x v="0"/>
    <n v="4000"/>
    <n v="400"/>
    <n v="0.15"/>
    <n v="600"/>
    <n v="0.03"/>
    <n v="120"/>
    <n v="3280"/>
    <n v="2880"/>
  </r>
  <r>
    <s v="ORD-00175"/>
    <s v="CUST-784"/>
    <s v="REP-22"/>
    <x v="2"/>
    <d v="2026-04-22T00:00:00"/>
    <x v="1"/>
    <s v="April"/>
    <s v="Wednesday"/>
    <d v="1899-12-30T16:03:53"/>
    <n v="16"/>
    <n v="3"/>
    <x v="4"/>
    <s v="Audio"/>
    <n v="7"/>
    <n v="171.53"/>
    <n v="50"/>
    <x v="3"/>
    <s v="fatimaadebayo@sales.techg.com"/>
    <x v="11"/>
    <x v="0"/>
    <n v="1200.71"/>
    <n v="350"/>
    <n v="0.15"/>
    <n v="180.10650000000001"/>
    <n v="0.03"/>
    <n v="36.021299999999997"/>
    <n v="984.58220000000006"/>
    <n v="634.58220000000006"/>
  </r>
  <r>
    <s v="ORD-00176"/>
    <s v="CUST-629"/>
    <s v="REP-34"/>
    <x v="2"/>
    <d v="2023-04-09T00:00:00"/>
    <x v="2"/>
    <s v="April"/>
    <s v="Sunday"/>
    <d v="1899-12-30T10:10:13"/>
    <n v="10"/>
    <n v="10"/>
    <x v="1"/>
    <s v="Mobile Devices"/>
    <n v="7"/>
    <n v="500"/>
    <n v="300"/>
    <x v="3"/>
    <s v="fatimaadebayo@tg.inc"/>
    <x v="4"/>
    <x v="1"/>
    <n v="3500"/>
    <n v="2100"/>
    <n v="0.15"/>
    <n v="525"/>
    <n v="0.1"/>
    <n v="350"/>
    <n v="2625"/>
    <n v="525"/>
  </r>
  <r>
    <s v="ORD-00177"/>
    <s v="CUST-189"/>
    <s v="REP-23"/>
    <x v="8"/>
    <d v="2026-04-02T00:00:00"/>
    <x v="1"/>
    <s v="April"/>
    <s v="Thursday"/>
    <d v="1899-12-30T21:17:33"/>
    <n v="21"/>
    <n v="17"/>
    <x v="4"/>
    <s v="Audio"/>
    <n v="1"/>
    <n v="166.73"/>
    <n v="50"/>
    <x v="4"/>
    <s v="noahkim@sales.techg.com"/>
    <x v="2"/>
    <x v="0"/>
    <n v="166.73"/>
    <n v="50"/>
    <n v="0.12"/>
    <n v="20.007599999999996"/>
    <n v="0.03"/>
    <n v="5.0018999999999991"/>
    <n v="141.72049999999999"/>
    <n v="91.720499999999987"/>
  </r>
  <r>
    <s v="ORD-00178"/>
    <s v="CUST-392"/>
    <s v="REP-33"/>
    <x v="0"/>
    <d v="2025-04-21T00:00:00"/>
    <x v="3"/>
    <s v="April"/>
    <s v="Monday"/>
    <d v="1899-12-30T14:41:31"/>
    <n v="14"/>
    <n v="41"/>
    <x v="3"/>
    <s v="Wearables"/>
    <n v="1"/>
    <n v="220.33"/>
    <n v="150"/>
    <x v="4"/>
    <s v="ahmedkhan@tg.inc"/>
    <x v="10"/>
    <x v="0"/>
    <n v="220.33"/>
    <n v="150"/>
    <n v="0.12"/>
    <n v="26.439600000000002"/>
    <n v="7.0000000000000007E-2"/>
    <n v="15.423100000000002"/>
    <n v="178.46729999999999"/>
    <n v="28.467299999999994"/>
  </r>
  <r>
    <s v="ORD-00179"/>
    <s v="CUST-375"/>
    <s v="REP-22"/>
    <x v="2"/>
    <d v="2024-11-22T00:00:00"/>
    <x v="0"/>
    <s v="November"/>
    <s v="Friday"/>
    <d v="1899-12-30T12:17:53"/>
    <n v="12"/>
    <n v="17"/>
    <x v="4"/>
    <s v="Audio"/>
    <n v="11"/>
    <n v="500"/>
    <n v="50"/>
    <x v="2"/>
    <s v="fatimaadebayo@tg.inc"/>
    <x v="10"/>
    <x v="0"/>
    <n v="5500"/>
    <n v="550"/>
    <n v="0.2"/>
    <n v="1100"/>
    <n v="0.03"/>
    <n v="165"/>
    <n v="4235"/>
    <n v="3685"/>
  </r>
  <r>
    <s v="ORD-00180"/>
    <s v="CUST-292"/>
    <s v="REP-28"/>
    <x v="1"/>
    <d v="2025-04-13T00:00:00"/>
    <x v="3"/>
    <s v="April"/>
    <s v="Sunday"/>
    <d v="1899-12-30T20:33:55"/>
    <n v="20"/>
    <n v="33"/>
    <x v="2"/>
    <s v="Tablets"/>
    <n v="9"/>
    <n v="333.12"/>
    <n v="200"/>
    <x v="4"/>
    <s v="mariagarcia@sales.techg.com"/>
    <x v="0"/>
    <x v="0"/>
    <n v="2998.08"/>
    <n v="1800"/>
    <n v="0.12"/>
    <n v="359.76959999999997"/>
    <n v="0.08"/>
    <n v="239.84639999999999"/>
    <n v="2398.4639999999999"/>
    <n v="598.46399999999994"/>
  </r>
  <r>
    <s v="ORD-00181"/>
    <s v="CUST-159"/>
    <s v="REP-17"/>
    <x v="1"/>
    <d v="2025-07-23T00:00:00"/>
    <x v="3"/>
    <s v="July"/>
    <s v="Wednesday"/>
    <d v="1899-12-30T13:45:12"/>
    <n v="13"/>
    <n v="45"/>
    <x v="2"/>
    <s v="Tablets"/>
    <n v="8"/>
    <n v="447.08"/>
    <n v="200"/>
    <x v="0"/>
    <s v="mariagarcia@techgadgetsco.com"/>
    <x v="6"/>
    <x v="0"/>
    <n v="3576.64"/>
    <n v="1600"/>
    <n v="7.0000000000000007E-2"/>
    <n v="250.3648"/>
    <n v="0.08"/>
    <n v="286.13119999999998"/>
    <n v="3040.1440000000002"/>
    <n v="1440.1440000000002"/>
  </r>
  <r>
    <s v="ORD-00182"/>
    <s v="CUST-458"/>
    <s v="REP-22"/>
    <x v="2"/>
    <d v="2024-06-13T00:00:00"/>
    <x v="0"/>
    <s v="June"/>
    <s v="Thursday"/>
    <d v="1899-12-30T12:01:24"/>
    <n v="12"/>
    <n v="1"/>
    <x v="0"/>
    <s v="Computers"/>
    <n v="10"/>
    <n v="907.16"/>
    <n v="600"/>
    <x v="2"/>
    <s v="fatimaadebayo@tg.inc"/>
    <x v="14"/>
    <x v="2"/>
    <n v="9071.6"/>
    <n v="6000"/>
    <n v="0.2"/>
    <n v="1814.3200000000002"/>
    <n v="0.05"/>
    <n v="453.58000000000004"/>
    <n v="6803.7000000000007"/>
    <n v="803.70000000000073"/>
  </r>
  <r>
    <s v="ORD-00183"/>
    <s v="CUST-798"/>
    <s v="REP-10"/>
    <x v="3"/>
    <d v="2023-09-28T00:00:00"/>
    <x v="2"/>
    <s v="September"/>
    <s v="Thursday"/>
    <d v="1899-12-30T17:51:00"/>
    <n v="17"/>
    <n v="51"/>
    <x v="1"/>
    <s v="Mobile Devices"/>
    <n v="13"/>
    <n v="693.82"/>
    <n v="300"/>
    <x v="1"/>
    <s v="emmadubois@techgadgetsco.com"/>
    <x v="4"/>
    <x v="1"/>
    <n v="9019.66"/>
    <n v="3900"/>
    <n v="0.1"/>
    <n v="901.96600000000001"/>
    <n v="0.1"/>
    <n v="901.96600000000001"/>
    <n v="7215.7279999999992"/>
    <n v="3315.7279999999992"/>
  </r>
  <r>
    <s v="ORD-00184"/>
    <s v="CUST-738"/>
    <s v="REP-23"/>
    <x v="8"/>
    <d v="2023-01-16T00:00:00"/>
    <x v="2"/>
    <s v="January"/>
    <s v="Monday"/>
    <d v="1899-12-30T16:41:38"/>
    <n v="16"/>
    <n v="41"/>
    <x v="3"/>
    <s v="Wearables"/>
    <n v="11"/>
    <n v="500"/>
    <n v="150"/>
    <x v="0"/>
    <s v="noahkim@tg.inc"/>
    <x v="4"/>
    <x v="1"/>
    <n v="5500"/>
    <n v="1650"/>
    <n v="7.0000000000000007E-2"/>
    <n v="385.00000000000006"/>
    <n v="7.0000000000000007E-2"/>
    <n v="385.00000000000006"/>
    <n v="4730"/>
    <n v="3080"/>
  </r>
  <r>
    <s v="ORD-00185"/>
    <s v="CUST-405"/>
    <s v="REP-16"/>
    <x v="4"/>
    <d v="2025-11-25T00:00:00"/>
    <x v="3"/>
    <s v="November"/>
    <s v="Tuesday"/>
    <d v="1899-12-30T08:51:54"/>
    <n v="8"/>
    <n v="51"/>
    <x v="3"/>
    <s v="Wearables"/>
    <n v="6"/>
    <n v="255.34"/>
    <n v="150"/>
    <x v="3"/>
    <s v="sophielee@sales.techg.com"/>
    <x v="11"/>
    <x v="0"/>
    <n v="1532.04"/>
    <n v="900"/>
    <n v="0.15"/>
    <n v="229.80599999999998"/>
    <n v="7.0000000000000007E-2"/>
    <n v="107.2428"/>
    <n v="1194.9911999999999"/>
    <n v="294.99119999999994"/>
  </r>
  <r>
    <s v="ORD-00186"/>
    <s v="CUST-935"/>
    <s v="REP-16"/>
    <x v="4"/>
    <d v="2026-12-31T00:00:00"/>
    <x v="1"/>
    <s v="December"/>
    <s v="Thursday"/>
    <d v="1899-12-30T18:34:40"/>
    <n v="18"/>
    <n v="34"/>
    <x v="4"/>
    <s v="Audio"/>
    <n v="11"/>
    <n v="142.51"/>
    <n v="50"/>
    <x v="2"/>
    <s v="sophielee@techgadgetsco.com"/>
    <x v="2"/>
    <x v="0"/>
    <n v="1567.61"/>
    <n v="550"/>
    <n v="0.2"/>
    <n v="313.52199999999999"/>
    <n v="0.03"/>
    <n v="47.028299999999994"/>
    <n v="1207.0597"/>
    <n v="657.05970000000002"/>
  </r>
  <r>
    <s v="ORD-00187"/>
    <s v="CUST-672"/>
    <s v="REP-15"/>
    <x v="4"/>
    <d v="2024-11-18T00:00:00"/>
    <x v="0"/>
    <s v="November"/>
    <s v="Monday"/>
    <d v="1899-12-30T11:22:14"/>
    <n v="11"/>
    <n v="22"/>
    <x v="2"/>
    <s v="Tablets"/>
    <n v="15"/>
    <n v="372.11"/>
    <n v="200"/>
    <x v="1"/>
    <s v="sophielee@sales.techg.com"/>
    <x v="15"/>
    <x v="0"/>
    <n v="5581.6500000000005"/>
    <n v="3000"/>
    <n v="0.1"/>
    <n v="558.16500000000008"/>
    <n v="0.08"/>
    <n v="446.53200000000004"/>
    <n v="4576.9530000000004"/>
    <n v="1576.9530000000004"/>
  </r>
  <r>
    <s v="ORD-00188"/>
    <s v="CUST-797"/>
    <s v="REP-23"/>
    <x v="8"/>
    <d v="2025-04-26T00:00:00"/>
    <x v="3"/>
    <s v="April"/>
    <s v="Saturday"/>
    <d v="1899-12-30T21:54:09"/>
    <n v="21"/>
    <n v="54"/>
    <x v="1"/>
    <s v="Mobile Devices"/>
    <n v="6"/>
    <n v="650.82000000000005"/>
    <n v="300"/>
    <x v="3"/>
    <s v="noahkim@sales.techg.com"/>
    <x v="15"/>
    <x v="0"/>
    <n v="3904.92"/>
    <n v="1800"/>
    <n v="0.15"/>
    <n v="585.73799999999994"/>
    <n v="0.1"/>
    <n v="390.49200000000002"/>
    <n v="2928.69"/>
    <n v="1128.69"/>
  </r>
  <r>
    <s v="ORD-00189"/>
    <s v="CUST-749"/>
    <s v="REP-11"/>
    <x v="3"/>
    <d v="2025-07-14T00:00:00"/>
    <x v="3"/>
    <s v="July"/>
    <s v="Monday"/>
    <d v="1899-12-30T11:48:49"/>
    <n v="11"/>
    <n v="48"/>
    <x v="1"/>
    <s v="Mobile Devices"/>
    <n v="3"/>
    <n v="709.07"/>
    <n v="300"/>
    <x v="0"/>
    <s v="emmadubois@tg.inc"/>
    <x v="14"/>
    <x v="2"/>
    <n v="2127.21"/>
    <n v="900"/>
    <n v="7.0000000000000007E-2"/>
    <n v="148.90470000000002"/>
    <n v="0.1"/>
    <n v="212.721"/>
    <n v="1765.5843"/>
    <n v="865.58429999999998"/>
  </r>
  <r>
    <s v="ORD-00190"/>
    <s v="CUST-304"/>
    <s v="REP-22"/>
    <x v="2"/>
    <d v="2024-10-21T00:00:00"/>
    <x v="0"/>
    <s v="October"/>
    <s v="Monday"/>
    <d v="1899-12-30T08:43:00"/>
    <n v="8"/>
    <n v="43"/>
    <x v="1"/>
    <s v="Mobile Devices"/>
    <n v="15"/>
    <n v="518.67999999999995"/>
    <n v="300"/>
    <x v="3"/>
    <s v="fatimaadebayo@tg.inc"/>
    <x v="12"/>
    <x v="0"/>
    <n v="7780.1999999999989"/>
    <n v="4500"/>
    <n v="0.15"/>
    <n v="1167.0299999999997"/>
    <n v="0.1"/>
    <n v="778.02"/>
    <n v="5835.15"/>
    <n v="1335.1499999999996"/>
  </r>
  <r>
    <s v="ORD-00191"/>
    <s v="CUST-710"/>
    <s v="REP-32"/>
    <x v="1"/>
    <d v="2025-07-06T00:00:00"/>
    <x v="3"/>
    <s v="July"/>
    <s v="Sunday"/>
    <d v="1899-12-30T13:57:31"/>
    <n v="13"/>
    <n v="57"/>
    <x v="2"/>
    <s v="Tablets"/>
    <n v="3"/>
    <n v="503.64"/>
    <n v="200"/>
    <x v="3"/>
    <s v="mariagarcia@techgadgetsco.com"/>
    <x v="5"/>
    <x v="2"/>
    <n v="1510.92"/>
    <n v="600"/>
    <n v="0.15"/>
    <n v="226.63800000000001"/>
    <n v="0.08"/>
    <n v="120.87360000000001"/>
    <n v="1163.4084000000003"/>
    <n v="563.40840000000026"/>
  </r>
  <r>
    <s v="ORD-00192"/>
    <s v="CUST-475"/>
    <s v="REP-11"/>
    <x v="3"/>
    <d v="2026-04-08T00:00:00"/>
    <x v="1"/>
    <s v="April"/>
    <s v="Wednesday"/>
    <d v="1899-12-30T20:34:39"/>
    <n v="20"/>
    <n v="34"/>
    <x v="0"/>
    <s v="Computers"/>
    <n v="1"/>
    <n v="1126.78"/>
    <n v="600"/>
    <x v="0"/>
    <s v="emmadubois@techgadgetsco.com"/>
    <x v="2"/>
    <x v="0"/>
    <n v="1126.78"/>
    <n v="600"/>
    <n v="7.0000000000000007E-2"/>
    <n v="78.874600000000001"/>
    <n v="0.05"/>
    <n v="56.338999999999999"/>
    <n v="991.56639999999993"/>
    <n v="391.56639999999993"/>
  </r>
  <r>
    <s v="ORD-00193"/>
    <s v="CUST-811"/>
    <s v="REP-10"/>
    <x v="3"/>
    <d v="2025-11-05T00:00:00"/>
    <x v="3"/>
    <s v="November"/>
    <s v="Wednesday"/>
    <d v="1899-12-30T18:33:17"/>
    <n v="18"/>
    <n v="33"/>
    <x v="3"/>
    <s v="Wearables"/>
    <n v="3"/>
    <n v="274.85000000000002"/>
    <n v="150"/>
    <x v="4"/>
    <s v="emmadubois@techgadgetsco.com"/>
    <x v="2"/>
    <x v="0"/>
    <n v="824.55000000000007"/>
    <n v="450"/>
    <n v="0.12"/>
    <n v="98.945999999999998"/>
    <n v="7.0000000000000007E-2"/>
    <n v="57.718500000000013"/>
    <n v="667.88549999999998"/>
    <n v="217.88549999999998"/>
  </r>
  <r>
    <s v="ORD-00194"/>
    <s v="CUST-951"/>
    <s v="REP-32"/>
    <x v="1"/>
    <d v="2025-03-01T00:00:00"/>
    <x v="3"/>
    <s v="March"/>
    <s v="Saturday"/>
    <d v="1899-12-30T12:10:02"/>
    <n v="12"/>
    <n v="10"/>
    <x v="3"/>
    <s v="Wearables"/>
    <n v="4"/>
    <n v="228.87"/>
    <n v="150"/>
    <x v="2"/>
    <s v="mariagarcia@tg.inc"/>
    <x v="4"/>
    <x v="1"/>
    <n v="915.48"/>
    <n v="600"/>
    <n v="0.2"/>
    <n v="183.096"/>
    <n v="7.0000000000000007E-2"/>
    <n v="64.083600000000004"/>
    <n v="668.30039999999997"/>
    <n v="68.300399999999968"/>
  </r>
  <r>
    <s v="ORD-00195"/>
    <s v="CUST-840"/>
    <s v="REP-13"/>
    <x v="0"/>
    <d v="2026-12-08T00:00:00"/>
    <x v="1"/>
    <s v="December"/>
    <s v="Tuesday"/>
    <d v="1899-12-30T15:18:16"/>
    <n v="15"/>
    <n v="18"/>
    <x v="4"/>
    <s v="Audio"/>
    <n v="7"/>
    <n v="185.56"/>
    <n v="50"/>
    <x v="1"/>
    <s v="ahmedkhan@sales.techg.com"/>
    <x v="4"/>
    <x v="1"/>
    <n v="1298.92"/>
    <n v="350"/>
    <n v="0.1"/>
    <n v="129.89200000000002"/>
    <n v="0.03"/>
    <n v="38.967599999999997"/>
    <n v="1130.0604000000001"/>
    <n v="780.06040000000007"/>
  </r>
  <r>
    <s v="ORD-00196"/>
    <s v="CUST-972"/>
    <s v="REP-14"/>
    <x v="1"/>
    <d v="2026-08-18T00:00:00"/>
    <x v="1"/>
    <s v="August"/>
    <s v="Tuesday"/>
    <d v="1899-12-30T13:22:57"/>
    <n v="13"/>
    <n v="22"/>
    <x v="4"/>
    <s v="Audio"/>
    <n v="5"/>
    <n v="126.97"/>
    <n v="50"/>
    <x v="1"/>
    <s v="mariagarcia@tg.inc"/>
    <x v="4"/>
    <x v="1"/>
    <n v="634.85"/>
    <n v="250"/>
    <n v="0.1"/>
    <n v="63.485000000000007"/>
    <n v="0.03"/>
    <n v="19.045500000000001"/>
    <n v="552.31950000000006"/>
    <n v="302.31950000000006"/>
  </r>
  <r>
    <s v="ORD-00197"/>
    <s v="CUST-531"/>
    <s v="REP-15"/>
    <x v="4"/>
    <d v="2023-09-29T00:00:00"/>
    <x v="2"/>
    <s v="September"/>
    <s v="Friday"/>
    <d v="1899-12-30T21:10:06"/>
    <n v="21"/>
    <n v="10"/>
    <x v="4"/>
    <s v="Audio"/>
    <n v="8"/>
    <n v="170.88"/>
    <n v="50"/>
    <x v="2"/>
    <s v="sophielee@techgadgetsco.com"/>
    <x v="8"/>
    <x v="1"/>
    <n v="1367.04"/>
    <n v="400"/>
    <n v="0.2"/>
    <n v="273.40800000000002"/>
    <n v="0.03"/>
    <n v="41.011199999999995"/>
    <n v="1052.6208000000001"/>
    <n v="652.62080000000014"/>
  </r>
  <r>
    <s v="ORD-00198"/>
    <s v="CUST-551"/>
    <s v="REP-11"/>
    <x v="3"/>
    <d v="2024-06-19T00:00:00"/>
    <x v="0"/>
    <s v="June"/>
    <s v="Wednesday"/>
    <d v="1899-12-30T08:45:55"/>
    <n v="8"/>
    <n v="45"/>
    <x v="3"/>
    <s v="Wearables"/>
    <n v="10"/>
    <n v="200.64"/>
    <n v="150"/>
    <x v="1"/>
    <s v="emmadubois@tg.inc"/>
    <x v="14"/>
    <x v="2"/>
    <n v="2006.3999999999999"/>
    <n v="1500"/>
    <n v="0.1"/>
    <n v="200.64"/>
    <n v="7.0000000000000007E-2"/>
    <n v="140.44800000000001"/>
    <n v="1665.3119999999997"/>
    <n v="165.31199999999967"/>
  </r>
  <r>
    <s v="ORD-00199"/>
    <s v="CUST-792"/>
    <s v="REP-23"/>
    <x v="8"/>
    <d v="2026-02-17T00:00:00"/>
    <x v="1"/>
    <s v="February"/>
    <s v="Tuesday"/>
    <d v="1899-12-30T08:41:59"/>
    <n v="8"/>
    <n v="41"/>
    <x v="1"/>
    <s v="Mobile Devices"/>
    <n v="8"/>
    <n v="740.82"/>
    <n v="300"/>
    <x v="0"/>
    <s v="noahkim@tg.inc"/>
    <x v="4"/>
    <x v="1"/>
    <n v="5926.56"/>
    <n v="2400"/>
    <n v="7.0000000000000007E-2"/>
    <n v="414.85920000000004"/>
    <n v="0.1"/>
    <n v="592.65600000000006"/>
    <n v="4919.0448000000006"/>
    <n v="2519.0448000000006"/>
  </r>
  <r>
    <s v="ORD-00200"/>
    <s v="CUST-512"/>
    <s v="REP-17"/>
    <x v="1"/>
    <d v="2025-07-29T00:00:00"/>
    <x v="3"/>
    <s v="July"/>
    <s v="Tuesday"/>
    <d v="1899-12-30T20:36:28"/>
    <n v="20"/>
    <n v="36"/>
    <x v="0"/>
    <s v="Computers"/>
    <n v="8"/>
    <n v="1290.3399999999999"/>
    <n v="600"/>
    <x v="0"/>
    <s v="mariagarcia@techgadgetsco.com"/>
    <x v="0"/>
    <x v="0"/>
    <n v="10322.719999999999"/>
    <n v="4800"/>
    <n v="7.0000000000000007E-2"/>
    <n v="722.59040000000005"/>
    <n v="0.05"/>
    <n v="516.13599999999997"/>
    <n v="9083.9935999999998"/>
    <n v="4283.9935999999998"/>
  </r>
  <r>
    <s v="ORD-00201"/>
    <s v="CUST-752"/>
    <s v="REP-20"/>
    <x v="4"/>
    <d v="2026-02-09T00:00:00"/>
    <x v="1"/>
    <s v="February"/>
    <s v="Monday"/>
    <d v="1899-12-30T13:23:52"/>
    <n v="13"/>
    <n v="23"/>
    <x v="0"/>
    <s v="Computers"/>
    <n v="14"/>
    <n v="1080.08"/>
    <n v="600"/>
    <x v="4"/>
    <s v="sophielee@techgadgetsco.com"/>
    <x v="4"/>
    <x v="1"/>
    <n v="15121.119999999999"/>
    <n v="8400"/>
    <n v="0.12"/>
    <n v="1814.5343999999998"/>
    <n v="0.05"/>
    <n v="756.05600000000004"/>
    <n v="12550.529599999998"/>
    <n v="4150.529599999998"/>
  </r>
  <r>
    <s v="ORD-00202"/>
    <s v="CUST-449"/>
    <s v="REP-22"/>
    <x v="2"/>
    <d v="2026-01-26T00:00:00"/>
    <x v="1"/>
    <s v="January"/>
    <s v="Monday"/>
    <d v="1899-12-30T19:06:02"/>
    <n v="19"/>
    <n v="6"/>
    <x v="1"/>
    <s v="Mobile Devices"/>
    <n v="14"/>
    <n v="696.47"/>
    <n v="300"/>
    <x v="0"/>
    <s v="fatimaadebayo@sales.techg.com"/>
    <x v="11"/>
    <x v="0"/>
    <n v="9750.58"/>
    <n v="4200"/>
    <n v="7.0000000000000007E-2"/>
    <n v="682.54060000000004"/>
    <n v="0.1"/>
    <n v="975.05799999999999"/>
    <n v="8092.9813999999997"/>
    <n v="3892.9813999999997"/>
  </r>
  <r>
    <s v="ORD-00203"/>
    <s v="CUST-446"/>
    <s v="REP-13"/>
    <x v="0"/>
    <d v="2023-06-04T00:00:00"/>
    <x v="2"/>
    <s v="June"/>
    <s v="Sunday"/>
    <d v="1899-12-30T20:57:28"/>
    <n v="20"/>
    <n v="57"/>
    <x v="4"/>
    <s v="Audio"/>
    <n v="9"/>
    <n v="157.41"/>
    <n v="50"/>
    <x v="4"/>
    <s v="ahmedkhan@sales.techg.com"/>
    <x v="7"/>
    <x v="0"/>
    <n v="1416.69"/>
    <n v="450"/>
    <n v="0.12"/>
    <n v="170.00280000000001"/>
    <n v="0.03"/>
    <n v="42.500700000000002"/>
    <n v="1204.1865"/>
    <n v="754.18650000000002"/>
  </r>
  <r>
    <s v="ORD-00204"/>
    <s v="CUST-808"/>
    <s v="REP-34"/>
    <x v="2"/>
    <d v="2023-09-20T00:00:00"/>
    <x v="2"/>
    <s v="September"/>
    <s v="Wednesday"/>
    <d v="1899-12-30T14:42:38"/>
    <n v="14"/>
    <n v="42"/>
    <x v="3"/>
    <s v="Wearables"/>
    <n v="9"/>
    <n v="222.05"/>
    <n v="150"/>
    <x v="4"/>
    <s v="fatimaadebayo@tg.inc"/>
    <x v="10"/>
    <x v="0"/>
    <n v="1998.45"/>
    <n v="1350"/>
    <n v="0.12"/>
    <n v="239.81399999999999"/>
    <n v="7.0000000000000007E-2"/>
    <n v="139.89150000000001"/>
    <n v="1618.7445"/>
    <n v="268.74450000000002"/>
  </r>
  <r>
    <s v="ORD-00205"/>
    <s v="CUST-522"/>
    <s v="REP-35"/>
    <x v="6"/>
    <d v="2025-11-15T00:00:00"/>
    <x v="3"/>
    <s v="November"/>
    <s v="Saturday"/>
    <d v="1899-12-30T21:44:35"/>
    <n v="21"/>
    <n v="44"/>
    <x v="2"/>
    <s v="Tablets"/>
    <n v="15"/>
    <n v="363.47"/>
    <n v="200"/>
    <x v="2"/>
    <s v="carlosrodriguez@tg.inc"/>
    <x v="8"/>
    <x v="1"/>
    <n v="5452.05"/>
    <n v="3000"/>
    <n v="0.2"/>
    <n v="1090.4100000000001"/>
    <n v="0.08"/>
    <n v="436.16400000000004"/>
    <n v="3925.4760000000001"/>
    <n v="925.47600000000011"/>
  </r>
  <r>
    <s v="ORD-00206"/>
    <s v="CUST-615"/>
    <s v="REP-33"/>
    <x v="0"/>
    <d v="2026-12-25T00:00:00"/>
    <x v="1"/>
    <s v="December"/>
    <s v="Friday"/>
    <d v="1899-12-30T20:22:35"/>
    <n v="20"/>
    <n v="22"/>
    <x v="4"/>
    <s v="Audio"/>
    <n v="11"/>
    <n v="170.57"/>
    <n v="50"/>
    <x v="4"/>
    <s v="ahmedkhan@tg.inc"/>
    <x v="4"/>
    <x v="1"/>
    <n v="1876.27"/>
    <n v="550"/>
    <n v="0.12"/>
    <n v="225.1524"/>
    <n v="0.03"/>
    <n v="56.2881"/>
    <n v="1594.8295000000001"/>
    <n v="1044.8295000000001"/>
  </r>
  <r>
    <s v="ORD-00207"/>
    <s v="CUST-157"/>
    <s v="REP-16"/>
    <x v="4"/>
    <d v="2023-11-26T00:00:00"/>
    <x v="2"/>
    <s v="November"/>
    <s v="Sunday"/>
    <d v="1899-12-30T18:16:09"/>
    <n v="18"/>
    <n v="16"/>
    <x v="0"/>
    <s v="Computers"/>
    <n v="5"/>
    <n v="1070.5899999999999"/>
    <n v="600"/>
    <x v="1"/>
    <s v="sophielee@techgadgetsco.com"/>
    <x v="3"/>
    <x v="0"/>
    <n v="5352.95"/>
    <n v="3000"/>
    <n v="0.1"/>
    <n v="535.29499999999996"/>
    <n v="0.05"/>
    <n v="267.64749999999998"/>
    <n v="4550.0074999999997"/>
    <n v="1550.0074999999997"/>
  </r>
  <r>
    <s v="ORD-00208"/>
    <s v="CUST-903"/>
    <s v="REP-20"/>
    <x v="4"/>
    <d v="2025-02-20T00:00:00"/>
    <x v="3"/>
    <s v="February"/>
    <s v="Thursday"/>
    <d v="1899-12-30T14:50:43"/>
    <n v="14"/>
    <n v="50"/>
    <x v="2"/>
    <s v="Tablets"/>
    <n v="1"/>
    <n v="500"/>
    <n v="200"/>
    <x v="1"/>
    <s v="sophielee@techgadgetsco.com"/>
    <x v="6"/>
    <x v="0"/>
    <n v="500"/>
    <n v="200"/>
    <n v="0.1"/>
    <n v="50"/>
    <n v="0.08"/>
    <n v="40"/>
    <n v="410"/>
    <n v="210"/>
  </r>
  <r>
    <s v="ORD-00209"/>
    <s v="CUST-763"/>
    <s v="REP-22"/>
    <x v="2"/>
    <d v="2024-01-02T00:00:00"/>
    <x v="0"/>
    <s v="January"/>
    <s v="Tuesday"/>
    <d v="1899-12-30T15:11:43"/>
    <n v="15"/>
    <n v="11"/>
    <x v="0"/>
    <s v="Computers"/>
    <n v="3"/>
    <n v="859.68"/>
    <n v="600"/>
    <x v="0"/>
    <s v="fatimaadebayo@tg.inc"/>
    <x v="4"/>
    <x v="1"/>
    <n v="2579.04"/>
    <n v="1800"/>
    <n v="7.0000000000000007E-2"/>
    <n v="180.53280000000001"/>
    <n v="0.05"/>
    <n v="128.952"/>
    <n v="2269.5551999999998"/>
    <n v="469.55519999999979"/>
  </r>
  <r>
    <s v="ORD-00210"/>
    <s v="CUST-140"/>
    <s v="REP-14"/>
    <x v="1"/>
    <d v="2026-07-05T00:00:00"/>
    <x v="1"/>
    <s v="July"/>
    <s v="Sunday"/>
    <d v="1899-12-30T20:59:40"/>
    <n v="20"/>
    <n v="59"/>
    <x v="3"/>
    <s v="Wearables"/>
    <n v="5"/>
    <n v="238.99"/>
    <n v="150"/>
    <x v="1"/>
    <s v="mariagarcia@sales.techg.com"/>
    <x v="9"/>
    <x v="0"/>
    <n v="1194.95"/>
    <n v="750"/>
    <n v="0.1"/>
    <n v="119.495"/>
    <n v="7.0000000000000007E-2"/>
    <n v="83.646500000000017"/>
    <n v="991.80849999999987"/>
    <n v="241.80849999999987"/>
  </r>
  <r>
    <s v="ORD-00211"/>
    <s v="CUST-656"/>
    <s v="REP-33"/>
    <x v="0"/>
    <d v="2023-08-07T00:00:00"/>
    <x v="2"/>
    <s v="August"/>
    <s v="Monday"/>
    <d v="1899-12-30T11:56:13"/>
    <n v="11"/>
    <n v="56"/>
    <x v="2"/>
    <s v="Tablets"/>
    <n v="5"/>
    <n v="470.53"/>
    <n v="200"/>
    <x v="4"/>
    <s v="ahmedkhan@tg.inc"/>
    <x v="4"/>
    <x v="1"/>
    <n v="2352.6499999999996"/>
    <n v="1000"/>
    <n v="0.12"/>
    <n v="282.31799999999993"/>
    <n v="0.08"/>
    <n v="188.21199999999996"/>
    <n v="1882.12"/>
    <n v="882.11999999999989"/>
  </r>
  <r>
    <s v="ORD-00212"/>
    <s v="CUST-757"/>
    <s v="REP-35"/>
    <x v="6"/>
    <d v="2024-05-14T00:00:00"/>
    <x v="0"/>
    <s v="May"/>
    <s v="Tuesday"/>
    <d v="1899-12-30T18:56:20"/>
    <n v="18"/>
    <n v="56"/>
    <x v="4"/>
    <s v="Audio"/>
    <n v="2"/>
    <n v="160.52000000000001"/>
    <n v="50"/>
    <x v="1"/>
    <s v="carlosrodriguez@tg.inc"/>
    <x v="13"/>
    <x v="0"/>
    <n v="321.04000000000002"/>
    <n v="100"/>
    <n v="0.1"/>
    <n v="32.104000000000006"/>
    <n v="0.03"/>
    <n v="9.6311999999999998"/>
    <n v="279.30480000000006"/>
    <n v="179.30480000000006"/>
  </r>
  <r>
    <s v="ORD-00213"/>
    <s v="CUST-767"/>
    <s v="REP-16"/>
    <x v="4"/>
    <d v="2025-11-18T00:00:00"/>
    <x v="3"/>
    <s v="November"/>
    <s v="Tuesday"/>
    <d v="1899-12-30T09:10:49"/>
    <n v="9"/>
    <n v="10"/>
    <x v="3"/>
    <s v="Wearables"/>
    <n v="11"/>
    <n v="500"/>
    <n v="150"/>
    <x v="2"/>
    <s v="sophielee@techgadgetsco.com"/>
    <x v="14"/>
    <x v="2"/>
    <n v="5500"/>
    <n v="1650"/>
    <n v="0.2"/>
    <n v="1100"/>
    <n v="7.0000000000000007E-2"/>
    <n v="385.00000000000006"/>
    <n v="4015"/>
    <n v="2365"/>
  </r>
  <r>
    <s v="ORD-00214"/>
    <s v="CUST-257"/>
    <s v="REP-10"/>
    <x v="3"/>
    <d v="2024-10-11T00:00:00"/>
    <x v="0"/>
    <s v="October"/>
    <s v="Friday"/>
    <d v="1899-12-30T09:04:03"/>
    <n v="9"/>
    <n v="4"/>
    <x v="1"/>
    <s v="Mobile Devices"/>
    <n v="9"/>
    <n v="500"/>
    <n v="300"/>
    <x v="2"/>
    <s v="emmadubois@techgadgetsco.com"/>
    <x v="11"/>
    <x v="0"/>
    <n v="4500"/>
    <n v="2700"/>
    <n v="0.2"/>
    <n v="900"/>
    <n v="0.1"/>
    <n v="450"/>
    <n v="3150"/>
    <n v="450"/>
  </r>
  <r>
    <s v="ORD-00215"/>
    <s v="CUST-647"/>
    <s v="REP-10"/>
    <x v="3"/>
    <d v="2026-06-20T00:00:00"/>
    <x v="1"/>
    <s v="June"/>
    <s v="Saturday"/>
    <d v="1899-12-30T20:47:37"/>
    <n v="20"/>
    <n v="47"/>
    <x v="0"/>
    <s v="Computers"/>
    <n v="2"/>
    <n v="1051.42"/>
    <n v="600"/>
    <x v="1"/>
    <s v="emmadubois@sales.techg.com"/>
    <x v="6"/>
    <x v="0"/>
    <n v="2102.84"/>
    <n v="1200"/>
    <n v="0.1"/>
    <n v="210.28400000000002"/>
    <n v="0.05"/>
    <n v="105.14200000000001"/>
    <n v="1787.414"/>
    <n v="587.41399999999999"/>
  </r>
  <r>
    <s v="ORD-00216"/>
    <s v="CUST-260"/>
    <s v="REP-33"/>
    <x v="0"/>
    <d v="2023-07-10T00:00:00"/>
    <x v="2"/>
    <s v="July"/>
    <s v="Monday"/>
    <d v="1899-12-30T20:51:54"/>
    <n v="20"/>
    <n v="51"/>
    <x v="3"/>
    <s v="Wearables"/>
    <n v="11"/>
    <n v="250.5"/>
    <n v="150"/>
    <x v="1"/>
    <s v="ahmedkhan@sales.techg.com"/>
    <x v="4"/>
    <x v="1"/>
    <n v="2755.5"/>
    <n v="1650"/>
    <n v="0.1"/>
    <n v="275.55"/>
    <n v="7.0000000000000007E-2"/>
    <n v="192.88500000000002"/>
    <n v="2287.0649999999996"/>
    <n v="637.0649999999996"/>
  </r>
  <r>
    <s v="ORD-00217"/>
    <s v="CUST-650"/>
    <s v="REP-33"/>
    <x v="0"/>
    <d v="2024-09-16T00:00:00"/>
    <x v="0"/>
    <s v="September"/>
    <s v="Monday"/>
    <d v="1899-12-30T19:47:57"/>
    <n v="19"/>
    <n v="47"/>
    <x v="2"/>
    <s v="Tablets"/>
    <n v="15"/>
    <n v="422.51"/>
    <n v="200"/>
    <x v="2"/>
    <s v="ahmedkhan@sales.techg.com"/>
    <x v="2"/>
    <x v="0"/>
    <n v="6337.65"/>
    <n v="3000"/>
    <n v="0.2"/>
    <n v="1267.53"/>
    <n v="0.08"/>
    <n v="507.012"/>
    <n v="4563.1080000000002"/>
    <n v="1563.1080000000002"/>
  </r>
  <r>
    <s v="ORD-00218"/>
    <s v="CUST-971"/>
    <s v="REP-33"/>
    <x v="0"/>
    <d v="2026-08-13T00:00:00"/>
    <x v="1"/>
    <s v="August"/>
    <s v="Thursday"/>
    <d v="1899-12-30T12:42:04"/>
    <n v="12"/>
    <n v="42"/>
    <x v="2"/>
    <s v="Tablets"/>
    <n v="7"/>
    <n v="417.44"/>
    <n v="200"/>
    <x v="1"/>
    <s v="ahmedkhan@tg.inc"/>
    <x v="4"/>
    <x v="1"/>
    <n v="2922.08"/>
    <n v="1400"/>
    <n v="0.1"/>
    <n v="292.20800000000003"/>
    <n v="0.08"/>
    <n v="233.7664"/>
    <n v="2396.1055999999999"/>
    <n v="996.10559999999987"/>
  </r>
  <r>
    <s v="ORD-00219"/>
    <s v="CUST-561"/>
    <s v="REP-21"/>
    <x v="2"/>
    <d v="2026-12-09T00:00:00"/>
    <x v="1"/>
    <s v="December"/>
    <s v="Wednesday"/>
    <d v="1899-12-30T19:37:09"/>
    <n v="19"/>
    <n v="37"/>
    <x v="3"/>
    <s v="Wearables"/>
    <n v="13"/>
    <n v="223.11"/>
    <n v="150"/>
    <x v="0"/>
    <s v="fatimaadebayo@sales.techg.com"/>
    <x v="14"/>
    <x v="2"/>
    <n v="2900.4300000000003"/>
    <n v="1950"/>
    <n v="7.0000000000000007E-2"/>
    <n v="203.03010000000003"/>
    <n v="7.0000000000000007E-2"/>
    <n v="203.03010000000003"/>
    <n v="2494.3698000000004"/>
    <n v="544.3698000000004"/>
  </r>
  <r>
    <s v="ORD-00220"/>
    <s v="CUST-439"/>
    <s v="REP-29"/>
    <x v="4"/>
    <d v="2025-01-07T00:00:00"/>
    <x v="3"/>
    <s v="January"/>
    <s v="Tuesday"/>
    <d v="1899-12-30T20:19:31"/>
    <n v="20"/>
    <n v="19"/>
    <x v="3"/>
    <s v="Wearables"/>
    <n v="11"/>
    <n v="268.60000000000002"/>
    <n v="150"/>
    <x v="2"/>
    <s v="sophielee@techgadgetsco.com"/>
    <x v="15"/>
    <x v="0"/>
    <n v="2954.6000000000004"/>
    <n v="1650"/>
    <n v="0.2"/>
    <n v="590.92000000000007"/>
    <n v="7.0000000000000007E-2"/>
    <n v="206.82200000000003"/>
    <n v="2156.8580000000002"/>
    <n v="506.85800000000017"/>
  </r>
  <r>
    <s v="ORD-00221"/>
    <s v="CUST-746"/>
    <s v="REP-10"/>
    <x v="3"/>
    <d v="2026-03-31T00:00:00"/>
    <x v="1"/>
    <s v="March"/>
    <s v="Tuesday"/>
    <d v="1899-12-30T20:37:13"/>
    <n v="20"/>
    <n v="37"/>
    <x v="0"/>
    <s v="Computers"/>
    <n v="9"/>
    <n v="1069.8399999999999"/>
    <n v="600"/>
    <x v="2"/>
    <s v="emmadubois@sales.techg.com"/>
    <x v="4"/>
    <x v="1"/>
    <n v="9628.56"/>
    <n v="5400"/>
    <n v="0.2"/>
    <n v="1925.712"/>
    <n v="0.05"/>
    <n v="481.428"/>
    <n v="7221.42"/>
    <n v="1821.42"/>
  </r>
  <r>
    <s v="ORD-00222"/>
    <s v="CUST-472"/>
    <s v="REP-32"/>
    <x v="1"/>
    <d v="2026-09-19T00:00:00"/>
    <x v="1"/>
    <s v="September"/>
    <s v="Saturday"/>
    <d v="1899-12-30T21:51:39"/>
    <n v="21"/>
    <n v="51"/>
    <x v="1"/>
    <s v="Mobile Devices"/>
    <n v="3"/>
    <n v="533.74"/>
    <n v="300"/>
    <x v="4"/>
    <s v="mariagarcia@tg.inc"/>
    <x v="7"/>
    <x v="0"/>
    <n v="1601.22"/>
    <n v="900"/>
    <n v="0.12"/>
    <n v="192.1464"/>
    <n v="0.1"/>
    <n v="160.12200000000001"/>
    <n v="1248.9515999999999"/>
    <n v="348.95159999999987"/>
  </r>
  <r>
    <s v="ORD-00223"/>
    <s v="CUST-337"/>
    <s v="REP-12"/>
    <x v="5"/>
    <d v="2025-01-26T00:00:00"/>
    <x v="3"/>
    <s v="January"/>
    <s v="Sunday"/>
    <d v="1899-12-30T08:42:13"/>
    <n v="8"/>
    <n v="42"/>
    <x v="3"/>
    <s v="Wearables"/>
    <n v="6"/>
    <n v="276.97000000000003"/>
    <n v="150"/>
    <x v="0"/>
    <s v="oliviapatel@tg.inc"/>
    <x v="13"/>
    <x v="0"/>
    <n v="1661.8200000000002"/>
    <n v="900"/>
    <n v="7.0000000000000007E-2"/>
    <n v="116.32740000000003"/>
    <n v="7.0000000000000007E-2"/>
    <n v="116.32740000000003"/>
    <n v="1429.1651999999999"/>
    <n v="529.16519999999991"/>
  </r>
  <r>
    <s v="ORD-00224"/>
    <s v="CUST-692"/>
    <s v="REP-33"/>
    <x v="0"/>
    <d v="2025-10-02T00:00:00"/>
    <x v="3"/>
    <s v="October"/>
    <s v="Thursday"/>
    <d v="1899-12-30T13:37:41"/>
    <n v="13"/>
    <n v="37"/>
    <x v="0"/>
    <s v="Computers"/>
    <n v="7"/>
    <n v="911.45"/>
    <n v="600"/>
    <x v="3"/>
    <s v="ahmedkhan@sales.techg.com"/>
    <x v="7"/>
    <x v="0"/>
    <n v="6380.1500000000005"/>
    <n v="4200"/>
    <n v="0.15"/>
    <n v="957.02250000000004"/>
    <n v="0.05"/>
    <n v="319.00750000000005"/>
    <n v="5104.1200000000008"/>
    <n v="904.1200000000008"/>
  </r>
  <r>
    <s v="ORD-00225"/>
    <s v="CUST-550"/>
    <s v="REP-15"/>
    <x v="4"/>
    <d v="2023-07-06T00:00:00"/>
    <x v="2"/>
    <s v="July"/>
    <s v="Thursday"/>
    <d v="1899-12-30T11:09:11"/>
    <n v="11"/>
    <n v="9"/>
    <x v="1"/>
    <s v="Mobile Devices"/>
    <n v="12"/>
    <n v="678.33"/>
    <n v="300"/>
    <x v="3"/>
    <s v="sophielee@techgadgetsco.com"/>
    <x v="7"/>
    <x v="0"/>
    <n v="8139.9600000000009"/>
    <n v="3600"/>
    <n v="0.15"/>
    <n v="1220.9940000000001"/>
    <n v="0.1"/>
    <n v="813.99600000000009"/>
    <n v="6104.97"/>
    <n v="2504.9700000000003"/>
  </r>
  <r>
    <s v="ORD-00226"/>
    <s v="CUST-520"/>
    <s v="REP-10"/>
    <x v="3"/>
    <d v="2023-03-30T00:00:00"/>
    <x v="2"/>
    <s v="March"/>
    <s v="Thursday"/>
    <d v="1899-12-30T17:37:10"/>
    <n v="17"/>
    <n v="37"/>
    <x v="1"/>
    <s v="Mobile Devices"/>
    <n v="1"/>
    <n v="524.05999999999995"/>
    <n v="300"/>
    <x v="2"/>
    <s v="emmadubois@tg.inc"/>
    <x v="0"/>
    <x v="0"/>
    <n v="524.05999999999995"/>
    <n v="300"/>
    <n v="0.2"/>
    <n v="104.812"/>
    <n v="0.1"/>
    <n v="52.405999999999999"/>
    <n v="366.84199999999993"/>
    <n v="66.841999999999928"/>
  </r>
  <r>
    <s v="ORD-00227"/>
    <s v="CUST-187"/>
    <s v="REP-16"/>
    <x v="4"/>
    <d v="2026-05-27T00:00:00"/>
    <x v="1"/>
    <s v="May"/>
    <s v="Wednesday"/>
    <d v="1899-12-30T21:30:10"/>
    <n v="21"/>
    <n v="30"/>
    <x v="1"/>
    <s v="Mobile Devices"/>
    <n v="10"/>
    <n v="654.79"/>
    <n v="300"/>
    <x v="2"/>
    <s v="sophielee@techgadgetsco.com"/>
    <x v="10"/>
    <x v="0"/>
    <n v="6547.9"/>
    <n v="3000"/>
    <n v="0.2"/>
    <n v="1309.58"/>
    <n v="0.1"/>
    <n v="654.79"/>
    <n v="4583.53"/>
    <n v="1583.5299999999997"/>
  </r>
  <r>
    <s v="ORD-00228"/>
    <s v="CUST-487"/>
    <s v="REP-23"/>
    <x v="8"/>
    <d v="2023-11-08T00:00:00"/>
    <x v="2"/>
    <s v="November"/>
    <s v="Wednesday"/>
    <d v="1899-12-30T11:33:55"/>
    <n v="11"/>
    <n v="33"/>
    <x v="3"/>
    <s v="Wearables"/>
    <n v="14"/>
    <n v="186.59"/>
    <n v="150"/>
    <x v="3"/>
    <s v="noahkim@tg.inc"/>
    <x v="13"/>
    <x v="0"/>
    <n v="2612.2600000000002"/>
    <n v="2100"/>
    <n v="0.15"/>
    <n v="391.839"/>
    <n v="7.0000000000000007E-2"/>
    <n v="182.85820000000004"/>
    <n v="2037.5628000000002"/>
    <n v="-62.437199999999848"/>
  </r>
  <r>
    <s v="ORD-00229"/>
    <s v="CUST-717"/>
    <s v="REP-33"/>
    <x v="0"/>
    <d v="2026-10-21T00:00:00"/>
    <x v="1"/>
    <s v="October"/>
    <s v="Wednesday"/>
    <d v="1899-12-30T16:26:23"/>
    <n v="16"/>
    <n v="26"/>
    <x v="0"/>
    <s v="Computers"/>
    <n v="7"/>
    <n v="1201.1500000000001"/>
    <n v="600"/>
    <x v="3"/>
    <s v="ahmedkhan@sales.techg.com"/>
    <x v="2"/>
    <x v="0"/>
    <n v="8408.0500000000011"/>
    <n v="4200"/>
    <n v="0.15"/>
    <n v="1261.2075000000002"/>
    <n v="0.05"/>
    <n v="420.40250000000009"/>
    <n v="6726.4400000000005"/>
    <n v="2526.4400000000005"/>
  </r>
  <r>
    <s v="ORD-00230"/>
    <s v="CUST-979"/>
    <s v="REP-12"/>
    <x v="5"/>
    <d v="2026-10-05T00:00:00"/>
    <x v="1"/>
    <s v="October"/>
    <s v="Monday"/>
    <d v="1899-12-30T12:12:00"/>
    <n v="12"/>
    <n v="12"/>
    <x v="0"/>
    <s v="Computers"/>
    <n v="2"/>
    <n v="987.51"/>
    <n v="600"/>
    <x v="2"/>
    <s v="oliviapatel@tg.inc"/>
    <x v="8"/>
    <x v="1"/>
    <n v="1975.02"/>
    <n v="1200"/>
    <n v="0.2"/>
    <n v="395.00400000000002"/>
    <n v="0.05"/>
    <n v="98.751000000000005"/>
    <n v="1481.2650000000001"/>
    <n v="281.2650000000001"/>
  </r>
  <r>
    <s v="ORD-00231"/>
    <s v="CUST-648"/>
    <s v="REP-24"/>
    <x v="7"/>
    <d v="2026-07-06T00:00:00"/>
    <x v="1"/>
    <s v="July"/>
    <s v="Monday"/>
    <d v="1899-12-30T18:25:48"/>
    <n v="18"/>
    <n v="25"/>
    <x v="1"/>
    <s v="Mobile Devices"/>
    <n v="13"/>
    <n v="533.62"/>
    <n v="300"/>
    <x v="4"/>
    <s v="liamchen@sales.techg.com"/>
    <x v="1"/>
    <x v="0"/>
    <n v="6937.06"/>
    <n v="3900"/>
    <n v="0.12"/>
    <n v="832.44720000000007"/>
    <n v="0.1"/>
    <n v="693.70600000000013"/>
    <n v="5410.9068000000007"/>
    <n v="1510.9068000000007"/>
  </r>
  <r>
    <s v="ORD-00232"/>
    <s v="CUST-984"/>
    <s v="REP-13"/>
    <x v="0"/>
    <d v="2025-03-07T00:00:00"/>
    <x v="3"/>
    <s v="March"/>
    <s v="Friday"/>
    <d v="1899-12-30T09:13:32"/>
    <n v="9"/>
    <n v="13"/>
    <x v="4"/>
    <s v="Audio"/>
    <n v="13"/>
    <n v="172.28"/>
    <n v="50"/>
    <x v="0"/>
    <s v="ahmedkhan@tg.inc"/>
    <x v="15"/>
    <x v="0"/>
    <n v="2239.64"/>
    <n v="650"/>
    <n v="7.0000000000000007E-2"/>
    <n v="156.7748"/>
    <n v="0.03"/>
    <n v="67.1892"/>
    <n v="2015.6759999999997"/>
    <n v="1365.6759999999997"/>
  </r>
  <r>
    <s v="ORD-00233"/>
    <s v="CUST-190"/>
    <s v="REP-12"/>
    <x v="5"/>
    <d v="2024-03-30T00:00:00"/>
    <x v="0"/>
    <s v="March"/>
    <s v="Saturday"/>
    <d v="1899-12-30T09:38:02"/>
    <n v="9"/>
    <n v="38"/>
    <x v="4"/>
    <s v="Audio"/>
    <n v="7"/>
    <n v="159.08000000000001"/>
    <n v="50"/>
    <x v="4"/>
    <s v="oliviapatel@tg.inc"/>
    <x v="7"/>
    <x v="0"/>
    <n v="1113.5600000000002"/>
    <n v="350"/>
    <n v="0.12"/>
    <n v="133.62720000000002"/>
    <n v="0.03"/>
    <n v="33.406800000000004"/>
    <n v="946.52600000000018"/>
    <n v="596.52600000000018"/>
  </r>
  <r>
    <s v="ORD-00234"/>
    <s v="CUST-923"/>
    <s v="REP-32"/>
    <x v="1"/>
    <d v="2024-03-02T00:00:00"/>
    <x v="0"/>
    <s v="March"/>
    <s v="Saturday"/>
    <d v="1899-12-30T20:38:32"/>
    <n v="20"/>
    <n v="38"/>
    <x v="3"/>
    <s v="Wearables"/>
    <n v="10"/>
    <n v="179.97"/>
    <n v="150"/>
    <x v="2"/>
    <s v="mariagarcia@techgadgetsco.com"/>
    <x v="4"/>
    <x v="1"/>
    <n v="1799.7"/>
    <n v="1500"/>
    <n v="0.2"/>
    <n v="359.94000000000005"/>
    <n v="7.0000000000000007E-2"/>
    <n v="125.97900000000001"/>
    <n v="1313.7809999999999"/>
    <n v="-186.21900000000005"/>
  </r>
  <r>
    <s v="ORD-00235"/>
    <s v="CUST-700"/>
    <s v="REP-16"/>
    <x v="4"/>
    <d v="2026-12-12T00:00:00"/>
    <x v="1"/>
    <s v="December"/>
    <s v="Saturday"/>
    <d v="1899-12-30T09:35:18"/>
    <n v="9"/>
    <n v="35"/>
    <x v="3"/>
    <s v="Wearables"/>
    <n v="6"/>
    <n v="265.70999999999998"/>
    <n v="150"/>
    <x v="2"/>
    <s v="sophielee@sales.techg.com"/>
    <x v="0"/>
    <x v="0"/>
    <n v="1594.2599999999998"/>
    <n v="900"/>
    <n v="0.2"/>
    <n v="318.85199999999998"/>
    <n v="7.0000000000000007E-2"/>
    <n v="111.59819999999999"/>
    <n v="1163.8098"/>
    <n v="263.8098"/>
  </r>
  <r>
    <s v="ORD-00236"/>
    <s v="CUST-174"/>
    <s v="REP-32"/>
    <x v="1"/>
    <d v="2024-11-27T00:00:00"/>
    <x v="0"/>
    <s v="November"/>
    <s v="Wednesday"/>
    <d v="1899-12-30T20:32:16"/>
    <n v="20"/>
    <n v="32"/>
    <x v="3"/>
    <s v="Wearables"/>
    <n v="10"/>
    <n v="224.7"/>
    <n v="150"/>
    <x v="3"/>
    <s v="mariagarcia@techgadgetsco.com"/>
    <x v="6"/>
    <x v="0"/>
    <n v="2247"/>
    <n v="1500"/>
    <n v="0.15"/>
    <n v="337.05"/>
    <n v="7.0000000000000007E-2"/>
    <n v="157.29000000000002"/>
    <n v="1752.66"/>
    <n v="252.66000000000008"/>
  </r>
  <r>
    <s v="ORD-00237"/>
    <s v="CUST-593"/>
    <s v="REP-13"/>
    <x v="0"/>
    <d v="2023-05-19T00:00:00"/>
    <x v="2"/>
    <s v="May"/>
    <s v="Friday"/>
    <d v="1899-12-30T18:50:14"/>
    <n v="18"/>
    <n v="50"/>
    <x v="1"/>
    <s v="Mobile Devices"/>
    <n v="7"/>
    <n v="634.95000000000005"/>
    <n v="300"/>
    <x v="0"/>
    <s v="ahmedkhan@sales.techg.com"/>
    <x v="11"/>
    <x v="0"/>
    <n v="4444.6500000000005"/>
    <n v="2100"/>
    <n v="7.0000000000000007E-2"/>
    <n v="311.12550000000005"/>
    <n v="0.1"/>
    <n v="444.46500000000009"/>
    <n v="3689.0595000000003"/>
    <n v="1589.0595000000003"/>
  </r>
  <r>
    <s v="ORD-00238"/>
    <s v="CUST-282"/>
    <s v="REP-29"/>
    <x v="4"/>
    <d v="2024-12-25T00:00:00"/>
    <x v="0"/>
    <s v="December"/>
    <s v="Wednesday"/>
    <d v="1899-12-30T17:17:11"/>
    <n v="17"/>
    <n v="17"/>
    <x v="1"/>
    <s v="Mobile Devices"/>
    <n v="4"/>
    <n v="552.62"/>
    <n v="300"/>
    <x v="1"/>
    <s v="sophielee@techgadgetsco.com"/>
    <x v="1"/>
    <x v="0"/>
    <n v="2210.48"/>
    <n v="1200"/>
    <n v="0.1"/>
    <n v="221.048"/>
    <n v="0.1"/>
    <n v="221.048"/>
    <n v="1768.384"/>
    <n v="568.38400000000001"/>
  </r>
  <r>
    <s v="ORD-00239"/>
    <s v="CUST-792"/>
    <s v="REP-29"/>
    <x v="4"/>
    <d v="2026-01-13T00:00:00"/>
    <x v="1"/>
    <s v="January"/>
    <s v="Tuesday"/>
    <d v="1899-12-30T21:30:23"/>
    <n v="21"/>
    <n v="30"/>
    <x v="3"/>
    <s v="Wearables"/>
    <n v="15"/>
    <n v="274.67"/>
    <n v="150"/>
    <x v="1"/>
    <s v="sophielee@tg.inc"/>
    <x v="4"/>
    <x v="1"/>
    <n v="4120.05"/>
    <n v="2250"/>
    <n v="0.1"/>
    <n v="412.00500000000005"/>
    <n v="7.0000000000000007E-2"/>
    <n v="288.40350000000007"/>
    <n v="3419.6415000000002"/>
    <n v="1169.6415000000002"/>
  </r>
  <r>
    <s v="ORD-00240"/>
    <s v="CUST-638"/>
    <s v="REP-24"/>
    <x v="7"/>
    <d v="2026-12-01T00:00:00"/>
    <x v="1"/>
    <s v="December"/>
    <s v="Tuesday"/>
    <d v="1899-12-30T16:22:25"/>
    <n v="16"/>
    <n v="22"/>
    <x v="1"/>
    <s v="Mobile Devices"/>
    <n v="2"/>
    <n v="618.02"/>
    <n v="300"/>
    <x v="0"/>
    <s v="liamchen@sales.techg.com"/>
    <x v="10"/>
    <x v="0"/>
    <n v="1236.04"/>
    <n v="600"/>
    <n v="7.0000000000000007E-2"/>
    <n v="86.522800000000004"/>
    <n v="0.1"/>
    <n v="123.604"/>
    <n v="1025.9132"/>
    <n v="425.91319999999996"/>
  </r>
  <r>
    <s v="ORD-00241"/>
    <s v="CUST-369"/>
    <s v="REP-17"/>
    <x v="1"/>
    <d v="2025-08-23T00:00:00"/>
    <x v="3"/>
    <s v="August"/>
    <s v="Saturday"/>
    <d v="1899-12-30T13:11:31"/>
    <n v="13"/>
    <n v="11"/>
    <x v="4"/>
    <s v="Audio"/>
    <n v="12"/>
    <n v="147.38"/>
    <n v="50"/>
    <x v="3"/>
    <s v="mariagarcia@tg.inc"/>
    <x v="3"/>
    <x v="0"/>
    <n v="1768.56"/>
    <n v="600"/>
    <n v="0.15"/>
    <n v="265.28399999999999"/>
    <n v="0.03"/>
    <n v="53.056799999999996"/>
    <n v="1450.2191999999998"/>
    <n v="850.21919999999977"/>
  </r>
  <r>
    <s v="ORD-00242"/>
    <s v="CUST-668"/>
    <s v="REP-24"/>
    <x v="7"/>
    <d v="2024-06-02T00:00:00"/>
    <x v="0"/>
    <s v="June"/>
    <s v="Sunday"/>
    <d v="1899-12-30T20:47:09"/>
    <n v="20"/>
    <n v="47"/>
    <x v="4"/>
    <s v="Audio"/>
    <n v="3"/>
    <n v="130.09"/>
    <n v="50"/>
    <x v="4"/>
    <s v="liamchen@sales.techg.com"/>
    <x v="4"/>
    <x v="1"/>
    <n v="390.27"/>
    <n v="150"/>
    <n v="0.12"/>
    <n v="46.832399999999993"/>
    <n v="0.03"/>
    <n v="11.708099999999998"/>
    <n v="331.72949999999997"/>
    <n v="181.72949999999997"/>
  </r>
  <r>
    <s v="ORD-00243"/>
    <s v="CUST-807"/>
    <s v="REP-15"/>
    <x v="4"/>
    <d v="2024-03-17T00:00:00"/>
    <x v="0"/>
    <s v="March"/>
    <s v="Sunday"/>
    <d v="1899-12-30T15:53:40"/>
    <n v="15"/>
    <n v="53"/>
    <x v="0"/>
    <s v="Computers"/>
    <n v="6"/>
    <n v="980.15"/>
    <n v="600"/>
    <x v="4"/>
    <s v="sophielee@techgadgetsco.com"/>
    <x v="2"/>
    <x v="0"/>
    <n v="5880.9"/>
    <n v="3600"/>
    <n v="0.12"/>
    <n v="705.70799999999997"/>
    <n v="0.05"/>
    <n v="294.04500000000002"/>
    <n v="4881.1469999999999"/>
    <n v="1281.1469999999999"/>
  </r>
  <r>
    <s v="ORD-00244"/>
    <s v="CUST-690"/>
    <s v="REP-34"/>
    <x v="2"/>
    <d v="2024-05-08T00:00:00"/>
    <x v="0"/>
    <s v="May"/>
    <s v="Wednesday"/>
    <d v="1899-12-30T13:43:32"/>
    <n v="13"/>
    <n v="43"/>
    <x v="4"/>
    <s v="Audio"/>
    <n v="8"/>
    <n v="148.58000000000001"/>
    <n v="50"/>
    <x v="1"/>
    <s v="fatimaadebayo@tg.inc"/>
    <x v="10"/>
    <x v="0"/>
    <n v="1188.6400000000001"/>
    <n v="400"/>
    <n v="0.1"/>
    <n v="118.86400000000002"/>
    <n v="0.03"/>
    <n v="35.659199999999998"/>
    <n v="1034.1168"/>
    <n v="634.11680000000001"/>
  </r>
  <r>
    <s v="ORD-00245"/>
    <s v="CUST-173"/>
    <s v="REP-12"/>
    <x v="5"/>
    <d v="2024-04-12T00:00:00"/>
    <x v="0"/>
    <s v="April"/>
    <s v="Friday"/>
    <d v="1899-12-30T13:20:41"/>
    <n v="13"/>
    <n v="20"/>
    <x v="2"/>
    <s v="Tablets"/>
    <n v="10"/>
    <n v="374.25"/>
    <n v="200"/>
    <x v="3"/>
    <s v="oliviapatel@techgadgetsco.com"/>
    <x v="13"/>
    <x v="0"/>
    <n v="3742.5"/>
    <n v="2000"/>
    <n v="0.15"/>
    <n v="561.375"/>
    <n v="0.08"/>
    <n v="299.40000000000003"/>
    <n v="2881.7249999999999"/>
    <n v="881.72499999999991"/>
  </r>
  <r>
    <s v="ORD-00246"/>
    <s v="CUST-123"/>
    <s v="REP-14"/>
    <x v="1"/>
    <d v="2024-04-25T00:00:00"/>
    <x v="0"/>
    <s v="April"/>
    <s v="Thursday"/>
    <d v="1899-12-30T19:44:47"/>
    <n v="19"/>
    <n v="44"/>
    <x v="0"/>
    <s v="Computers"/>
    <n v="7"/>
    <n v="500"/>
    <n v="600"/>
    <x v="0"/>
    <s v="mariagarcia@tg.inc"/>
    <x v="11"/>
    <x v="0"/>
    <n v="3500"/>
    <n v="4200"/>
    <n v="7.0000000000000007E-2"/>
    <n v="245.00000000000003"/>
    <n v="0.05"/>
    <n v="175"/>
    <n v="3080"/>
    <n v="-1120"/>
  </r>
  <r>
    <s v="ORD-00247"/>
    <s v="CUST-732"/>
    <s v="REP-14"/>
    <x v="1"/>
    <d v="2026-03-09T00:00:00"/>
    <x v="1"/>
    <s v="March"/>
    <s v="Monday"/>
    <d v="1899-12-30T12:14:15"/>
    <n v="12"/>
    <n v="14"/>
    <x v="2"/>
    <s v="Tablets"/>
    <n v="3"/>
    <n v="487.7"/>
    <n v="200"/>
    <x v="0"/>
    <s v="mariagarcia@techgadgetsco.com"/>
    <x v="7"/>
    <x v="0"/>
    <n v="1463.1"/>
    <n v="600"/>
    <n v="7.0000000000000007E-2"/>
    <n v="102.417"/>
    <n v="0.08"/>
    <n v="117.048"/>
    <n v="1243.635"/>
    <n v="643.63499999999999"/>
  </r>
  <r>
    <s v="ORD-00248"/>
    <s v="CUST-661"/>
    <s v="REP-28"/>
    <x v="1"/>
    <d v="2026-11-29T00:00:00"/>
    <x v="1"/>
    <s v="November"/>
    <s v="Sunday"/>
    <d v="1899-12-30T17:38:29"/>
    <n v="17"/>
    <n v="38"/>
    <x v="3"/>
    <s v="Wearables"/>
    <n v="11"/>
    <n v="210.06"/>
    <n v="150"/>
    <x v="1"/>
    <s v="mariagarcia@sales.techg.com"/>
    <x v="4"/>
    <x v="1"/>
    <n v="2310.66"/>
    <n v="1650"/>
    <n v="0.1"/>
    <n v="231.066"/>
    <n v="7.0000000000000007E-2"/>
    <n v="161.74620000000002"/>
    <n v="1917.8478"/>
    <n v="267.84780000000001"/>
  </r>
  <r>
    <s v="ORD-00249"/>
    <s v="CUST-100"/>
    <s v="REP-32"/>
    <x v="1"/>
    <d v="2024-05-12T00:00:00"/>
    <x v="0"/>
    <s v="May"/>
    <s v="Sunday"/>
    <d v="1899-12-30T15:34:00"/>
    <n v="15"/>
    <n v="34"/>
    <x v="4"/>
    <s v="Audio"/>
    <n v="8"/>
    <n v="177.44"/>
    <n v="50"/>
    <x v="1"/>
    <s v="mariagarcia@tg.inc"/>
    <x v="5"/>
    <x v="2"/>
    <n v="1419.52"/>
    <n v="400"/>
    <n v="0.1"/>
    <n v="141.952"/>
    <n v="0.03"/>
    <n v="42.585599999999999"/>
    <n v="1234.9823999999999"/>
    <n v="834.98239999999987"/>
  </r>
  <r>
    <s v="ORD-00250"/>
    <s v="CUST-267"/>
    <s v="REP-23"/>
    <x v="8"/>
    <d v="2024-03-27T00:00:00"/>
    <x v="0"/>
    <s v="March"/>
    <s v="Wednesday"/>
    <d v="1899-12-30T09:27:40"/>
    <n v="9"/>
    <n v="27"/>
    <x v="1"/>
    <s v="Mobile Devices"/>
    <n v="13"/>
    <n v="722.27"/>
    <n v="300"/>
    <x v="1"/>
    <s v="noahkim@sales.techg.com"/>
    <x v="14"/>
    <x v="2"/>
    <n v="9389.51"/>
    <n v="3900"/>
    <n v="0.1"/>
    <n v="938.95100000000002"/>
    <n v="0.1"/>
    <n v="938.95100000000002"/>
    <n v="7511.6080000000011"/>
    <n v="3611.6080000000011"/>
  </r>
  <r>
    <s v="ORD-00251"/>
    <s v="CUST-213"/>
    <s v="REP-28"/>
    <x v="1"/>
    <d v="2024-11-07T00:00:00"/>
    <x v="0"/>
    <s v="November"/>
    <s v="Thursday"/>
    <d v="1899-12-30T11:20:01"/>
    <n v="11"/>
    <n v="20"/>
    <x v="1"/>
    <s v="Mobile Devices"/>
    <n v="7"/>
    <n v="535.78"/>
    <n v="300"/>
    <x v="0"/>
    <s v="mariagarcia@tg.inc"/>
    <x v="0"/>
    <x v="0"/>
    <n v="3750.46"/>
    <n v="2100"/>
    <n v="7.0000000000000007E-2"/>
    <n v="262.53220000000005"/>
    <n v="0.1"/>
    <n v="375.04600000000005"/>
    <n v="3112.8818000000001"/>
    <n v="1012.8818000000001"/>
  </r>
  <r>
    <s v="ORD-00252"/>
    <s v="CUST-450"/>
    <s v="REP-24"/>
    <x v="7"/>
    <d v="2025-10-17T00:00:00"/>
    <x v="3"/>
    <s v="October"/>
    <s v="Friday"/>
    <d v="1899-12-30T15:44:50"/>
    <n v="15"/>
    <n v="44"/>
    <x v="0"/>
    <s v="Computers"/>
    <n v="14"/>
    <n v="873.04"/>
    <n v="600"/>
    <x v="1"/>
    <s v="liamchen@sales.techg.com"/>
    <x v="5"/>
    <x v="2"/>
    <n v="12222.56"/>
    <n v="8400"/>
    <n v="0.1"/>
    <n v="1222.2560000000001"/>
    <n v="0.05"/>
    <n v="611.12800000000004"/>
    <n v="10389.175999999999"/>
    <n v="1989.1759999999995"/>
  </r>
  <r>
    <s v="ORD-00253"/>
    <s v="CUST-112"/>
    <s v="REP-13"/>
    <x v="0"/>
    <d v="2025-02-27T00:00:00"/>
    <x v="3"/>
    <s v="February"/>
    <s v="Thursday"/>
    <d v="1899-12-30T11:47:02"/>
    <n v="11"/>
    <n v="47"/>
    <x v="1"/>
    <s v="Mobile Devices"/>
    <n v="13"/>
    <n v="500"/>
    <n v="300"/>
    <x v="2"/>
    <s v="ahmedkhan@tg.inc"/>
    <x v="10"/>
    <x v="0"/>
    <n v="6500"/>
    <n v="3900"/>
    <n v="0.2"/>
    <n v="1300"/>
    <n v="0.1"/>
    <n v="650"/>
    <n v="4550"/>
    <n v="650"/>
  </r>
  <r>
    <s v="ORD-00254"/>
    <s v="CUST-662"/>
    <s v="REP-32"/>
    <x v="1"/>
    <d v="2024-02-06T00:00:00"/>
    <x v="0"/>
    <s v="February"/>
    <s v="Tuesday"/>
    <d v="1899-12-30T18:19:12"/>
    <n v="18"/>
    <n v="19"/>
    <x v="2"/>
    <s v="Tablets"/>
    <n v="14"/>
    <n v="514.65"/>
    <n v="200"/>
    <x v="2"/>
    <s v="mariagarcia@tg.inc"/>
    <x v="4"/>
    <x v="1"/>
    <n v="7205.0999999999995"/>
    <n v="2800"/>
    <n v="0.2"/>
    <n v="1441.02"/>
    <n v="0.08"/>
    <n v="576.40800000000002"/>
    <n v="5187.6719999999996"/>
    <n v="2387.6719999999996"/>
  </r>
  <r>
    <s v="ORD-00255"/>
    <s v="CUST-143"/>
    <s v="REP-34"/>
    <x v="2"/>
    <d v="2026-10-11T00:00:00"/>
    <x v="1"/>
    <s v="October"/>
    <s v="Sunday"/>
    <d v="1899-12-30T13:49:05"/>
    <n v="13"/>
    <n v="49"/>
    <x v="1"/>
    <s v="Mobile Devices"/>
    <n v="2"/>
    <n v="581.53"/>
    <n v="300"/>
    <x v="0"/>
    <s v="fatimaadebayo@sales.techg.com"/>
    <x v="4"/>
    <x v="1"/>
    <n v="1163.06"/>
    <n v="600"/>
    <n v="7.0000000000000007E-2"/>
    <n v="81.414200000000008"/>
    <n v="0.1"/>
    <n v="116.306"/>
    <n v="965.33979999999997"/>
    <n v="365.33979999999997"/>
  </r>
  <r>
    <s v="ORD-00256"/>
    <s v="CUST-907"/>
    <s v="REP-22"/>
    <x v="2"/>
    <d v="2024-01-31T00:00:00"/>
    <x v="0"/>
    <s v="January"/>
    <s v="Wednesday"/>
    <d v="1899-12-30T19:24:22"/>
    <n v="19"/>
    <n v="24"/>
    <x v="1"/>
    <s v="Mobile Devices"/>
    <n v="1"/>
    <n v="611.25"/>
    <n v="300"/>
    <x v="1"/>
    <s v="fatimaadebayo@sales.techg.com"/>
    <x v="1"/>
    <x v="0"/>
    <n v="611.25"/>
    <n v="300"/>
    <n v="0.1"/>
    <n v="61.125"/>
    <n v="0.1"/>
    <n v="61.125"/>
    <n v="489"/>
    <n v="189"/>
  </r>
  <r>
    <s v="ORD-00257"/>
    <s v="CUST-713"/>
    <s v="REP-33"/>
    <x v="0"/>
    <d v="2023-05-22T00:00:00"/>
    <x v="2"/>
    <s v="May"/>
    <s v="Monday"/>
    <d v="1899-12-30T15:18:52"/>
    <n v="15"/>
    <n v="18"/>
    <x v="2"/>
    <s v="Tablets"/>
    <n v="8"/>
    <n v="500"/>
    <n v="200"/>
    <x v="4"/>
    <s v="ahmedkhan@sales.techg.com"/>
    <x v="1"/>
    <x v="0"/>
    <n v="4000"/>
    <n v="1600"/>
    <n v="0.12"/>
    <n v="480"/>
    <n v="0.08"/>
    <n v="320"/>
    <n v="3200"/>
    <n v="1600"/>
  </r>
  <r>
    <s v="ORD-00258"/>
    <s v="CUST-774"/>
    <s v="REP-33"/>
    <x v="0"/>
    <d v="2024-01-24T00:00:00"/>
    <x v="0"/>
    <s v="January"/>
    <s v="Wednesday"/>
    <d v="1899-12-30T20:35:09"/>
    <n v="20"/>
    <n v="35"/>
    <x v="3"/>
    <s v="Wearables"/>
    <n v="7"/>
    <n v="188.15"/>
    <n v="150"/>
    <x v="4"/>
    <s v="ahmedkhan@tg.inc"/>
    <x v="9"/>
    <x v="0"/>
    <n v="1317.05"/>
    <n v="1050"/>
    <n v="0.12"/>
    <n v="158.04599999999999"/>
    <n v="7.0000000000000007E-2"/>
    <n v="92.1935"/>
    <n v="1066.8104999999998"/>
    <n v="16.81049999999982"/>
  </r>
  <r>
    <s v="ORD-00259"/>
    <s v="CUST-201"/>
    <s v="REP-11"/>
    <x v="3"/>
    <d v="2026-07-08T00:00:00"/>
    <x v="1"/>
    <s v="July"/>
    <s v="Wednesday"/>
    <d v="1899-12-30T18:31:33"/>
    <n v="18"/>
    <n v="31"/>
    <x v="3"/>
    <s v="Wearables"/>
    <n v="5"/>
    <n v="500"/>
    <n v="150"/>
    <x v="2"/>
    <s v="emmadubois@sales.techg.com"/>
    <x v="5"/>
    <x v="2"/>
    <n v="2500"/>
    <n v="750"/>
    <n v="0.2"/>
    <n v="500"/>
    <n v="7.0000000000000007E-2"/>
    <n v="175.00000000000003"/>
    <n v="1825"/>
    <n v="1075"/>
  </r>
  <r>
    <s v="ORD-00260"/>
    <s v="CUST-579"/>
    <s v="REP-11"/>
    <x v="3"/>
    <d v="2026-02-16T00:00:00"/>
    <x v="1"/>
    <s v="February"/>
    <s v="Monday"/>
    <d v="1899-12-30T21:23:50"/>
    <n v="21"/>
    <n v="23"/>
    <x v="0"/>
    <s v="Computers"/>
    <n v="5"/>
    <n v="1167.1500000000001"/>
    <n v="600"/>
    <x v="1"/>
    <s v="emmadubois@techgadgetsco.com"/>
    <x v="2"/>
    <x v="0"/>
    <n v="5835.75"/>
    <n v="3000"/>
    <n v="0.1"/>
    <n v="583.57500000000005"/>
    <n v="0.05"/>
    <n v="291.78750000000002"/>
    <n v="4960.3874999999998"/>
    <n v="1960.3874999999998"/>
  </r>
  <r>
    <s v="ORD-00261"/>
    <s v="CUST-638"/>
    <s v="REP-17"/>
    <x v="1"/>
    <d v="2026-02-17T00:00:00"/>
    <x v="1"/>
    <s v="February"/>
    <s v="Tuesday"/>
    <d v="1899-12-30T19:06:49"/>
    <n v="19"/>
    <n v="6"/>
    <x v="3"/>
    <s v="Wearables"/>
    <n v="8"/>
    <n v="222.98"/>
    <n v="150"/>
    <x v="0"/>
    <s v="mariagarcia@techgadgetsco.com"/>
    <x v="10"/>
    <x v="0"/>
    <n v="1783.84"/>
    <n v="1200"/>
    <n v="7.0000000000000007E-2"/>
    <n v="124.86880000000001"/>
    <n v="7.0000000000000007E-2"/>
    <n v="124.86880000000001"/>
    <n v="1534.1024"/>
    <n v="334.10239999999999"/>
  </r>
  <r>
    <s v="ORD-00262"/>
    <s v="CUST-460"/>
    <s v="REP-21"/>
    <x v="2"/>
    <d v="2024-10-26T00:00:00"/>
    <x v="0"/>
    <s v="October"/>
    <s v="Saturday"/>
    <d v="1899-12-30T14:48:40"/>
    <n v="14"/>
    <n v="48"/>
    <x v="4"/>
    <s v="Audio"/>
    <n v="6"/>
    <n v="162.24"/>
    <n v="50"/>
    <x v="2"/>
    <s v="fatimaadebayo@sales.techg.com"/>
    <x v="1"/>
    <x v="0"/>
    <n v="973.44"/>
    <n v="300"/>
    <n v="0.2"/>
    <n v="194.68800000000002"/>
    <n v="0.03"/>
    <n v="29.203199999999999"/>
    <n v="749.54880000000003"/>
    <n v="449.54880000000003"/>
  </r>
  <r>
    <s v="ORD-00263"/>
    <s v="CUST-843"/>
    <s v="REP-11"/>
    <x v="3"/>
    <d v="2026-05-05T00:00:00"/>
    <x v="1"/>
    <s v="May"/>
    <s v="Tuesday"/>
    <d v="1899-12-30T16:08:56"/>
    <n v="16"/>
    <n v="8"/>
    <x v="2"/>
    <s v="Tablets"/>
    <n v="7"/>
    <n v="362.96"/>
    <n v="200"/>
    <x v="1"/>
    <s v="emmadubois@techgadgetsco.com"/>
    <x v="4"/>
    <x v="1"/>
    <n v="2540.7199999999998"/>
    <n v="1400"/>
    <n v="0.1"/>
    <n v="254.072"/>
    <n v="0.08"/>
    <n v="203.2576"/>
    <n v="2083.3903999999998"/>
    <n v="683.39039999999977"/>
  </r>
  <r>
    <s v="ORD-00264"/>
    <s v="CUST-685"/>
    <s v="REP-14"/>
    <x v="1"/>
    <d v="2023-03-19T00:00:00"/>
    <x v="2"/>
    <s v="March"/>
    <s v="Sunday"/>
    <d v="1899-12-30T13:09:08"/>
    <n v="13"/>
    <n v="9"/>
    <x v="2"/>
    <s v="Tablets"/>
    <n v="10"/>
    <n v="371.25"/>
    <n v="200"/>
    <x v="1"/>
    <s v="mariagarcia@techgadgetsco.com"/>
    <x v="15"/>
    <x v="0"/>
    <n v="3712.5"/>
    <n v="2000"/>
    <n v="0.1"/>
    <n v="371.25"/>
    <n v="0.08"/>
    <n v="297"/>
    <n v="3044.25"/>
    <n v="1044.25"/>
  </r>
  <r>
    <s v="ORD-00265"/>
    <s v="CUST-945"/>
    <s v="REP-34"/>
    <x v="2"/>
    <d v="2026-04-05T00:00:00"/>
    <x v="1"/>
    <s v="April"/>
    <s v="Sunday"/>
    <d v="1899-12-30T08:46:51"/>
    <n v="8"/>
    <n v="46"/>
    <x v="3"/>
    <s v="Wearables"/>
    <n v="13"/>
    <n v="500"/>
    <n v="150"/>
    <x v="1"/>
    <s v="fatimaadebayo@tg.inc"/>
    <x v="2"/>
    <x v="0"/>
    <n v="6500"/>
    <n v="1950"/>
    <n v="0.1"/>
    <n v="650"/>
    <n v="7.0000000000000007E-2"/>
    <n v="455.00000000000006"/>
    <n v="5395"/>
    <n v="3445"/>
  </r>
  <r>
    <s v="ORD-00266"/>
    <s v="CUST-716"/>
    <s v="REP-10"/>
    <x v="3"/>
    <d v="2026-07-18T00:00:00"/>
    <x v="1"/>
    <s v="July"/>
    <s v="Saturday"/>
    <d v="1899-12-30T08:19:33"/>
    <n v="8"/>
    <n v="19"/>
    <x v="0"/>
    <s v="Computers"/>
    <n v="10"/>
    <n v="1051.2"/>
    <n v="600"/>
    <x v="2"/>
    <s v="emmadubois@sales.techg.com"/>
    <x v="6"/>
    <x v="0"/>
    <n v="10512"/>
    <n v="6000"/>
    <n v="0.2"/>
    <n v="2102.4"/>
    <n v="0.05"/>
    <n v="525.6"/>
    <n v="7884"/>
    <n v="1884"/>
  </r>
  <r>
    <s v="ORD-00267"/>
    <s v="CUST-542"/>
    <s v="REP-20"/>
    <x v="4"/>
    <d v="2023-10-31T00:00:00"/>
    <x v="2"/>
    <s v="October"/>
    <s v="Tuesday"/>
    <d v="1899-12-30T13:05:30"/>
    <n v="13"/>
    <n v="5"/>
    <x v="3"/>
    <s v="Wearables"/>
    <n v="9"/>
    <n v="185.36"/>
    <n v="150"/>
    <x v="4"/>
    <s v="sophielee@sales.techg.com"/>
    <x v="7"/>
    <x v="0"/>
    <n v="1668.2400000000002"/>
    <n v="1350"/>
    <n v="0.12"/>
    <n v="200.18880000000001"/>
    <n v="7.0000000000000007E-2"/>
    <n v="116.77680000000002"/>
    <n v="1351.2744000000002"/>
    <n v="1.2744000000002416"/>
  </r>
  <r>
    <s v="ORD-00268"/>
    <s v="CUST-300"/>
    <s v="REP-33"/>
    <x v="0"/>
    <d v="2024-11-05T00:00:00"/>
    <x v="0"/>
    <s v="November"/>
    <s v="Tuesday"/>
    <d v="1899-12-30T12:49:27"/>
    <n v="12"/>
    <n v="49"/>
    <x v="2"/>
    <s v="Tablets"/>
    <n v="10"/>
    <n v="500"/>
    <n v="200"/>
    <x v="3"/>
    <s v="ahmedkhan@sales.techg.com"/>
    <x v="0"/>
    <x v="0"/>
    <n v="5000"/>
    <n v="2000"/>
    <n v="0.15"/>
    <n v="750"/>
    <n v="0.08"/>
    <n v="400"/>
    <n v="3850"/>
    <n v="1850"/>
  </r>
  <r>
    <s v="ORD-00269"/>
    <s v="CUST-941"/>
    <s v="REP-28"/>
    <x v="1"/>
    <d v="2025-06-21T00:00:00"/>
    <x v="3"/>
    <s v="June"/>
    <s v="Saturday"/>
    <d v="1899-12-30T21:14:12"/>
    <n v="21"/>
    <n v="14"/>
    <x v="2"/>
    <s v="Tablets"/>
    <n v="12"/>
    <n v="342.47"/>
    <n v="200"/>
    <x v="0"/>
    <s v="mariagarcia@sales.techg.com"/>
    <x v="4"/>
    <x v="1"/>
    <n v="4109.6400000000003"/>
    <n v="2400"/>
    <n v="7.0000000000000007E-2"/>
    <n v="287.67480000000006"/>
    <n v="0.08"/>
    <n v="328.77120000000002"/>
    <n v="3493.194"/>
    <n v="1093.194"/>
  </r>
  <r>
    <s v="ORD-00270"/>
    <s v="CUST-560"/>
    <s v="REP-29"/>
    <x v="4"/>
    <d v="2024-10-11T00:00:00"/>
    <x v="0"/>
    <s v="October"/>
    <s v="Friday"/>
    <d v="1899-12-30T19:34:13"/>
    <n v="19"/>
    <n v="34"/>
    <x v="1"/>
    <s v="Mobile Devices"/>
    <n v="13"/>
    <n v="624.91"/>
    <n v="300"/>
    <x v="2"/>
    <s v="sophielee@tg.inc"/>
    <x v="4"/>
    <x v="1"/>
    <n v="8123.83"/>
    <n v="3900"/>
    <n v="0.2"/>
    <n v="1624.7660000000001"/>
    <n v="0.1"/>
    <n v="812.38300000000004"/>
    <n v="5686.6810000000005"/>
    <n v="1786.6810000000005"/>
  </r>
  <r>
    <s v="ORD-00271"/>
    <s v="CUST-908"/>
    <s v="REP-35"/>
    <x v="6"/>
    <d v="2023-04-19T00:00:00"/>
    <x v="2"/>
    <s v="April"/>
    <s v="Wednesday"/>
    <d v="1899-12-30T18:00:04"/>
    <n v="18"/>
    <n v="0"/>
    <x v="4"/>
    <s v="Audio"/>
    <n v="11"/>
    <n v="169.51"/>
    <n v="50"/>
    <x v="0"/>
    <s v="carlosrodriguez@techgadgetsco.com"/>
    <x v="3"/>
    <x v="0"/>
    <n v="1864.61"/>
    <n v="550"/>
    <n v="7.0000000000000007E-2"/>
    <n v="130.52270000000001"/>
    <n v="0.03"/>
    <n v="55.938299999999998"/>
    <n v="1678.1489999999999"/>
    <n v="1128.1489999999999"/>
  </r>
  <r>
    <s v="ORD-00272"/>
    <s v="CUST-423"/>
    <s v="REP-29"/>
    <x v="4"/>
    <d v="2024-01-17T00:00:00"/>
    <x v="0"/>
    <s v="January"/>
    <s v="Wednesday"/>
    <d v="1899-12-30T16:29:35"/>
    <n v="16"/>
    <n v="29"/>
    <x v="0"/>
    <s v="Computers"/>
    <n v="7"/>
    <n v="952.46"/>
    <n v="600"/>
    <x v="3"/>
    <s v="sophielee@tg.inc"/>
    <x v="1"/>
    <x v="0"/>
    <n v="6667.22"/>
    <n v="4200"/>
    <n v="0.15"/>
    <n v="1000.083"/>
    <n v="0.05"/>
    <n v="333.36100000000005"/>
    <n v="5333.7760000000007"/>
    <n v="1133.7760000000007"/>
  </r>
  <r>
    <s v="ORD-00273"/>
    <s v="CUST-613"/>
    <s v="REP-18"/>
    <x v="8"/>
    <d v="2026-05-07T00:00:00"/>
    <x v="1"/>
    <s v="May"/>
    <s v="Thursday"/>
    <d v="1899-12-30T14:56:52"/>
    <n v="14"/>
    <n v="56"/>
    <x v="0"/>
    <s v="Computers"/>
    <n v="5"/>
    <n v="970.89"/>
    <n v="600"/>
    <x v="3"/>
    <s v="noahkim@tg.inc"/>
    <x v="3"/>
    <x v="0"/>
    <n v="4854.45"/>
    <n v="3000"/>
    <n v="0.15"/>
    <n v="728.1674999999999"/>
    <n v="0.05"/>
    <n v="242.7225"/>
    <n v="3883.5600000000004"/>
    <n v="883.5600000000004"/>
  </r>
  <r>
    <s v="ORD-00274"/>
    <s v="CUST-419"/>
    <s v="REP-35"/>
    <x v="6"/>
    <d v="2025-08-07T00:00:00"/>
    <x v="3"/>
    <s v="August"/>
    <s v="Thursday"/>
    <d v="1899-12-30T11:41:08"/>
    <n v="11"/>
    <n v="41"/>
    <x v="3"/>
    <s v="Wearables"/>
    <n v="13"/>
    <n v="191.19"/>
    <n v="150"/>
    <x v="4"/>
    <s v="carlosrodriguez@techgadgetsco.com"/>
    <x v="8"/>
    <x v="1"/>
    <n v="2485.4699999999998"/>
    <n v="1950"/>
    <n v="0.12"/>
    <n v="298.25639999999999"/>
    <n v="7.0000000000000007E-2"/>
    <n v="173.9829"/>
    <n v="2013.2307000000001"/>
    <n v="63.23070000000007"/>
  </r>
  <r>
    <s v="ORD-00275"/>
    <s v="CUST-169"/>
    <s v="REP-33"/>
    <x v="0"/>
    <d v="2024-01-13T00:00:00"/>
    <x v="0"/>
    <s v="January"/>
    <s v="Saturday"/>
    <d v="1899-12-30T21:56:09"/>
    <n v="21"/>
    <n v="56"/>
    <x v="0"/>
    <s v="Computers"/>
    <n v="15"/>
    <n v="1280.5999999999999"/>
    <n v="600"/>
    <x v="1"/>
    <s v="ahmedkhan@sales.techg.com"/>
    <x v="4"/>
    <x v="1"/>
    <n v="19209"/>
    <n v="9000"/>
    <n v="0.1"/>
    <n v="1920.9"/>
    <n v="0.05"/>
    <n v="960.45"/>
    <n v="16327.649999999998"/>
    <n v="7327.6499999999978"/>
  </r>
  <r>
    <s v="ORD-00276"/>
    <s v="CUST-126"/>
    <s v="REP-35"/>
    <x v="6"/>
    <d v="2024-06-30T00:00:00"/>
    <x v="0"/>
    <s v="June"/>
    <s v="Sunday"/>
    <d v="1899-12-30T17:14:14"/>
    <n v="17"/>
    <n v="14"/>
    <x v="0"/>
    <s v="Computers"/>
    <n v="12"/>
    <n v="867.04"/>
    <n v="600"/>
    <x v="4"/>
    <s v="carlosrodriguez@tg.inc"/>
    <x v="11"/>
    <x v="0"/>
    <n v="10404.48"/>
    <n v="7200"/>
    <n v="0.12"/>
    <n v="1248.5375999999999"/>
    <n v="0.05"/>
    <n v="520.22400000000005"/>
    <n v="8635.7183999999997"/>
    <n v="1435.7183999999997"/>
  </r>
  <r>
    <s v="ORD-00277"/>
    <s v="CUST-133"/>
    <s v="REP-24"/>
    <x v="7"/>
    <d v="2024-06-07T00:00:00"/>
    <x v="0"/>
    <s v="June"/>
    <s v="Friday"/>
    <d v="1899-12-30T11:47:42"/>
    <n v="11"/>
    <n v="47"/>
    <x v="1"/>
    <s v="Mobile Devices"/>
    <n v="2"/>
    <n v="766.41"/>
    <n v="300"/>
    <x v="3"/>
    <s v="liamchen@techgadgetsco.com"/>
    <x v="6"/>
    <x v="0"/>
    <n v="1532.82"/>
    <n v="600"/>
    <n v="0.15"/>
    <n v="229.92299999999997"/>
    <n v="0.1"/>
    <n v="153.28200000000001"/>
    <n v="1149.615"/>
    <n v="549.61500000000001"/>
  </r>
  <r>
    <s v="ORD-00278"/>
    <s v="CUST-722"/>
    <s v="REP-23"/>
    <x v="8"/>
    <d v="2025-03-18T00:00:00"/>
    <x v="3"/>
    <s v="March"/>
    <s v="Tuesday"/>
    <d v="1899-12-30T16:06:28"/>
    <n v="16"/>
    <n v="6"/>
    <x v="4"/>
    <s v="Audio"/>
    <n v="1"/>
    <n v="138.43"/>
    <n v="50"/>
    <x v="4"/>
    <s v="noahkim@sales.techg.com"/>
    <x v="13"/>
    <x v="0"/>
    <n v="138.43"/>
    <n v="50"/>
    <n v="0.12"/>
    <n v="16.611599999999999"/>
    <n v="0.03"/>
    <n v="4.1528999999999998"/>
    <n v="117.66550000000001"/>
    <n v="67.665500000000009"/>
  </r>
  <r>
    <s v="ORD-00279"/>
    <s v="CUST-550"/>
    <s v="REP-23"/>
    <x v="8"/>
    <d v="2024-08-08T00:00:00"/>
    <x v="0"/>
    <s v="August"/>
    <s v="Thursday"/>
    <d v="1899-12-30T10:27:18"/>
    <n v="10"/>
    <n v="27"/>
    <x v="3"/>
    <s v="Wearables"/>
    <n v="12"/>
    <n v="191.65"/>
    <n v="150"/>
    <x v="3"/>
    <s v="noahkim@sales.techg.com"/>
    <x v="8"/>
    <x v="1"/>
    <n v="2299.8000000000002"/>
    <n v="1800"/>
    <n v="0.15"/>
    <n v="344.97"/>
    <n v="7.0000000000000007E-2"/>
    <n v="160.98600000000002"/>
    <n v="1793.8440000000001"/>
    <n v="-6.1559999999999491"/>
  </r>
  <r>
    <s v="ORD-00280"/>
    <s v="CUST-564"/>
    <s v="REP-34"/>
    <x v="2"/>
    <d v="2025-07-20T00:00:00"/>
    <x v="3"/>
    <s v="July"/>
    <s v="Sunday"/>
    <d v="1899-12-30T12:20:44"/>
    <n v="12"/>
    <n v="20"/>
    <x v="1"/>
    <s v="Mobile Devices"/>
    <n v="2"/>
    <n v="500"/>
    <n v="300"/>
    <x v="3"/>
    <s v="fatimaadebayo@tg.inc"/>
    <x v="13"/>
    <x v="0"/>
    <n v="1000"/>
    <n v="600"/>
    <n v="0.15"/>
    <n v="150"/>
    <n v="0.1"/>
    <n v="100"/>
    <n v="750"/>
    <n v="150"/>
  </r>
  <r>
    <s v="ORD-00281"/>
    <s v="CUST-144"/>
    <s v="REP-15"/>
    <x v="4"/>
    <d v="2026-04-03T00:00:00"/>
    <x v="1"/>
    <s v="April"/>
    <s v="Friday"/>
    <d v="1899-12-30T10:55:09"/>
    <n v="10"/>
    <n v="55"/>
    <x v="1"/>
    <s v="Mobile Devices"/>
    <n v="1"/>
    <n v="572.86"/>
    <n v="300"/>
    <x v="3"/>
    <s v="sophielee@tg.inc"/>
    <x v="4"/>
    <x v="1"/>
    <n v="572.86"/>
    <n v="300"/>
    <n v="0.15"/>
    <n v="85.929000000000002"/>
    <n v="0.1"/>
    <n v="57.286000000000001"/>
    <n v="429.64500000000004"/>
    <n v="129.64500000000004"/>
  </r>
  <r>
    <s v="ORD-00282"/>
    <s v="CUST-609"/>
    <s v="REP-29"/>
    <x v="4"/>
    <d v="2026-05-30T00:00:00"/>
    <x v="1"/>
    <s v="May"/>
    <s v="Saturday"/>
    <d v="1899-12-30T11:13:37"/>
    <n v="11"/>
    <n v="13"/>
    <x v="4"/>
    <s v="Audio"/>
    <n v="8"/>
    <n v="500"/>
    <n v="50"/>
    <x v="4"/>
    <s v="sophielee@tg.inc"/>
    <x v="4"/>
    <x v="1"/>
    <n v="4000"/>
    <n v="400"/>
    <n v="0.12"/>
    <n v="480"/>
    <n v="0.03"/>
    <n v="120"/>
    <n v="3400"/>
    <n v="3000"/>
  </r>
  <r>
    <s v="ORD-00283"/>
    <s v="CUST-137"/>
    <s v="REP-14"/>
    <x v="1"/>
    <d v="2026-09-28T00:00:00"/>
    <x v="1"/>
    <s v="September"/>
    <s v="Monday"/>
    <d v="1899-12-30T13:58:05"/>
    <n v="13"/>
    <n v="58"/>
    <x v="0"/>
    <s v="Computers"/>
    <n v="3"/>
    <n v="942.19"/>
    <n v="600"/>
    <x v="4"/>
    <s v="mariagarcia@techgadgetsco.com"/>
    <x v="1"/>
    <x v="0"/>
    <n v="2826.57"/>
    <n v="1800"/>
    <n v="0.12"/>
    <n v="339.1884"/>
    <n v="0.05"/>
    <n v="141.32850000000002"/>
    <n v="2346.0531000000001"/>
    <n v="546.05310000000009"/>
  </r>
  <r>
    <s v="ORD-00284"/>
    <s v="CUST-477"/>
    <s v="REP-23"/>
    <x v="8"/>
    <d v="2025-05-25T00:00:00"/>
    <x v="3"/>
    <s v="May"/>
    <s v="Sunday"/>
    <d v="1899-12-30T12:30:08"/>
    <n v="12"/>
    <n v="30"/>
    <x v="0"/>
    <s v="Computers"/>
    <n v="5"/>
    <n v="1006.88"/>
    <n v="600"/>
    <x v="2"/>
    <s v="noahkim@tg.inc"/>
    <x v="13"/>
    <x v="0"/>
    <n v="5034.3999999999996"/>
    <n v="3000"/>
    <n v="0.2"/>
    <n v="1006.88"/>
    <n v="0.05"/>
    <n v="251.72"/>
    <n v="3775.7999999999997"/>
    <n v="775.79999999999973"/>
  </r>
  <r>
    <s v="ORD-00285"/>
    <s v="CUST-907"/>
    <s v="REP-20"/>
    <x v="4"/>
    <d v="2026-05-31T00:00:00"/>
    <x v="1"/>
    <s v="May"/>
    <s v="Sunday"/>
    <d v="1899-12-30T12:33:36"/>
    <n v="12"/>
    <n v="33"/>
    <x v="3"/>
    <s v="Wearables"/>
    <n v="3"/>
    <n v="230.6"/>
    <n v="150"/>
    <x v="3"/>
    <s v="sophielee@sales.techg.com"/>
    <x v="4"/>
    <x v="1"/>
    <n v="691.8"/>
    <n v="450"/>
    <n v="0.15"/>
    <n v="103.77"/>
    <n v="7.0000000000000007E-2"/>
    <n v="48.426000000000002"/>
    <n v="539.60399999999993"/>
    <n v="89.603999999999928"/>
  </r>
  <r>
    <s v="ORD-00286"/>
    <s v="CUST-740"/>
    <s v="REP-13"/>
    <x v="0"/>
    <d v="2026-06-14T00:00:00"/>
    <x v="1"/>
    <s v="June"/>
    <s v="Sunday"/>
    <d v="1899-12-30T14:02:21"/>
    <n v="14"/>
    <n v="2"/>
    <x v="2"/>
    <s v="Tablets"/>
    <n v="11"/>
    <n v="448.12"/>
    <n v="200"/>
    <x v="1"/>
    <s v="ahmedkhan@tg.inc"/>
    <x v="10"/>
    <x v="0"/>
    <n v="4929.32"/>
    <n v="2200"/>
    <n v="0.1"/>
    <n v="492.93200000000002"/>
    <n v="0.08"/>
    <n v="394.34559999999999"/>
    <n v="4042.0423999999998"/>
    <n v="1842.0423999999998"/>
  </r>
  <r>
    <s v="ORD-00287"/>
    <s v="CUST-505"/>
    <s v="REP-34"/>
    <x v="2"/>
    <d v="2023-12-26T00:00:00"/>
    <x v="2"/>
    <s v="December"/>
    <s v="Tuesday"/>
    <d v="1899-12-30T13:53:21"/>
    <n v="13"/>
    <n v="53"/>
    <x v="4"/>
    <s v="Audio"/>
    <n v="13"/>
    <n v="500"/>
    <n v="50"/>
    <x v="2"/>
    <s v="fatimaadebayo@tg.inc"/>
    <x v="10"/>
    <x v="0"/>
    <n v="6500"/>
    <n v="650"/>
    <n v="0.2"/>
    <n v="1300"/>
    <n v="0.03"/>
    <n v="195"/>
    <n v="5005"/>
    <n v="4355"/>
  </r>
  <r>
    <s v="ORD-00288"/>
    <s v="CUST-157"/>
    <s v="REP-32"/>
    <x v="1"/>
    <d v="2026-03-03T00:00:00"/>
    <x v="1"/>
    <s v="March"/>
    <s v="Tuesday"/>
    <d v="1899-12-30T16:34:01"/>
    <n v="16"/>
    <n v="34"/>
    <x v="1"/>
    <s v="Mobile Devices"/>
    <n v="6"/>
    <n v="746.41"/>
    <n v="300"/>
    <x v="1"/>
    <s v="mariagarcia@techgadgetsco.com"/>
    <x v="10"/>
    <x v="0"/>
    <n v="4478.46"/>
    <n v="1800"/>
    <n v="0.1"/>
    <n v="447.846"/>
    <n v="0.1"/>
    <n v="447.846"/>
    <n v="3582.768"/>
    <n v="1782.768"/>
  </r>
  <r>
    <s v="ORD-00289"/>
    <s v="CUST-684"/>
    <s v="REP-35"/>
    <x v="6"/>
    <d v="2024-01-19T00:00:00"/>
    <x v="0"/>
    <s v="January"/>
    <s v="Friday"/>
    <d v="1899-12-30T21:50:48"/>
    <n v="21"/>
    <n v="50"/>
    <x v="2"/>
    <s v="Tablets"/>
    <n v="6"/>
    <n v="374.3"/>
    <n v="200"/>
    <x v="0"/>
    <s v="carlosrodriguez@techgadgetsco.com"/>
    <x v="4"/>
    <x v="1"/>
    <n v="2245.8000000000002"/>
    <n v="1200"/>
    <n v="7.0000000000000007E-2"/>
    <n v="157.20600000000002"/>
    <n v="0.08"/>
    <n v="179.66400000000002"/>
    <n v="1908.93"/>
    <n v="708.93000000000006"/>
  </r>
  <r>
    <s v="ORD-00290"/>
    <s v="CUST-903"/>
    <s v="REP-11"/>
    <x v="3"/>
    <d v="2023-09-07T00:00:00"/>
    <x v="2"/>
    <s v="September"/>
    <s v="Thursday"/>
    <d v="1899-12-30T16:01:51"/>
    <n v="16"/>
    <n v="1"/>
    <x v="4"/>
    <s v="Audio"/>
    <n v="3"/>
    <n v="189.27"/>
    <n v="50"/>
    <x v="4"/>
    <s v="emmadubois@tg.inc"/>
    <x v="2"/>
    <x v="0"/>
    <n v="567.81000000000006"/>
    <n v="150"/>
    <n v="0.12"/>
    <n v="68.137200000000007"/>
    <n v="0.03"/>
    <n v="17.034300000000002"/>
    <n v="482.63850000000002"/>
    <n v="332.63850000000002"/>
  </r>
  <r>
    <s v="ORD-00291"/>
    <s v="CUST-235"/>
    <s v="REP-16"/>
    <x v="4"/>
    <d v="2025-07-29T00:00:00"/>
    <x v="3"/>
    <s v="July"/>
    <s v="Tuesday"/>
    <d v="1899-12-30T19:55:33"/>
    <n v="19"/>
    <n v="55"/>
    <x v="0"/>
    <s v="Computers"/>
    <n v="7"/>
    <n v="1143.53"/>
    <n v="600"/>
    <x v="4"/>
    <s v="sophielee@sales.techg.com"/>
    <x v="2"/>
    <x v="0"/>
    <n v="8004.71"/>
    <n v="4200"/>
    <n v="0.12"/>
    <n v="960.5652"/>
    <n v="0.05"/>
    <n v="400.2355"/>
    <n v="6643.9093000000003"/>
    <n v="2443.9093000000003"/>
  </r>
  <r>
    <s v="ORD-00292"/>
    <s v="CUST-691"/>
    <s v="REP-20"/>
    <x v="4"/>
    <d v="2024-10-19T00:00:00"/>
    <x v="0"/>
    <s v="October"/>
    <s v="Saturday"/>
    <d v="1899-12-30T11:18:17"/>
    <n v="11"/>
    <n v="18"/>
    <x v="3"/>
    <s v="Wearables"/>
    <n v="8"/>
    <n v="205.99"/>
    <n v="150"/>
    <x v="2"/>
    <s v="sophielee@techgadgetsco.com"/>
    <x v="4"/>
    <x v="1"/>
    <n v="1647.92"/>
    <n v="1200"/>
    <n v="0.2"/>
    <n v="329.58400000000006"/>
    <n v="7.0000000000000007E-2"/>
    <n v="115.35440000000001"/>
    <n v="1202.9816000000001"/>
    <n v="2.9816000000000713"/>
  </r>
  <r>
    <s v="ORD-00293"/>
    <s v="CUST-377"/>
    <s v="REP-14"/>
    <x v="1"/>
    <d v="2024-03-08T00:00:00"/>
    <x v="0"/>
    <s v="March"/>
    <s v="Friday"/>
    <d v="1899-12-30T10:04:19"/>
    <n v="10"/>
    <n v="4"/>
    <x v="3"/>
    <s v="Wearables"/>
    <n v="9"/>
    <n v="190.31"/>
    <n v="150"/>
    <x v="3"/>
    <s v="mariagarcia@tg.inc"/>
    <x v="15"/>
    <x v="0"/>
    <n v="1712.79"/>
    <n v="1350"/>
    <n v="0.15"/>
    <n v="256.91849999999999"/>
    <n v="7.0000000000000007E-2"/>
    <n v="119.89530000000001"/>
    <n v="1335.9762000000001"/>
    <n v="-14.023799999999937"/>
  </r>
  <r>
    <s v="ORD-00294"/>
    <s v="CUST-706"/>
    <s v="REP-28"/>
    <x v="1"/>
    <d v="2024-01-10T00:00:00"/>
    <x v="0"/>
    <s v="January"/>
    <s v="Wednesday"/>
    <d v="1899-12-30T21:12:45"/>
    <n v="21"/>
    <n v="12"/>
    <x v="3"/>
    <s v="Wearables"/>
    <n v="7"/>
    <n v="260.08999999999997"/>
    <n v="150"/>
    <x v="4"/>
    <s v="mariagarcia@tg.inc"/>
    <x v="4"/>
    <x v="1"/>
    <n v="1820.6299999999999"/>
    <n v="1050"/>
    <n v="0.12"/>
    <n v="218.47559999999999"/>
    <n v="7.0000000000000007E-2"/>
    <n v="127.44410000000001"/>
    <n v="1474.7103"/>
    <n v="424.71029999999996"/>
  </r>
  <r>
    <s v="ORD-00295"/>
    <s v="CUST-884"/>
    <s v="REP-28"/>
    <x v="1"/>
    <d v="2024-04-19T00:00:00"/>
    <x v="0"/>
    <s v="April"/>
    <s v="Friday"/>
    <d v="1899-12-30T10:55:57"/>
    <n v="10"/>
    <n v="55"/>
    <x v="3"/>
    <s v="Wearables"/>
    <n v="6"/>
    <n v="252.96"/>
    <n v="150"/>
    <x v="1"/>
    <s v="mariagarcia@tg.inc"/>
    <x v="4"/>
    <x v="1"/>
    <n v="1517.76"/>
    <n v="900"/>
    <n v="0.1"/>
    <n v="151.77600000000001"/>
    <n v="7.0000000000000007E-2"/>
    <n v="106.24320000000002"/>
    <n v="1259.7407999999998"/>
    <n v="359.74079999999981"/>
  </r>
  <r>
    <s v="ORD-00296"/>
    <s v="CUST-966"/>
    <s v="REP-15"/>
    <x v="4"/>
    <d v="2024-12-14T00:00:00"/>
    <x v="0"/>
    <s v="December"/>
    <s v="Saturday"/>
    <d v="1899-12-30T16:06:25"/>
    <n v="16"/>
    <n v="6"/>
    <x v="0"/>
    <s v="Computers"/>
    <n v="11"/>
    <n v="500"/>
    <n v="600"/>
    <x v="1"/>
    <s v="sophielee@tg.inc"/>
    <x v="3"/>
    <x v="0"/>
    <n v="5500"/>
    <n v="6600"/>
    <n v="0.1"/>
    <n v="550"/>
    <n v="0.05"/>
    <n v="275"/>
    <n v="4675"/>
    <n v="-1925"/>
  </r>
  <r>
    <s v="ORD-00297"/>
    <s v="CUST-448"/>
    <s v="REP-16"/>
    <x v="4"/>
    <d v="2025-10-06T00:00:00"/>
    <x v="3"/>
    <s v="October"/>
    <s v="Monday"/>
    <d v="1899-12-30T16:44:15"/>
    <n v="16"/>
    <n v="44"/>
    <x v="1"/>
    <s v="Mobile Devices"/>
    <n v="2"/>
    <n v="693.57"/>
    <n v="300"/>
    <x v="3"/>
    <s v="sophielee@techgadgetsco.com"/>
    <x v="2"/>
    <x v="0"/>
    <n v="1387.14"/>
    <n v="600"/>
    <n v="0.15"/>
    <n v="208.071"/>
    <n v="0.1"/>
    <n v="138.71400000000003"/>
    <n v="1040.3550000000002"/>
    <n v="440.35500000000025"/>
  </r>
  <r>
    <s v="ORD-00298"/>
    <s v="CUST-171"/>
    <s v="REP-35"/>
    <x v="6"/>
    <d v="2026-04-11T00:00:00"/>
    <x v="1"/>
    <s v="April"/>
    <s v="Saturday"/>
    <d v="1899-12-30T13:31:41"/>
    <n v="13"/>
    <n v="31"/>
    <x v="0"/>
    <s v="Computers"/>
    <n v="7"/>
    <n v="1243.6300000000001"/>
    <n v="600"/>
    <x v="0"/>
    <s v="carlosrodriguez@sales.techg.com"/>
    <x v="4"/>
    <x v="1"/>
    <n v="8705.41"/>
    <n v="4200"/>
    <n v="7.0000000000000007E-2"/>
    <n v="609.37870000000009"/>
    <n v="0.05"/>
    <n v="435.27050000000003"/>
    <n v="7660.7608"/>
    <n v="3460.7608"/>
  </r>
  <r>
    <s v="ORD-00299"/>
    <s v="CUST-797"/>
    <s v="REP-21"/>
    <x v="2"/>
    <d v="2026-03-13T00:00:00"/>
    <x v="1"/>
    <s v="March"/>
    <s v="Friday"/>
    <d v="1899-12-30T14:45:58"/>
    <n v="14"/>
    <n v="45"/>
    <x v="2"/>
    <s v="Tablets"/>
    <n v="10"/>
    <n v="500"/>
    <n v="200"/>
    <x v="4"/>
    <s v="fatimaadebayo@techgadgetsco.com"/>
    <x v="1"/>
    <x v="0"/>
    <n v="5000"/>
    <n v="2000"/>
    <n v="0.12"/>
    <n v="600"/>
    <n v="0.08"/>
    <n v="400"/>
    <n v="4000"/>
    <n v="2000"/>
  </r>
  <r>
    <s v="ORD-00300"/>
    <s v="CUST-673"/>
    <s v="REP-22"/>
    <x v="2"/>
    <d v="2024-07-31T00:00:00"/>
    <x v="0"/>
    <s v="July"/>
    <s v="Wednesday"/>
    <d v="1899-12-30T11:27:44"/>
    <n v="11"/>
    <n v="27"/>
    <x v="3"/>
    <s v="Wearables"/>
    <n v="6"/>
    <n v="220.66"/>
    <n v="150"/>
    <x v="3"/>
    <s v="fatimaadebayo@tg.inc"/>
    <x v="5"/>
    <x v="2"/>
    <n v="1323.96"/>
    <n v="900"/>
    <n v="0.15"/>
    <n v="198.59399999999999"/>
    <n v="7.0000000000000007E-2"/>
    <n v="92.677200000000013"/>
    <n v="1032.6887999999999"/>
    <n v="132.6887999999999"/>
  </r>
  <r>
    <s v="ORD-00301"/>
    <s v="CUST-527"/>
    <s v="REP-14"/>
    <x v="1"/>
    <d v="2026-04-10T00:00:00"/>
    <x v="1"/>
    <s v="April"/>
    <s v="Friday"/>
    <d v="1899-12-30T10:00:04"/>
    <n v="10"/>
    <n v="0"/>
    <x v="0"/>
    <s v="Computers"/>
    <n v="15"/>
    <n v="1018.37"/>
    <n v="600"/>
    <x v="2"/>
    <s v="mariagarcia@sales.techg.com"/>
    <x v="6"/>
    <x v="0"/>
    <n v="15275.55"/>
    <n v="9000"/>
    <n v="0.2"/>
    <n v="3055.11"/>
    <n v="0.05"/>
    <n v="763.77750000000003"/>
    <n v="11456.662499999999"/>
    <n v="2456.6624999999985"/>
  </r>
  <r>
    <s v="ORD-00302"/>
    <s v="CUST-738"/>
    <s v="REP-15"/>
    <x v="4"/>
    <d v="2025-09-11T00:00:00"/>
    <x v="3"/>
    <s v="September"/>
    <s v="Thursday"/>
    <d v="1899-12-30T16:52:28"/>
    <n v="16"/>
    <n v="52"/>
    <x v="4"/>
    <s v="Audio"/>
    <n v="3"/>
    <n v="120.56"/>
    <n v="50"/>
    <x v="3"/>
    <s v="sophielee@tg.inc"/>
    <x v="14"/>
    <x v="2"/>
    <n v="361.68"/>
    <n v="150"/>
    <n v="0.15"/>
    <n v="54.252000000000002"/>
    <n v="0.03"/>
    <n v="10.8504"/>
    <n v="296.57760000000002"/>
    <n v="146.57760000000002"/>
  </r>
  <r>
    <s v="ORD-00303"/>
    <s v="CUST-138"/>
    <s v="REP-34"/>
    <x v="2"/>
    <d v="2026-12-14T00:00:00"/>
    <x v="1"/>
    <s v="December"/>
    <s v="Monday"/>
    <d v="1899-12-30T09:37:30"/>
    <n v="9"/>
    <n v="37"/>
    <x v="0"/>
    <s v="Computers"/>
    <n v="12"/>
    <n v="1229.68"/>
    <n v="600"/>
    <x v="1"/>
    <s v="fatimaadebayo@sales.techg.com"/>
    <x v="15"/>
    <x v="0"/>
    <n v="14756.16"/>
    <n v="7200"/>
    <n v="0.1"/>
    <n v="1475.616"/>
    <n v="0.05"/>
    <n v="737.80799999999999"/>
    <n v="12542.736000000001"/>
    <n v="5342.7360000000008"/>
  </r>
  <r>
    <s v="ORD-00304"/>
    <s v="CUST-784"/>
    <s v="REP-12"/>
    <x v="5"/>
    <d v="2026-09-06T00:00:00"/>
    <x v="1"/>
    <s v="September"/>
    <s v="Sunday"/>
    <d v="1899-12-30T13:34:49"/>
    <n v="13"/>
    <n v="34"/>
    <x v="0"/>
    <s v="Computers"/>
    <n v="9"/>
    <n v="1086.98"/>
    <n v="600"/>
    <x v="1"/>
    <s v="oliviapatel@tg.inc"/>
    <x v="4"/>
    <x v="1"/>
    <n v="9782.82"/>
    <n v="5400"/>
    <n v="0.1"/>
    <n v="978.28200000000004"/>
    <n v="0.05"/>
    <n v="489.14100000000002"/>
    <n v="8315.3970000000008"/>
    <n v="2915.3970000000008"/>
  </r>
  <r>
    <s v="ORD-00305"/>
    <s v="CUST-411"/>
    <s v="REP-34"/>
    <x v="2"/>
    <d v="2023-06-05T00:00:00"/>
    <x v="2"/>
    <s v="June"/>
    <s v="Monday"/>
    <d v="1899-12-30T17:10:36"/>
    <n v="17"/>
    <n v="10"/>
    <x v="0"/>
    <s v="Computers"/>
    <n v="5"/>
    <n v="1112.1600000000001"/>
    <n v="600"/>
    <x v="1"/>
    <s v="fatimaadebayo@sales.techg.com"/>
    <x v="4"/>
    <x v="1"/>
    <n v="5560.8"/>
    <n v="3000"/>
    <n v="0.1"/>
    <n v="556.08000000000004"/>
    <n v="0.05"/>
    <n v="278.04000000000002"/>
    <n v="4726.68"/>
    <n v="1726.6800000000003"/>
  </r>
  <r>
    <s v="ORD-00306"/>
    <s v="CUST-363"/>
    <s v="REP-10"/>
    <x v="3"/>
    <d v="2023-08-17T00:00:00"/>
    <x v="2"/>
    <s v="August"/>
    <s v="Thursday"/>
    <d v="1899-12-30T17:47:09"/>
    <n v="17"/>
    <n v="47"/>
    <x v="4"/>
    <s v="Audio"/>
    <n v="3"/>
    <n v="172.56"/>
    <n v="50"/>
    <x v="3"/>
    <s v="emmadubois@sales.techg.com"/>
    <x v="15"/>
    <x v="0"/>
    <n v="517.68000000000006"/>
    <n v="150"/>
    <n v="0.15"/>
    <n v="77.652000000000001"/>
    <n v="0.03"/>
    <n v="15.530400000000002"/>
    <n v="424.49760000000009"/>
    <n v="274.49760000000009"/>
  </r>
  <r>
    <s v="ORD-00307"/>
    <s v="CUST-957"/>
    <s v="REP-29"/>
    <x v="4"/>
    <d v="2025-02-23T00:00:00"/>
    <x v="3"/>
    <s v="February"/>
    <s v="Sunday"/>
    <d v="1899-12-30T18:28:46"/>
    <n v="18"/>
    <n v="28"/>
    <x v="1"/>
    <s v="Mobile Devices"/>
    <n v="12"/>
    <n v="496.3"/>
    <n v="300"/>
    <x v="1"/>
    <s v="sophielee@techgadgetsco.com"/>
    <x v="11"/>
    <x v="0"/>
    <n v="5955.6"/>
    <n v="3600"/>
    <n v="0.1"/>
    <n v="595.56000000000006"/>
    <n v="0.1"/>
    <n v="595.56000000000006"/>
    <n v="4764.4799999999996"/>
    <n v="1164.4799999999996"/>
  </r>
  <r>
    <s v="ORD-00308"/>
    <s v="CUST-645"/>
    <s v="REP-17"/>
    <x v="1"/>
    <d v="2026-10-31T00:00:00"/>
    <x v="1"/>
    <s v="October"/>
    <s v="Saturday"/>
    <d v="1899-12-30T15:16:09"/>
    <n v="15"/>
    <n v="16"/>
    <x v="3"/>
    <s v="Wearables"/>
    <n v="1"/>
    <n v="263.7"/>
    <n v="150"/>
    <x v="3"/>
    <s v="mariagarcia@tg.inc"/>
    <x v="4"/>
    <x v="1"/>
    <n v="263.7"/>
    <n v="150"/>
    <n v="0.15"/>
    <n v="39.555"/>
    <n v="7.0000000000000007E-2"/>
    <n v="18.459"/>
    <n v="205.68599999999998"/>
    <n v="55.685999999999979"/>
  </r>
  <r>
    <s v="ORD-00309"/>
    <s v="CUST-964"/>
    <s v="REP-24"/>
    <x v="7"/>
    <d v="2024-11-17T00:00:00"/>
    <x v="0"/>
    <s v="November"/>
    <s v="Sunday"/>
    <d v="1899-12-30T12:51:06"/>
    <n v="12"/>
    <n v="51"/>
    <x v="2"/>
    <s v="Tablets"/>
    <n v="7"/>
    <n v="455.06"/>
    <n v="200"/>
    <x v="2"/>
    <s v="liamchen@sales.techg.com"/>
    <x v="10"/>
    <x v="0"/>
    <n v="3185.42"/>
    <n v="1400"/>
    <n v="0.2"/>
    <n v="637.08400000000006"/>
    <n v="0.08"/>
    <n v="254.83360000000002"/>
    <n v="2293.5024000000003"/>
    <n v="893.50240000000031"/>
  </r>
  <r>
    <s v="ORD-00310"/>
    <s v="CUST-110"/>
    <s v="REP-10"/>
    <x v="3"/>
    <d v="2023-01-25T00:00:00"/>
    <x v="2"/>
    <s v="January"/>
    <s v="Wednesday"/>
    <d v="1899-12-30T09:33:06"/>
    <n v="9"/>
    <n v="33"/>
    <x v="4"/>
    <s v="Audio"/>
    <n v="12"/>
    <n v="134.47999999999999"/>
    <n v="50"/>
    <x v="0"/>
    <s v="emmadubois@tg.inc"/>
    <x v="5"/>
    <x v="2"/>
    <n v="1613.7599999999998"/>
    <n v="600"/>
    <n v="7.0000000000000007E-2"/>
    <n v="112.9632"/>
    <n v="0.03"/>
    <n v="48.41279999999999"/>
    <n v="1452.3839999999998"/>
    <n v="852.38399999999979"/>
  </r>
  <r>
    <s v="ORD-00311"/>
    <s v="CUST-222"/>
    <s v="REP-12"/>
    <x v="5"/>
    <d v="2025-08-02T00:00:00"/>
    <x v="3"/>
    <s v="August"/>
    <s v="Saturday"/>
    <d v="1899-12-30T09:44:11"/>
    <n v="9"/>
    <n v="44"/>
    <x v="2"/>
    <s v="Tablets"/>
    <n v="11"/>
    <n v="447.76"/>
    <n v="200"/>
    <x v="1"/>
    <s v="oliviapatel@techgadgetsco.com"/>
    <x v="10"/>
    <x v="0"/>
    <n v="4925.3599999999997"/>
    <n v="2200"/>
    <n v="0.1"/>
    <n v="492.536"/>
    <n v="0.08"/>
    <n v="394.02879999999999"/>
    <n v="4038.7951999999996"/>
    <n v="1838.7951999999996"/>
  </r>
  <r>
    <s v="ORD-00312"/>
    <s v="CUST-163"/>
    <s v="REP-23"/>
    <x v="8"/>
    <d v="2024-12-11T00:00:00"/>
    <x v="0"/>
    <s v="December"/>
    <s v="Wednesday"/>
    <d v="1899-12-30T12:52:16"/>
    <n v="12"/>
    <n v="52"/>
    <x v="1"/>
    <s v="Mobile Devices"/>
    <n v="8"/>
    <n v="540.20000000000005"/>
    <n v="300"/>
    <x v="3"/>
    <s v="noahkim@sales.techg.com"/>
    <x v="14"/>
    <x v="2"/>
    <n v="4321.6000000000004"/>
    <n v="2400"/>
    <n v="0.15"/>
    <n v="648.24"/>
    <n v="0.1"/>
    <n v="432.16000000000008"/>
    <n v="3241.2000000000007"/>
    <n v="841.20000000000073"/>
  </r>
  <r>
    <s v="ORD-00313"/>
    <s v="CUST-832"/>
    <s v="REP-18"/>
    <x v="8"/>
    <d v="2023-03-13T00:00:00"/>
    <x v="2"/>
    <s v="March"/>
    <s v="Monday"/>
    <d v="1899-12-30T09:36:46"/>
    <n v="9"/>
    <n v="36"/>
    <x v="2"/>
    <s v="Tablets"/>
    <n v="1"/>
    <n v="349.77"/>
    <n v="200"/>
    <x v="0"/>
    <s v="noahkim@tg.inc"/>
    <x v="10"/>
    <x v="0"/>
    <n v="349.77"/>
    <n v="200"/>
    <n v="7.0000000000000007E-2"/>
    <n v="24.483900000000002"/>
    <n v="0.08"/>
    <n v="27.9816"/>
    <n v="297.30449999999996"/>
    <n v="97.304499999999962"/>
  </r>
  <r>
    <s v="ORD-00314"/>
    <s v="CUST-889"/>
    <s v="REP-29"/>
    <x v="4"/>
    <d v="2025-12-06T00:00:00"/>
    <x v="3"/>
    <s v="December"/>
    <s v="Saturday"/>
    <d v="1899-12-30T21:46:49"/>
    <n v="21"/>
    <n v="46"/>
    <x v="0"/>
    <s v="Computers"/>
    <n v="1"/>
    <n v="1144.6300000000001"/>
    <n v="600"/>
    <x v="3"/>
    <s v="sophielee@techgadgetsco.com"/>
    <x v="10"/>
    <x v="0"/>
    <n v="1144.6300000000001"/>
    <n v="600"/>
    <n v="0.15"/>
    <n v="171.69450000000001"/>
    <n v="0.05"/>
    <n v="57.231500000000011"/>
    <n v="915.70400000000006"/>
    <n v="315.70400000000006"/>
  </r>
  <r>
    <s v="ORD-00315"/>
    <s v="CUST-762"/>
    <s v="REP-12"/>
    <x v="5"/>
    <d v="2025-12-30T00:00:00"/>
    <x v="3"/>
    <s v="December"/>
    <s v="Tuesday"/>
    <d v="1899-12-30T09:53:29"/>
    <n v="9"/>
    <n v="53"/>
    <x v="2"/>
    <s v="Tablets"/>
    <n v="3"/>
    <n v="513.5"/>
    <n v="200"/>
    <x v="2"/>
    <s v="oliviapatel@tg.inc"/>
    <x v="1"/>
    <x v="0"/>
    <n v="1540.5"/>
    <n v="600"/>
    <n v="0.2"/>
    <n v="308.10000000000002"/>
    <n v="0.08"/>
    <n v="123.24000000000001"/>
    <n v="1109.1600000000001"/>
    <n v="509.16000000000008"/>
  </r>
  <r>
    <s v="ORD-00316"/>
    <s v="CUST-294"/>
    <s v="REP-14"/>
    <x v="1"/>
    <d v="2024-01-31T00:00:00"/>
    <x v="0"/>
    <s v="January"/>
    <s v="Wednesday"/>
    <d v="1899-12-30T19:37:15"/>
    <n v="19"/>
    <n v="37"/>
    <x v="4"/>
    <s v="Audio"/>
    <n v="13"/>
    <n v="143.08000000000001"/>
    <n v="50"/>
    <x v="4"/>
    <s v="mariagarcia@techgadgetsco.com"/>
    <x v="4"/>
    <x v="1"/>
    <n v="1860.0400000000002"/>
    <n v="650"/>
    <n v="0.12"/>
    <n v="223.20480000000001"/>
    <n v="0.03"/>
    <n v="55.801200000000001"/>
    <n v="1581.0340000000001"/>
    <n v="931.03400000000011"/>
  </r>
  <r>
    <s v="ORD-00317"/>
    <s v="CUST-143"/>
    <s v="REP-23"/>
    <x v="8"/>
    <d v="2024-09-03T00:00:00"/>
    <x v="0"/>
    <s v="September"/>
    <s v="Tuesday"/>
    <d v="1899-12-30T18:55:55"/>
    <n v="18"/>
    <n v="55"/>
    <x v="3"/>
    <s v="Wearables"/>
    <n v="10"/>
    <n v="183.92"/>
    <n v="150"/>
    <x v="2"/>
    <s v="noahkim@tg.inc"/>
    <x v="12"/>
    <x v="0"/>
    <n v="1839.1999999999998"/>
    <n v="1500"/>
    <n v="0.2"/>
    <n v="367.84"/>
    <n v="7.0000000000000007E-2"/>
    <n v="128.744"/>
    <n v="1342.616"/>
    <n v="-157.38400000000001"/>
  </r>
  <r>
    <s v="ORD-00318"/>
    <s v="CUST-747"/>
    <s v="REP-11"/>
    <x v="3"/>
    <d v="2023-07-19T00:00:00"/>
    <x v="2"/>
    <s v="July"/>
    <s v="Wednesday"/>
    <d v="1899-12-30T17:10:53"/>
    <n v="17"/>
    <n v="10"/>
    <x v="3"/>
    <s v="Wearables"/>
    <n v="7"/>
    <n v="188.56"/>
    <n v="150"/>
    <x v="4"/>
    <s v="emmadubois@techgadgetsco.com"/>
    <x v="14"/>
    <x v="2"/>
    <n v="1319.92"/>
    <n v="1050"/>
    <n v="0.12"/>
    <n v="158.3904"/>
    <n v="7.0000000000000007E-2"/>
    <n v="92.394400000000019"/>
    <n v="1069.1352000000002"/>
    <n v="19.135200000000168"/>
  </r>
  <r>
    <s v="ORD-00319"/>
    <s v="CUST-511"/>
    <s v="REP-21"/>
    <x v="2"/>
    <d v="2026-02-11T00:00:00"/>
    <x v="1"/>
    <s v="February"/>
    <s v="Wednesday"/>
    <d v="1899-12-30T13:53:50"/>
    <n v="13"/>
    <n v="53"/>
    <x v="1"/>
    <s v="Mobile Devices"/>
    <n v="10"/>
    <n v="498.97"/>
    <n v="300"/>
    <x v="1"/>
    <s v="fatimaadebayo@tg.inc"/>
    <x v="9"/>
    <x v="0"/>
    <n v="4989.7000000000007"/>
    <n v="3000"/>
    <n v="0.1"/>
    <n v="498.97000000000008"/>
    <n v="0.1"/>
    <n v="498.97000000000008"/>
    <n v="3991.76"/>
    <n v="991.76000000000022"/>
  </r>
  <r>
    <s v="ORD-00320"/>
    <s v="CUST-202"/>
    <s v="REP-35"/>
    <x v="6"/>
    <d v="2023-11-20T00:00:00"/>
    <x v="2"/>
    <s v="November"/>
    <s v="Monday"/>
    <d v="1899-12-30T15:05:00"/>
    <n v="15"/>
    <n v="5"/>
    <x v="0"/>
    <s v="Computers"/>
    <n v="2"/>
    <n v="1096.8699999999999"/>
    <n v="600"/>
    <x v="1"/>
    <s v="carlosrodriguez@techgadgetsco.com"/>
    <x v="8"/>
    <x v="1"/>
    <n v="2193.7399999999998"/>
    <n v="1200"/>
    <n v="0.1"/>
    <n v="219.374"/>
    <n v="0.05"/>
    <n v="109.687"/>
    <n v="1864.6789999999999"/>
    <n v="664.67899999999986"/>
  </r>
  <r>
    <s v="ORD-00321"/>
    <s v="CUST-521"/>
    <s v="REP-17"/>
    <x v="1"/>
    <d v="2026-04-06T00:00:00"/>
    <x v="1"/>
    <s v="April"/>
    <s v="Monday"/>
    <d v="1899-12-30T17:11:45"/>
    <n v="17"/>
    <n v="11"/>
    <x v="4"/>
    <s v="Audio"/>
    <n v="2"/>
    <n v="178.69"/>
    <n v="50"/>
    <x v="1"/>
    <s v="mariagarcia@techgadgetsco.com"/>
    <x v="13"/>
    <x v="0"/>
    <n v="357.38"/>
    <n v="100"/>
    <n v="0.1"/>
    <n v="35.738"/>
    <n v="0.03"/>
    <n v="10.721399999999999"/>
    <n v="310.92059999999998"/>
    <n v="210.92059999999998"/>
  </r>
  <r>
    <s v="ORD-00322"/>
    <s v="CUST-652"/>
    <s v="REP-32"/>
    <x v="1"/>
    <d v="2025-08-08T00:00:00"/>
    <x v="3"/>
    <s v="August"/>
    <s v="Friday"/>
    <d v="1899-12-30T12:03:12"/>
    <n v="12"/>
    <n v="3"/>
    <x v="0"/>
    <s v="Computers"/>
    <n v="11"/>
    <n v="1255.74"/>
    <n v="600"/>
    <x v="3"/>
    <s v="mariagarcia@tg.inc"/>
    <x v="1"/>
    <x v="0"/>
    <n v="13813.14"/>
    <n v="6600"/>
    <n v="0.15"/>
    <n v="2071.971"/>
    <n v="0.05"/>
    <n v="690.65700000000004"/>
    <n v="11050.512000000001"/>
    <n v="4450.5120000000006"/>
  </r>
  <r>
    <s v="ORD-00323"/>
    <s v="CUST-924"/>
    <s v="REP-28"/>
    <x v="1"/>
    <d v="2023-02-08T00:00:00"/>
    <x v="2"/>
    <s v="February"/>
    <s v="Wednesday"/>
    <d v="1899-12-30T16:11:10"/>
    <n v="16"/>
    <n v="11"/>
    <x v="0"/>
    <s v="Computers"/>
    <n v="2"/>
    <n v="500"/>
    <n v="600"/>
    <x v="2"/>
    <s v="mariagarcia@sales.techg.com"/>
    <x v="5"/>
    <x v="2"/>
    <n v="1000"/>
    <n v="1200"/>
    <n v="0.2"/>
    <n v="200"/>
    <n v="0.05"/>
    <n v="50"/>
    <n v="750"/>
    <n v="-450"/>
  </r>
  <r>
    <s v="ORD-00324"/>
    <s v="CUST-212"/>
    <s v="REP-21"/>
    <x v="2"/>
    <d v="2023-07-20T00:00:00"/>
    <x v="2"/>
    <s v="July"/>
    <s v="Thursday"/>
    <d v="1899-12-30T19:26:55"/>
    <n v="19"/>
    <n v="26"/>
    <x v="1"/>
    <s v="Mobile Devices"/>
    <n v="4"/>
    <n v="500"/>
    <n v="300"/>
    <x v="4"/>
    <s v="fatimaadebayo@tg.inc"/>
    <x v="6"/>
    <x v="0"/>
    <n v="2000"/>
    <n v="1200"/>
    <n v="0.12"/>
    <n v="240"/>
    <n v="0.1"/>
    <n v="200"/>
    <n v="1560"/>
    <n v="360"/>
  </r>
  <r>
    <s v="ORD-00325"/>
    <s v="CUST-298"/>
    <s v="REP-22"/>
    <x v="2"/>
    <d v="2024-02-19T00:00:00"/>
    <x v="0"/>
    <s v="February"/>
    <s v="Monday"/>
    <d v="1899-12-30T10:02:44"/>
    <n v="10"/>
    <n v="2"/>
    <x v="3"/>
    <s v="Wearables"/>
    <n v="7"/>
    <n v="269.68"/>
    <n v="150"/>
    <x v="3"/>
    <s v="fatimaadebayo@sales.techg.com"/>
    <x v="4"/>
    <x v="1"/>
    <n v="1887.76"/>
    <n v="1050"/>
    <n v="0.15"/>
    <n v="283.16399999999999"/>
    <n v="7.0000000000000007E-2"/>
    <n v="132.14320000000001"/>
    <n v="1472.4528"/>
    <n v="422.45280000000002"/>
  </r>
  <r>
    <s v="ORD-00326"/>
    <s v="CUST-726"/>
    <s v="REP-15"/>
    <x v="4"/>
    <d v="2026-06-02T00:00:00"/>
    <x v="1"/>
    <s v="June"/>
    <s v="Tuesday"/>
    <d v="1899-12-30T09:26:54"/>
    <n v="9"/>
    <n v="26"/>
    <x v="3"/>
    <s v="Wearables"/>
    <n v="4"/>
    <n v="268.07"/>
    <n v="150"/>
    <x v="1"/>
    <s v="sophielee@sales.techg.com"/>
    <x v="3"/>
    <x v="0"/>
    <n v="1072.28"/>
    <n v="600"/>
    <n v="0.1"/>
    <n v="107.22800000000001"/>
    <n v="7.0000000000000007E-2"/>
    <n v="75.059600000000003"/>
    <n v="889.99239999999986"/>
    <n v="289.99239999999986"/>
  </r>
  <r>
    <s v="ORD-00327"/>
    <s v="CUST-705"/>
    <s v="REP-14"/>
    <x v="1"/>
    <d v="2023-11-01T00:00:00"/>
    <x v="2"/>
    <s v="November"/>
    <s v="Wednesday"/>
    <d v="1899-12-30T08:02:30"/>
    <n v="8"/>
    <n v="2"/>
    <x v="3"/>
    <s v="Wearables"/>
    <n v="7"/>
    <n v="228.72"/>
    <n v="150"/>
    <x v="0"/>
    <s v="mariagarcia@tg.inc"/>
    <x v="0"/>
    <x v="0"/>
    <n v="1601.04"/>
    <n v="1050"/>
    <n v="7.0000000000000007E-2"/>
    <n v="112.07280000000002"/>
    <n v="7.0000000000000007E-2"/>
    <n v="112.07280000000002"/>
    <n v="1376.8944000000001"/>
    <n v="326.89440000000013"/>
  </r>
  <r>
    <s v="ORD-00328"/>
    <s v="CUST-467"/>
    <s v="REP-20"/>
    <x v="4"/>
    <d v="2026-08-19T00:00:00"/>
    <x v="1"/>
    <s v="August"/>
    <s v="Wednesday"/>
    <d v="1899-12-30T08:30:42"/>
    <n v="8"/>
    <n v="30"/>
    <x v="2"/>
    <s v="Tablets"/>
    <n v="8"/>
    <n v="469.46"/>
    <n v="200"/>
    <x v="0"/>
    <s v="sophielee@techgadgetsco.com"/>
    <x v="11"/>
    <x v="0"/>
    <n v="3755.68"/>
    <n v="1600"/>
    <n v="7.0000000000000007E-2"/>
    <n v="262.89760000000001"/>
    <n v="0.08"/>
    <n v="300.45440000000002"/>
    <n v="3192.328"/>
    <n v="1592.328"/>
  </r>
  <r>
    <s v="ORD-00329"/>
    <s v="CUST-820"/>
    <s v="REP-10"/>
    <x v="3"/>
    <d v="2023-05-25T00:00:00"/>
    <x v="2"/>
    <s v="May"/>
    <s v="Thursday"/>
    <d v="1899-12-30T19:21:33"/>
    <n v="19"/>
    <n v="21"/>
    <x v="0"/>
    <s v="Computers"/>
    <n v="13"/>
    <n v="1273.05"/>
    <n v="600"/>
    <x v="4"/>
    <s v="emmadubois@sales.techg.com"/>
    <x v="10"/>
    <x v="0"/>
    <n v="16549.649999999998"/>
    <n v="7800"/>
    <n v="0.12"/>
    <n v="1985.9579999999996"/>
    <n v="0.05"/>
    <n v="827.48249999999996"/>
    <n v="13736.209499999999"/>
    <n v="5936.209499999999"/>
  </r>
  <r>
    <s v="ORD-00330"/>
    <s v="CUST-790"/>
    <s v="REP-22"/>
    <x v="2"/>
    <d v="2023-08-16T00:00:00"/>
    <x v="2"/>
    <s v="August"/>
    <s v="Wednesday"/>
    <d v="1899-12-30T13:29:39"/>
    <n v="13"/>
    <n v="29"/>
    <x v="0"/>
    <s v="Computers"/>
    <n v="3"/>
    <n v="1152.44"/>
    <n v="600"/>
    <x v="4"/>
    <s v="fatimaadebayo@tg.inc"/>
    <x v="3"/>
    <x v="0"/>
    <n v="3457.32"/>
    <n v="1800"/>
    <n v="0.12"/>
    <n v="414.8784"/>
    <n v="0.05"/>
    <n v="172.86600000000001"/>
    <n v="2869.5756000000001"/>
    <n v="1069.5756000000001"/>
  </r>
  <r>
    <s v="ORD-00331"/>
    <s v="CUST-870"/>
    <s v="REP-34"/>
    <x v="2"/>
    <d v="2024-06-04T00:00:00"/>
    <x v="0"/>
    <s v="June"/>
    <s v="Tuesday"/>
    <d v="1899-12-30T13:57:17"/>
    <n v="13"/>
    <n v="57"/>
    <x v="3"/>
    <s v="Wearables"/>
    <n v="5"/>
    <n v="500"/>
    <n v="150"/>
    <x v="1"/>
    <s v="fatimaadebayo@tg.inc"/>
    <x v="2"/>
    <x v="0"/>
    <n v="2500"/>
    <n v="750"/>
    <n v="0.1"/>
    <n v="250"/>
    <n v="7.0000000000000007E-2"/>
    <n v="175.00000000000003"/>
    <n v="2075"/>
    <n v="1325"/>
  </r>
  <r>
    <s v="ORD-00332"/>
    <s v="CUST-399"/>
    <s v="REP-28"/>
    <x v="1"/>
    <d v="2026-10-10T00:00:00"/>
    <x v="1"/>
    <s v="October"/>
    <s v="Saturday"/>
    <d v="1899-12-30T11:57:56"/>
    <n v="11"/>
    <n v="57"/>
    <x v="4"/>
    <s v="Audio"/>
    <n v="7"/>
    <n v="133.41"/>
    <n v="50"/>
    <x v="0"/>
    <s v="mariagarcia@tg.inc"/>
    <x v="7"/>
    <x v="0"/>
    <n v="933.87"/>
    <n v="350"/>
    <n v="7.0000000000000007E-2"/>
    <n v="65.370900000000006"/>
    <n v="0.03"/>
    <n v="28.016099999999998"/>
    <n v="840.48299999999995"/>
    <n v="490.48299999999995"/>
  </r>
  <r>
    <s v="ORD-00333"/>
    <s v="CUST-123"/>
    <s v="REP-20"/>
    <x v="4"/>
    <d v="2026-10-29T00:00:00"/>
    <x v="1"/>
    <s v="October"/>
    <s v="Thursday"/>
    <d v="1899-12-30T15:22:26"/>
    <n v="15"/>
    <n v="22"/>
    <x v="4"/>
    <s v="Audio"/>
    <n v="1"/>
    <n v="124.72"/>
    <n v="50"/>
    <x v="2"/>
    <s v="sophielee@sales.techg.com"/>
    <x v="10"/>
    <x v="0"/>
    <n v="124.72"/>
    <n v="50"/>
    <n v="0.2"/>
    <n v="24.944000000000003"/>
    <n v="0.03"/>
    <n v="3.7416"/>
    <n v="96.034399999999991"/>
    <n v="46.034399999999991"/>
  </r>
  <r>
    <s v="ORD-00334"/>
    <s v="CUST-781"/>
    <s v="REP-32"/>
    <x v="1"/>
    <d v="2025-07-26T00:00:00"/>
    <x v="3"/>
    <s v="July"/>
    <s v="Saturday"/>
    <d v="1899-12-30T17:08:57"/>
    <n v="17"/>
    <n v="8"/>
    <x v="2"/>
    <s v="Tablets"/>
    <n v="5"/>
    <n v="394.38"/>
    <n v="200"/>
    <x v="1"/>
    <s v="mariagarcia@techgadgetsco.com"/>
    <x v="6"/>
    <x v="0"/>
    <n v="1971.9"/>
    <n v="1000"/>
    <n v="0.1"/>
    <n v="197.19000000000003"/>
    <n v="0.08"/>
    <n v="157.75200000000001"/>
    <n v="1616.9580000000001"/>
    <n v="616.95800000000008"/>
  </r>
  <r>
    <s v="ORD-00335"/>
    <s v="CUST-648"/>
    <s v="REP-20"/>
    <x v="4"/>
    <d v="2023-12-26T00:00:00"/>
    <x v="2"/>
    <s v="December"/>
    <s v="Tuesday"/>
    <d v="1899-12-30T10:15:07"/>
    <n v="10"/>
    <n v="15"/>
    <x v="0"/>
    <s v="Computers"/>
    <n v="10"/>
    <n v="930.2"/>
    <n v="600"/>
    <x v="2"/>
    <s v="sophielee@techgadgetsco.com"/>
    <x v="4"/>
    <x v="1"/>
    <n v="9302"/>
    <n v="6000"/>
    <n v="0.2"/>
    <n v="1860.4"/>
    <n v="0.05"/>
    <n v="465.1"/>
    <n v="6976.5"/>
    <n v="976.5"/>
  </r>
  <r>
    <s v="ORD-00336"/>
    <s v="CUST-646"/>
    <s v="REP-20"/>
    <x v="4"/>
    <d v="2023-02-21T00:00:00"/>
    <x v="2"/>
    <s v="February"/>
    <s v="Tuesday"/>
    <d v="1899-12-30T15:49:09"/>
    <n v="15"/>
    <n v="49"/>
    <x v="4"/>
    <s v="Audio"/>
    <n v="3"/>
    <n v="500"/>
    <n v="50"/>
    <x v="4"/>
    <s v="sophielee@techgadgetsco.com"/>
    <x v="7"/>
    <x v="0"/>
    <n v="1500"/>
    <n v="150"/>
    <n v="0.12"/>
    <n v="180"/>
    <n v="0.03"/>
    <n v="45"/>
    <n v="1275"/>
    <n v="1125"/>
  </r>
  <r>
    <s v="ORD-00337"/>
    <s v="CUST-687"/>
    <s v="REP-14"/>
    <x v="1"/>
    <d v="2025-06-24T00:00:00"/>
    <x v="3"/>
    <s v="June"/>
    <s v="Tuesday"/>
    <d v="1899-12-30T19:07:46"/>
    <n v="19"/>
    <n v="7"/>
    <x v="4"/>
    <s v="Audio"/>
    <n v="3"/>
    <n v="128.77000000000001"/>
    <n v="50"/>
    <x v="0"/>
    <s v="mariagarcia@tg.inc"/>
    <x v="15"/>
    <x v="0"/>
    <n v="386.31000000000006"/>
    <n v="150"/>
    <n v="7.0000000000000007E-2"/>
    <n v="27.041700000000006"/>
    <n v="0.03"/>
    <n v="11.589300000000001"/>
    <n v="347.67900000000009"/>
    <n v="197.67900000000009"/>
  </r>
  <r>
    <s v="ORD-00338"/>
    <s v="CUST-639"/>
    <s v="REP-17"/>
    <x v="1"/>
    <d v="2024-05-02T00:00:00"/>
    <x v="0"/>
    <s v="May"/>
    <s v="Thursday"/>
    <d v="1899-12-30T09:34:54"/>
    <n v="9"/>
    <n v="34"/>
    <x v="4"/>
    <s v="Audio"/>
    <n v="2"/>
    <n v="149.58000000000001"/>
    <n v="50"/>
    <x v="3"/>
    <s v="mariagarcia@tg.inc"/>
    <x v="1"/>
    <x v="0"/>
    <n v="299.16000000000003"/>
    <n v="100"/>
    <n v="0.15"/>
    <n v="44.874000000000002"/>
    <n v="0.03"/>
    <n v="8.9748000000000001"/>
    <n v="245.31120000000004"/>
    <n v="145.31120000000004"/>
  </r>
  <r>
    <s v="ORD-00339"/>
    <s v="CUST-495"/>
    <s v="REP-22"/>
    <x v="2"/>
    <d v="2024-05-08T00:00:00"/>
    <x v="0"/>
    <s v="May"/>
    <s v="Wednesday"/>
    <d v="1899-12-30T13:19:28"/>
    <n v="13"/>
    <n v="19"/>
    <x v="3"/>
    <s v="Wearables"/>
    <n v="7"/>
    <n v="224.86"/>
    <n v="150"/>
    <x v="3"/>
    <s v="fatimaadebayo@tg.inc"/>
    <x v="14"/>
    <x v="2"/>
    <n v="1574.02"/>
    <n v="1050"/>
    <n v="0.15"/>
    <n v="236.10299999999998"/>
    <n v="7.0000000000000007E-2"/>
    <n v="110.18140000000001"/>
    <n v="1227.7356"/>
    <n v="177.73559999999998"/>
  </r>
  <r>
    <s v="ORD-00340"/>
    <s v="CUST-712"/>
    <s v="REP-12"/>
    <x v="5"/>
    <d v="2024-01-03T00:00:00"/>
    <x v="0"/>
    <s v="January"/>
    <s v="Wednesday"/>
    <d v="1899-12-30T15:55:33"/>
    <n v="15"/>
    <n v="55"/>
    <x v="2"/>
    <s v="Tablets"/>
    <n v="7"/>
    <n v="471.22"/>
    <n v="200"/>
    <x v="0"/>
    <s v="oliviapatel@techgadgetsco.com"/>
    <x v="9"/>
    <x v="0"/>
    <n v="3298.54"/>
    <n v="1400"/>
    <n v="7.0000000000000007E-2"/>
    <n v="230.89780000000002"/>
    <n v="0.08"/>
    <n v="263.88319999999999"/>
    <n v="2803.759"/>
    <n v="1403.759"/>
  </r>
  <r>
    <s v="ORD-00341"/>
    <s v="CUST-240"/>
    <s v="REP-16"/>
    <x v="4"/>
    <d v="2025-02-20T00:00:00"/>
    <x v="3"/>
    <s v="February"/>
    <s v="Thursday"/>
    <d v="1899-12-30T16:31:02"/>
    <n v="16"/>
    <n v="31"/>
    <x v="2"/>
    <s v="Tablets"/>
    <n v="5"/>
    <n v="467.97"/>
    <n v="200"/>
    <x v="2"/>
    <s v="sophielee@sales.techg.com"/>
    <x v="4"/>
    <x v="1"/>
    <n v="2339.8500000000004"/>
    <n v="1000"/>
    <n v="0.2"/>
    <n v="467.97000000000008"/>
    <n v="0.08"/>
    <n v="187.18800000000005"/>
    <n v="1684.6920000000002"/>
    <n v="684.69200000000023"/>
  </r>
  <r>
    <s v="ORD-00342"/>
    <s v="CUST-283"/>
    <s v="REP-29"/>
    <x v="4"/>
    <d v="2023-02-28T00:00:00"/>
    <x v="2"/>
    <s v="February"/>
    <s v="Tuesday"/>
    <d v="1899-12-30T20:17:31"/>
    <n v="20"/>
    <n v="17"/>
    <x v="0"/>
    <s v="Computers"/>
    <n v="6"/>
    <n v="1082.79"/>
    <n v="600"/>
    <x v="1"/>
    <s v="sophielee@tg.inc"/>
    <x v="2"/>
    <x v="0"/>
    <n v="6496.74"/>
    <n v="3600"/>
    <n v="0.1"/>
    <n v="649.67399999999998"/>
    <n v="0.05"/>
    <n v="324.83699999999999"/>
    <n v="5522.2289999999994"/>
    <n v="1922.2289999999994"/>
  </r>
  <r>
    <s v="ORD-00343"/>
    <s v="CUST-365"/>
    <s v="REP-15"/>
    <x v="4"/>
    <d v="2023-04-30T00:00:00"/>
    <x v="2"/>
    <s v="April"/>
    <s v="Sunday"/>
    <d v="1899-12-30T13:29:56"/>
    <n v="13"/>
    <n v="29"/>
    <x v="1"/>
    <s v="Mobile Devices"/>
    <n v="1"/>
    <n v="605.85"/>
    <n v="300"/>
    <x v="1"/>
    <s v="sophielee@sales.techg.com"/>
    <x v="15"/>
    <x v="0"/>
    <n v="605.85"/>
    <n v="300"/>
    <n v="0.1"/>
    <n v="60.585000000000008"/>
    <n v="0.1"/>
    <n v="60.585000000000008"/>
    <n v="484.67999999999995"/>
    <n v="184.67999999999995"/>
  </r>
  <r>
    <s v="ORD-00344"/>
    <s v="CUST-196"/>
    <s v="REP-35"/>
    <x v="6"/>
    <d v="2026-01-18T00:00:00"/>
    <x v="1"/>
    <s v="January"/>
    <s v="Sunday"/>
    <d v="1899-12-30T21:20:52"/>
    <n v="21"/>
    <n v="20"/>
    <x v="2"/>
    <s v="Tablets"/>
    <n v="12"/>
    <n v="339.17"/>
    <n v="200"/>
    <x v="4"/>
    <s v="carlosrodriguez@sales.techg.com"/>
    <x v="4"/>
    <x v="1"/>
    <n v="4070.04"/>
    <n v="2400"/>
    <n v="0.12"/>
    <n v="488.40479999999997"/>
    <n v="0.08"/>
    <n v="325.60320000000002"/>
    <n v="3256.0320000000002"/>
    <n v="856.03200000000015"/>
  </r>
  <r>
    <s v="ORD-00345"/>
    <s v="CUST-266"/>
    <s v="REP-13"/>
    <x v="0"/>
    <d v="2023-11-13T00:00:00"/>
    <x v="2"/>
    <s v="November"/>
    <s v="Monday"/>
    <d v="1899-12-30T21:12:50"/>
    <n v="21"/>
    <n v="12"/>
    <x v="3"/>
    <s v="Wearables"/>
    <n v="14"/>
    <n v="269.07"/>
    <n v="150"/>
    <x v="4"/>
    <s v="ahmedkhan@tg.inc"/>
    <x v="4"/>
    <x v="1"/>
    <n v="3766.98"/>
    <n v="2100"/>
    <n v="0.12"/>
    <n v="452.0376"/>
    <n v="7.0000000000000007E-2"/>
    <n v="263.68860000000001"/>
    <n v="3051.2538"/>
    <n v="951.25379999999996"/>
  </r>
  <r>
    <s v="ORD-00346"/>
    <s v="CUST-456"/>
    <s v="REP-20"/>
    <x v="4"/>
    <d v="2023-12-10T00:00:00"/>
    <x v="2"/>
    <s v="December"/>
    <s v="Sunday"/>
    <d v="1899-12-30T17:33:48"/>
    <n v="17"/>
    <n v="33"/>
    <x v="2"/>
    <s v="Tablets"/>
    <n v="5"/>
    <n v="500"/>
    <n v="200"/>
    <x v="0"/>
    <s v="sophielee@sales.techg.com"/>
    <x v="3"/>
    <x v="0"/>
    <n v="2500"/>
    <n v="1000"/>
    <n v="7.0000000000000007E-2"/>
    <n v="175.00000000000003"/>
    <n v="0.08"/>
    <n v="200"/>
    <n v="2125"/>
    <n v="1125"/>
  </r>
  <r>
    <s v="ORD-00347"/>
    <s v="CUST-535"/>
    <s v="REP-13"/>
    <x v="0"/>
    <d v="2023-08-02T00:00:00"/>
    <x v="2"/>
    <s v="August"/>
    <s v="Wednesday"/>
    <d v="1899-12-30T20:27:02"/>
    <n v="20"/>
    <n v="27"/>
    <x v="1"/>
    <s v="Mobile Devices"/>
    <n v="13"/>
    <n v="657.95"/>
    <n v="300"/>
    <x v="3"/>
    <s v="ahmedkhan@tg.inc"/>
    <x v="0"/>
    <x v="0"/>
    <n v="8553.35"/>
    <n v="3900"/>
    <n v="0.15"/>
    <n v="1283.0025000000001"/>
    <n v="0.1"/>
    <n v="855.33500000000004"/>
    <n v="6415.0124999999998"/>
    <n v="2515.0124999999998"/>
  </r>
  <r>
    <s v="ORD-00348"/>
    <s v="CUST-310"/>
    <s v="REP-34"/>
    <x v="2"/>
    <d v="2024-01-14T00:00:00"/>
    <x v="0"/>
    <s v="January"/>
    <s v="Sunday"/>
    <d v="1899-12-30T08:05:09"/>
    <n v="8"/>
    <n v="5"/>
    <x v="2"/>
    <s v="Tablets"/>
    <n v="6"/>
    <n v="491.03"/>
    <n v="200"/>
    <x v="4"/>
    <s v="fatimaadebayo@tg.inc"/>
    <x v="0"/>
    <x v="0"/>
    <n v="2946.18"/>
    <n v="1200"/>
    <n v="0.12"/>
    <n v="353.54159999999996"/>
    <n v="0.08"/>
    <n v="235.6944"/>
    <n v="2356.944"/>
    <n v="1156.944"/>
  </r>
  <r>
    <s v="ORD-00349"/>
    <s v="CUST-275"/>
    <s v="REP-33"/>
    <x v="0"/>
    <d v="2023-07-22T00:00:00"/>
    <x v="2"/>
    <s v="July"/>
    <s v="Saturday"/>
    <d v="1899-12-30T16:54:45"/>
    <n v="16"/>
    <n v="54"/>
    <x v="4"/>
    <s v="Audio"/>
    <n v="10"/>
    <n v="170.51"/>
    <n v="50"/>
    <x v="0"/>
    <s v="ahmedkhan@sales.techg.com"/>
    <x v="5"/>
    <x v="2"/>
    <n v="1705.1"/>
    <n v="500"/>
    <n v="7.0000000000000007E-2"/>
    <n v="119.357"/>
    <n v="0.03"/>
    <n v="51.152999999999999"/>
    <n v="1534.59"/>
    <n v="1034.5899999999999"/>
  </r>
  <r>
    <s v="ORD-00350"/>
    <s v="CUST-421"/>
    <s v="REP-13"/>
    <x v="0"/>
    <d v="2023-08-14T00:00:00"/>
    <x v="2"/>
    <s v="August"/>
    <s v="Monday"/>
    <d v="1899-12-30T15:48:23"/>
    <n v="15"/>
    <n v="48"/>
    <x v="2"/>
    <s v="Tablets"/>
    <n v="1"/>
    <n v="500"/>
    <n v="200"/>
    <x v="3"/>
    <s v="ahmedkhan@sales.techg.com"/>
    <x v="4"/>
    <x v="1"/>
    <n v="500"/>
    <n v="200"/>
    <n v="0.15"/>
    <n v="75"/>
    <n v="0.08"/>
    <n v="40"/>
    <n v="385"/>
    <n v="185"/>
  </r>
  <r>
    <s v="ORD-00351"/>
    <s v="CUST-517"/>
    <s v="REP-20"/>
    <x v="4"/>
    <d v="2024-01-22T00:00:00"/>
    <x v="0"/>
    <s v="January"/>
    <s v="Monday"/>
    <d v="1899-12-30T21:51:30"/>
    <n v="21"/>
    <n v="51"/>
    <x v="2"/>
    <s v="Tablets"/>
    <n v="11"/>
    <n v="341.03"/>
    <n v="200"/>
    <x v="3"/>
    <s v="sophielee@sales.techg.com"/>
    <x v="11"/>
    <x v="0"/>
    <n v="3751.33"/>
    <n v="2200"/>
    <n v="0.15"/>
    <n v="562.69949999999994"/>
    <n v="0.08"/>
    <n v="300.10640000000001"/>
    <n v="2888.5241000000001"/>
    <n v="688.52410000000009"/>
  </r>
  <r>
    <s v="ORD-00352"/>
    <s v="CUST-272"/>
    <s v="REP-12"/>
    <x v="5"/>
    <d v="2024-12-02T00:00:00"/>
    <x v="0"/>
    <s v="December"/>
    <s v="Monday"/>
    <d v="1899-12-30T11:38:54"/>
    <n v="11"/>
    <n v="38"/>
    <x v="4"/>
    <s v="Audio"/>
    <n v="14"/>
    <n v="157.43"/>
    <n v="50"/>
    <x v="4"/>
    <s v="oliviapatel@tg.inc"/>
    <x v="11"/>
    <x v="0"/>
    <n v="2204.02"/>
    <n v="700"/>
    <n v="0.12"/>
    <n v="264.48239999999998"/>
    <n v="0.03"/>
    <n v="66.120599999999996"/>
    <n v="1873.4170000000001"/>
    <n v="1173.4170000000001"/>
  </r>
  <r>
    <s v="ORD-00353"/>
    <s v="CUST-596"/>
    <s v="REP-32"/>
    <x v="1"/>
    <d v="2023-10-29T00:00:00"/>
    <x v="2"/>
    <s v="October"/>
    <s v="Sunday"/>
    <d v="1899-12-30T09:07:16"/>
    <n v="9"/>
    <n v="7"/>
    <x v="4"/>
    <s v="Audio"/>
    <n v="11"/>
    <n v="122.23"/>
    <n v="50"/>
    <x v="0"/>
    <s v="mariagarcia@techgadgetsco.com"/>
    <x v="9"/>
    <x v="0"/>
    <n v="1344.53"/>
    <n v="550"/>
    <n v="7.0000000000000007E-2"/>
    <n v="94.117100000000008"/>
    <n v="0.03"/>
    <n v="40.335899999999995"/>
    <n v="1210.077"/>
    <n v="660.077"/>
  </r>
  <r>
    <s v="ORD-00354"/>
    <s v="CUST-736"/>
    <s v="REP-35"/>
    <x v="6"/>
    <d v="2023-06-06T00:00:00"/>
    <x v="2"/>
    <s v="June"/>
    <s v="Tuesday"/>
    <d v="1899-12-30T20:29:12"/>
    <n v="20"/>
    <n v="29"/>
    <x v="2"/>
    <s v="Tablets"/>
    <n v="8"/>
    <n v="428.49"/>
    <n v="200"/>
    <x v="4"/>
    <s v="carlosrodriguez@sales.techg.com"/>
    <x v="14"/>
    <x v="2"/>
    <n v="3427.92"/>
    <n v="1600"/>
    <n v="0.12"/>
    <n v="411.35039999999998"/>
    <n v="0.08"/>
    <n v="274.23360000000002"/>
    <n v="2742.3360000000002"/>
    <n v="1142.3360000000002"/>
  </r>
  <r>
    <s v="ORD-00355"/>
    <s v="CUST-973"/>
    <s v="REP-23"/>
    <x v="8"/>
    <d v="2025-07-30T00:00:00"/>
    <x v="3"/>
    <s v="July"/>
    <s v="Wednesday"/>
    <d v="1899-12-30T08:11:35"/>
    <n v="8"/>
    <n v="11"/>
    <x v="2"/>
    <s v="Tablets"/>
    <n v="3"/>
    <n v="346.9"/>
    <n v="200"/>
    <x v="3"/>
    <s v="noahkim@sales.techg.com"/>
    <x v="7"/>
    <x v="0"/>
    <n v="1040.6999999999998"/>
    <n v="600"/>
    <n v="0.15"/>
    <n v="156.10499999999996"/>
    <n v="0.08"/>
    <n v="83.255999999999986"/>
    <n v="801.33899999999983"/>
    <n v="201.33899999999983"/>
  </r>
  <r>
    <s v="ORD-00356"/>
    <s v="CUST-500"/>
    <s v="REP-18"/>
    <x v="8"/>
    <d v="2026-04-25T00:00:00"/>
    <x v="1"/>
    <s v="April"/>
    <s v="Saturday"/>
    <d v="1899-12-30T17:43:22"/>
    <n v="17"/>
    <n v="43"/>
    <x v="2"/>
    <s v="Tablets"/>
    <n v="1"/>
    <n v="345.64"/>
    <n v="200"/>
    <x v="1"/>
    <s v="noahkim@sales.techg.com"/>
    <x v="10"/>
    <x v="0"/>
    <n v="345.64"/>
    <n v="200"/>
    <n v="0.1"/>
    <n v="34.564"/>
    <n v="0.08"/>
    <n v="27.651199999999999"/>
    <n v="283.42479999999995"/>
    <n v="83.424799999999948"/>
  </r>
  <r>
    <s v="ORD-00357"/>
    <s v="CUST-521"/>
    <s v="REP-22"/>
    <x v="2"/>
    <d v="2026-09-16T00:00:00"/>
    <x v="1"/>
    <s v="September"/>
    <s v="Wednesday"/>
    <d v="1899-12-30T11:15:41"/>
    <n v="11"/>
    <n v="15"/>
    <x v="2"/>
    <s v="Tablets"/>
    <n v="15"/>
    <n v="493.79"/>
    <n v="200"/>
    <x v="0"/>
    <s v="fatimaadebayo@tg.inc"/>
    <x v="6"/>
    <x v="0"/>
    <n v="7406.85"/>
    <n v="3000"/>
    <n v="7.0000000000000007E-2"/>
    <n v="518.47950000000003"/>
    <n v="0.08"/>
    <n v="592.548"/>
    <n v="6295.8225000000002"/>
    <n v="3295.8225000000002"/>
  </r>
  <r>
    <s v="ORD-00358"/>
    <s v="CUST-531"/>
    <s v="REP-18"/>
    <x v="8"/>
    <d v="2026-11-26T00:00:00"/>
    <x v="1"/>
    <s v="November"/>
    <s v="Thursday"/>
    <d v="1899-12-30T17:01:20"/>
    <n v="17"/>
    <n v="1"/>
    <x v="4"/>
    <s v="Audio"/>
    <n v="6"/>
    <n v="180.62"/>
    <n v="50"/>
    <x v="0"/>
    <s v="noahkim@tg.inc"/>
    <x v="10"/>
    <x v="0"/>
    <n v="1083.72"/>
    <n v="300"/>
    <n v="7.0000000000000007E-2"/>
    <n v="75.860400000000013"/>
    <n v="0.03"/>
    <n v="32.511600000000001"/>
    <n v="975.34799999999996"/>
    <n v="675.34799999999996"/>
  </r>
  <r>
    <s v="ORD-00359"/>
    <s v="CUST-306"/>
    <s v="REP-29"/>
    <x v="4"/>
    <d v="2026-02-01T00:00:00"/>
    <x v="1"/>
    <s v="February"/>
    <s v="Sunday"/>
    <d v="1899-12-30T12:16:03"/>
    <n v="12"/>
    <n v="16"/>
    <x v="2"/>
    <s v="Tablets"/>
    <n v="7"/>
    <n v="444.91"/>
    <n v="200"/>
    <x v="0"/>
    <s v="sophielee@tg.inc"/>
    <x v="4"/>
    <x v="1"/>
    <n v="3114.3700000000003"/>
    <n v="1400"/>
    <n v="7.0000000000000007E-2"/>
    <n v="218.00590000000005"/>
    <n v="0.08"/>
    <n v="249.14960000000002"/>
    <n v="2647.2145"/>
    <n v="1247.2145"/>
  </r>
  <r>
    <s v="ORD-00360"/>
    <s v="CUST-314"/>
    <s v="REP-22"/>
    <x v="2"/>
    <d v="2026-08-27T00:00:00"/>
    <x v="1"/>
    <s v="August"/>
    <s v="Thursday"/>
    <d v="1899-12-30T16:51:19"/>
    <n v="16"/>
    <n v="51"/>
    <x v="4"/>
    <s v="Audio"/>
    <n v="6"/>
    <n v="150.16999999999999"/>
    <n v="50"/>
    <x v="4"/>
    <s v="fatimaadebayo@tg.inc"/>
    <x v="0"/>
    <x v="0"/>
    <n v="901.02"/>
    <n v="300"/>
    <n v="0.12"/>
    <n v="108.1224"/>
    <n v="0.03"/>
    <n v="27.0306"/>
    <n v="765.86699999999996"/>
    <n v="465.86699999999996"/>
  </r>
  <r>
    <s v="ORD-00361"/>
    <s v="CUST-611"/>
    <s v="REP-16"/>
    <x v="4"/>
    <d v="2024-02-07T00:00:00"/>
    <x v="0"/>
    <s v="February"/>
    <s v="Wednesday"/>
    <d v="1899-12-30T17:46:40"/>
    <n v="17"/>
    <n v="46"/>
    <x v="0"/>
    <s v="Computers"/>
    <n v="6"/>
    <n v="920.19"/>
    <n v="600"/>
    <x v="1"/>
    <s v="sophielee@techgadgetsco.com"/>
    <x v="15"/>
    <x v="0"/>
    <n v="5521.14"/>
    <n v="3600"/>
    <n v="0.1"/>
    <n v="552.11400000000003"/>
    <n v="0.05"/>
    <n v="276.05700000000002"/>
    <n v="4692.9690000000001"/>
    <n v="1092.9690000000001"/>
  </r>
  <r>
    <s v="ORD-00362"/>
    <s v="CUST-393"/>
    <s v="REP-15"/>
    <x v="4"/>
    <d v="2026-07-11T00:00:00"/>
    <x v="1"/>
    <s v="July"/>
    <s v="Saturday"/>
    <d v="1899-12-30T14:15:07"/>
    <n v="14"/>
    <n v="15"/>
    <x v="1"/>
    <s v="Mobile Devices"/>
    <n v="4"/>
    <n v="573.16"/>
    <n v="300"/>
    <x v="3"/>
    <s v="sophielee@tg.inc"/>
    <x v="12"/>
    <x v="0"/>
    <n v="2292.64"/>
    <n v="1200"/>
    <n v="0.15"/>
    <n v="343.89599999999996"/>
    <n v="0.1"/>
    <n v="229.26400000000001"/>
    <n v="1719.48"/>
    <n v="519.48"/>
  </r>
  <r>
    <s v="ORD-00363"/>
    <s v="CUST-908"/>
    <s v="REP-18"/>
    <x v="8"/>
    <d v="2026-12-08T00:00:00"/>
    <x v="1"/>
    <s v="December"/>
    <s v="Tuesday"/>
    <d v="1899-12-30T19:31:50"/>
    <n v="19"/>
    <n v="31"/>
    <x v="0"/>
    <s v="Computers"/>
    <n v="7"/>
    <n v="956.95"/>
    <n v="600"/>
    <x v="1"/>
    <s v="noahkim@tg.inc"/>
    <x v="1"/>
    <x v="0"/>
    <n v="6698.6500000000005"/>
    <n v="4200"/>
    <n v="0.1"/>
    <n v="669.86500000000012"/>
    <n v="0.05"/>
    <n v="334.93250000000006"/>
    <n v="5693.8525000000009"/>
    <n v="1493.8525000000009"/>
  </r>
  <r>
    <s v="ORD-00364"/>
    <s v="CUST-959"/>
    <s v="REP-14"/>
    <x v="1"/>
    <d v="2023-08-18T00:00:00"/>
    <x v="2"/>
    <s v="August"/>
    <s v="Friday"/>
    <d v="1899-12-30T16:42:53"/>
    <n v="16"/>
    <n v="42"/>
    <x v="3"/>
    <s v="Wearables"/>
    <n v="15"/>
    <n v="230.61"/>
    <n v="150"/>
    <x v="0"/>
    <s v="mariagarcia@techgadgetsco.com"/>
    <x v="10"/>
    <x v="0"/>
    <n v="3459.15"/>
    <n v="2250"/>
    <n v="7.0000000000000007E-2"/>
    <n v="242.14050000000003"/>
    <n v="7.0000000000000007E-2"/>
    <n v="242.14050000000003"/>
    <n v="2974.8690000000001"/>
    <n v="724.86900000000014"/>
  </r>
  <r>
    <s v="ORD-00365"/>
    <s v="CUST-861"/>
    <s v="REP-17"/>
    <x v="1"/>
    <d v="2024-03-22T00:00:00"/>
    <x v="0"/>
    <s v="March"/>
    <s v="Friday"/>
    <d v="1899-12-30T09:11:13"/>
    <n v="9"/>
    <n v="11"/>
    <x v="2"/>
    <s v="Tablets"/>
    <n v="5"/>
    <n v="331.19"/>
    <n v="200"/>
    <x v="4"/>
    <s v="mariagarcia@tg.inc"/>
    <x v="14"/>
    <x v="2"/>
    <n v="1655.95"/>
    <n v="1000"/>
    <n v="0.12"/>
    <n v="198.714"/>
    <n v="0.08"/>
    <n v="132.476"/>
    <n v="1324.7600000000002"/>
    <n v="324.76000000000022"/>
  </r>
  <r>
    <s v="ORD-00366"/>
    <s v="CUST-903"/>
    <s v="REP-14"/>
    <x v="1"/>
    <d v="2025-08-31T00:00:00"/>
    <x v="3"/>
    <s v="August"/>
    <s v="Sunday"/>
    <d v="1899-12-30T21:19:01"/>
    <n v="21"/>
    <n v="19"/>
    <x v="3"/>
    <s v="Wearables"/>
    <n v="7"/>
    <n v="263.88"/>
    <n v="150"/>
    <x v="0"/>
    <s v="mariagarcia@sales.techg.com"/>
    <x v="11"/>
    <x v="0"/>
    <n v="1847.1599999999999"/>
    <n v="1050"/>
    <n v="7.0000000000000007E-2"/>
    <n v="129.30119999999999"/>
    <n v="7.0000000000000007E-2"/>
    <n v="129.30119999999999"/>
    <n v="1588.5576000000001"/>
    <n v="538.55760000000009"/>
  </r>
  <r>
    <s v="ORD-00367"/>
    <s v="CUST-931"/>
    <s v="REP-13"/>
    <x v="0"/>
    <d v="2025-06-25T00:00:00"/>
    <x v="3"/>
    <s v="June"/>
    <s v="Wednesday"/>
    <d v="1899-12-30T08:58:25"/>
    <n v="8"/>
    <n v="58"/>
    <x v="2"/>
    <s v="Tablets"/>
    <n v="15"/>
    <n v="367.09"/>
    <n v="200"/>
    <x v="2"/>
    <s v="ahmedkhan@tg.inc"/>
    <x v="10"/>
    <x v="0"/>
    <n v="5506.3499999999995"/>
    <n v="3000"/>
    <n v="0.2"/>
    <n v="1101.27"/>
    <n v="0.08"/>
    <n v="440.50799999999998"/>
    <n v="3964.5720000000001"/>
    <n v="964.57200000000012"/>
  </r>
  <r>
    <s v="ORD-00368"/>
    <s v="CUST-134"/>
    <s v="REP-18"/>
    <x v="8"/>
    <d v="2025-03-10T00:00:00"/>
    <x v="3"/>
    <s v="March"/>
    <s v="Monday"/>
    <d v="1899-12-30T19:26:59"/>
    <n v="19"/>
    <n v="26"/>
    <x v="2"/>
    <s v="Tablets"/>
    <n v="15"/>
    <n v="340.08"/>
    <n v="200"/>
    <x v="2"/>
    <s v="noahkim@tg.inc"/>
    <x v="10"/>
    <x v="0"/>
    <n v="5101.2"/>
    <n v="3000"/>
    <n v="0.2"/>
    <n v="1020.24"/>
    <n v="0.08"/>
    <n v="408.096"/>
    <n v="3672.864"/>
    <n v="672.86400000000003"/>
  </r>
  <r>
    <s v="ORD-00369"/>
    <s v="CUST-756"/>
    <s v="REP-15"/>
    <x v="4"/>
    <d v="2025-06-27T00:00:00"/>
    <x v="3"/>
    <s v="June"/>
    <s v="Friday"/>
    <d v="1899-12-30T08:25:12"/>
    <n v="8"/>
    <n v="25"/>
    <x v="2"/>
    <s v="Tablets"/>
    <n v="2"/>
    <n v="500"/>
    <n v="200"/>
    <x v="2"/>
    <s v="sophielee@sales.techg.com"/>
    <x v="8"/>
    <x v="1"/>
    <n v="1000"/>
    <n v="400"/>
    <n v="0.2"/>
    <n v="200"/>
    <n v="0.08"/>
    <n v="80"/>
    <n v="720"/>
    <n v="320"/>
  </r>
  <r>
    <s v="ORD-00370"/>
    <s v="CUST-427"/>
    <s v="REP-28"/>
    <x v="1"/>
    <d v="2023-01-10T00:00:00"/>
    <x v="2"/>
    <s v="January"/>
    <s v="Tuesday"/>
    <d v="1899-12-30T10:43:37"/>
    <n v="10"/>
    <n v="43"/>
    <x v="2"/>
    <s v="Tablets"/>
    <n v="4"/>
    <n v="500"/>
    <n v="200"/>
    <x v="1"/>
    <s v="mariagarcia@tg.inc"/>
    <x v="4"/>
    <x v="1"/>
    <n v="2000"/>
    <n v="800"/>
    <n v="0.1"/>
    <n v="200"/>
    <n v="0.08"/>
    <n v="160"/>
    <n v="1640"/>
    <n v="840"/>
  </r>
  <r>
    <s v="ORD-00371"/>
    <s v="CUST-726"/>
    <s v="REP-17"/>
    <x v="1"/>
    <d v="2025-05-08T00:00:00"/>
    <x v="3"/>
    <s v="May"/>
    <s v="Thursday"/>
    <d v="1899-12-30T12:44:54"/>
    <n v="12"/>
    <n v="44"/>
    <x v="1"/>
    <s v="Mobile Devices"/>
    <n v="7"/>
    <n v="660.12"/>
    <n v="300"/>
    <x v="2"/>
    <s v="mariagarcia@techgadgetsco.com"/>
    <x v="4"/>
    <x v="1"/>
    <n v="4620.84"/>
    <n v="2100"/>
    <n v="0.2"/>
    <n v="924.16800000000012"/>
    <n v="0.1"/>
    <n v="462.08400000000006"/>
    <n v="3234.5879999999997"/>
    <n v="1134.5879999999997"/>
  </r>
  <r>
    <s v="ORD-00372"/>
    <s v="CUST-564"/>
    <s v="REP-29"/>
    <x v="4"/>
    <d v="2024-04-04T00:00:00"/>
    <x v="0"/>
    <s v="April"/>
    <s v="Thursday"/>
    <d v="1899-12-30T11:55:52"/>
    <n v="11"/>
    <n v="55"/>
    <x v="2"/>
    <s v="Tablets"/>
    <n v="8"/>
    <n v="406.26"/>
    <n v="200"/>
    <x v="2"/>
    <s v="sophielee@tg.inc"/>
    <x v="5"/>
    <x v="2"/>
    <n v="3250.08"/>
    <n v="1600"/>
    <n v="0.2"/>
    <n v="650.01600000000008"/>
    <n v="0.08"/>
    <n v="260.00639999999999"/>
    <n v="2340.0576000000001"/>
    <n v="740.05760000000009"/>
  </r>
  <r>
    <s v="ORD-00373"/>
    <s v="CUST-397"/>
    <s v="REP-18"/>
    <x v="8"/>
    <d v="2026-06-19T00:00:00"/>
    <x v="1"/>
    <s v="June"/>
    <s v="Friday"/>
    <d v="1899-12-30T11:23:37"/>
    <n v="11"/>
    <n v="23"/>
    <x v="4"/>
    <s v="Audio"/>
    <n v="7"/>
    <n v="185.36"/>
    <n v="50"/>
    <x v="3"/>
    <s v="noahkim@tg.inc"/>
    <x v="4"/>
    <x v="1"/>
    <n v="1297.52"/>
    <n v="350"/>
    <n v="0.15"/>
    <n v="194.62799999999999"/>
    <n v="0.03"/>
    <n v="38.925599999999996"/>
    <n v="1063.9664"/>
    <n v="713.96640000000002"/>
  </r>
  <r>
    <s v="ORD-00374"/>
    <s v="CUST-340"/>
    <s v="REP-29"/>
    <x v="4"/>
    <d v="2026-05-26T00:00:00"/>
    <x v="1"/>
    <s v="May"/>
    <s v="Tuesday"/>
    <d v="1899-12-30T08:16:32"/>
    <n v="8"/>
    <n v="16"/>
    <x v="3"/>
    <s v="Wearables"/>
    <n v="7"/>
    <n v="190.55"/>
    <n v="150"/>
    <x v="4"/>
    <s v="sophielee@techgadgetsco.com"/>
    <x v="7"/>
    <x v="0"/>
    <n v="1333.8500000000001"/>
    <n v="1050"/>
    <n v="0.12"/>
    <n v="160.06200000000001"/>
    <n v="7.0000000000000007E-2"/>
    <n v="93.369500000000016"/>
    <n v="1080.4185"/>
    <n v="30.418499999999995"/>
  </r>
  <r>
    <s v="ORD-00375"/>
    <s v="CUST-424"/>
    <s v="REP-32"/>
    <x v="1"/>
    <d v="2023-10-18T00:00:00"/>
    <x v="2"/>
    <s v="October"/>
    <s v="Wednesday"/>
    <d v="1899-12-30T09:20:02"/>
    <n v="9"/>
    <n v="20"/>
    <x v="1"/>
    <s v="Mobile Devices"/>
    <n v="14"/>
    <n v="588.17999999999995"/>
    <n v="300"/>
    <x v="3"/>
    <s v="mariagarcia@techgadgetsco.com"/>
    <x v="4"/>
    <x v="1"/>
    <n v="8234.5199999999986"/>
    <n v="4200"/>
    <n v="0.15"/>
    <n v="1235.1779999999997"/>
    <n v="0.1"/>
    <n v="823.45199999999988"/>
    <n v="6175.8899999999985"/>
    <n v="1975.8899999999985"/>
  </r>
  <r>
    <s v="ORD-00376"/>
    <s v="CUST-854"/>
    <s v="REP-29"/>
    <x v="4"/>
    <d v="2026-12-02T00:00:00"/>
    <x v="1"/>
    <s v="December"/>
    <s v="Wednesday"/>
    <d v="1899-12-30T08:12:09"/>
    <n v="8"/>
    <n v="12"/>
    <x v="0"/>
    <s v="Computers"/>
    <n v="1"/>
    <n v="881.78"/>
    <n v="600"/>
    <x v="3"/>
    <s v="sophielee@tg.inc"/>
    <x v="12"/>
    <x v="0"/>
    <n v="881.78"/>
    <n v="600"/>
    <n v="0.15"/>
    <n v="132.267"/>
    <n v="0.05"/>
    <n v="44.088999999999999"/>
    <n v="705.42399999999998"/>
    <n v="105.42399999999998"/>
  </r>
  <r>
    <s v="ORD-00377"/>
    <s v="CUST-568"/>
    <s v="REP-29"/>
    <x v="4"/>
    <d v="2023-10-31T00:00:00"/>
    <x v="2"/>
    <s v="October"/>
    <s v="Tuesday"/>
    <d v="1899-12-30T13:05:13"/>
    <n v="13"/>
    <n v="5"/>
    <x v="2"/>
    <s v="Tablets"/>
    <n v="3"/>
    <n v="484.51"/>
    <n v="200"/>
    <x v="4"/>
    <s v="sophielee@tg.inc"/>
    <x v="0"/>
    <x v="0"/>
    <n v="1453.53"/>
    <n v="600"/>
    <n v="0.12"/>
    <n v="174.42359999999999"/>
    <n v="0.08"/>
    <n v="116.2824"/>
    <n v="1162.8239999999998"/>
    <n v="562.82399999999984"/>
  </r>
  <r>
    <s v="ORD-00378"/>
    <s v="CUST-178"/>
    <s v="REP-17"/>
    <x v="1"/>
    <d v="2026-10-18T00:00:00"/>
    <x v="1"/>
    <s v="October"/>
    <s v="Sunday"/>
    <d v="1899-12-30T13:01:18"/>
    <n v="13"/>
    <n v="1"/>
    <x v="0"/>
    <s v="Computers"/>
    <n v="10"/>
    <n v="853.03"/>
    <n v="600"/>
    <x v="1"/>
    <s v="mariagarcia@tg.inc"/>
    <x v="7"/>
    <x v="0"/>
    <n v="8530.2999999999993"/>
    <n v="6000"/>
    <n v="0.1"/>
    <n v="853.03"/>
    <n v="0.05"/>
    <n v="426.51499999999999"/>
    <n v="7250.7549999999992"/>
    <n v="1250.7549999999992"/>
  </r>
  <r>
    <s v="ORD-00379"/>
    <s v="CUST-105"/>
    <s v="REP-21"/>
    <x v="2"/>
    <d v="2026-05-09T00:00:00"/>
    <x v="1"/>
    <s v="May"/>
    <s v="Saturday"/>
    <d v="1899-12-30T13:46:46"/>
    <n v="13"/>
    <n v="46"/>
    <x v="3"/>
    <s v="Wearables"/>
    <n v="14"/>
    <n v="500"/>
    <n v="150"/>
    <x v="1"/>
    <s v="fatimaadebayo@tg.inc"/>
    <x v="4"/>
    <x v="1"/>
    <n v="7000"/>
    <n v="2100"/>
    <n v="0.1"/>
    <n v="700"/>
    <n v="7.0000000000000007E-2"/>
    <n v="490.00000000000006"/>
    <n v="5810"/>
    <n v="3710"/>
  </r>
  <r>
    <s v="ORD-00380"/>
    <s v="CUST-889"/>
    <s v="REP-23"/>
    <x v="8"/>
    <d v="2023-12-02T00:00:00"/>
    <x v="2"/>
    <s v="December"/>
    <s v="Saturday"/>
    <d v="1899-12-30T10:24:49"/>
    <n v="10"/>
    <n v="24"/>
    <x v="4"/>
    <s v="Audio"/>
    <n v="13"/>
    <n v="131.56"/>
    <n v="50"/>
    <x v="1"/>
    <s v="noahkim@tg.inc"/>
    <x v="4"/>
    <x v="1"/>
    <n v="1710.28"/>
    <n v="650"/>
    <n v="0.1"/>
    <n v="171.02800000000002"/>
    <n v="0.03"/>
    <n v="51.308399999999999"/>
    <n v="1487.9436000000001"/>
    <n v="837.94360000000006"/>
  </r>
  <r>
    <s v="ORD-00381"/>
    <s v="CUST-198"/>
    <s v="REP-22"/>
    <x v="2"/>
    <d v="2025-09-29T00:00:00"/>
    <x v="3"/>
    <s v="September"/>
    <s v="Monday"/>
    <d v="1899-12-30T14:30:17"/>
    <n v="14"/>
    <n v="30"/>
    <x v="3"/>
    <s v="Wearables"/>
    <n v="2"/>
    <n v="265.20999999999998"/>
    <n v="150"/>
    <x v="4"/>
    <s v="fatimaadebayo@tg.inc"/>
    <x v="13"/>
    <x v="0"/>
    <n v="530.41999999999996"/>
    <n v="300"/>
    <n v="0.12"/>
    <n v="63.650399999999991"/>
    <n v="7.0000000000000007E-2"/>
    <n v="37.129400000000004"/>
    <n v="429.64019999999994"/>
    <n v="129.64019999999994"/>
  </r>
  <r>
    <s v="ORD-00382"/>
    <s v="CUST-802"/>
    <s v="REP-14"/>
    <x v="1"/>
    <d v="2025-12-15T00:00:00"/>
    <x v="3"/>
    <s v="December"/>
    <s v="Monday"/>
    <d v="1899-12-30T12:29:27"/>
    <n v="12"/>
    <n v="29"/>
    <x v="0"/>
    <s v="Computers"/>
    <n v="8"/>
    <n v="1292.0899999999999"/>
    <n v="600"/>
    <x v="1"/>
    <s v="mariagarcia@sales.techg.com"/>
    <x v="12"/>
    <x v="0"/>
    <n v="10336.719999999999"/>
    <n v="4800"/>
    <n v="0.1"/>
    <n v="1033.672"/>
    <n v="0.05"/>
    <n v="516.83600000000001"/>
    <n v="8786.2119999999995"/>
    <n v="3986.2119999999995"/>
  </r>
  <r>
    <s v="ORD-00383"/>
    <s v="CUST-622"/>
    <s v="REP-24"/>
    <x v="7"/>
    <d v="2023-07-13T00:00:00"/>
    <x v="2"/>
    <s v="July"/>
    <s v="Thursday"/>
    <d v="1899-12-30T18:46:36"/>
    <n v="18"/>
    <n v="46"/>
    <x v="2"/>
    <s v="Tablets"/>
    <n v="10"/>
    <n v="500"/>
    <n v="200"/>
    <x v="4"/>
    <s v="liamchen@sales.techg.com"/>
    <x v="9"/>
    <x v="0"/>
    <n v="5000"/>
    <n v="2000"/>
    <n v="0.12"/>
    <n v="600"/>
    <n v="0.08"/>
    <n v="400"/>
    <n v="4000"/>
    <n v="2000"/>
  </r>
  <r>
    <s v="ORD-00384"/>
    <s v="CUST-821"/>
    <s v="REP-20"/>
    <x v="4"/>
    <d v="2026-04-17T00:00:00"/>
    <x v="1"/>
    <s v="April"/>
    <s v="Friday"/>
    <d v="1899-12-30T20:42:28"/>
    <n v="20"/>
    <n v="42"/>
    <x v="3"/>
    <s v="Wearables"/>
    <n v="6"/>
    <n v="271.85000000000002"/>
    <n v="150"/>
    <x v="2"/>
    <s v="sophielee@sales.techg.com"/>
    <x v="4"/>
    <x v="1"/>
    <n v="1631.1000000000001"/>
    <n v="900"/>
    <n v="0.2"/>
    <n v="326.22000000000003"/>
    <n v="7.0000000000000007E-2"/>
    <n v="114.17700000000002"/>
    <n v="1190.703"/>
    <n v="290.70299999999997"/>
  </r>
  <r>
    <s v="ORD-00385"/>
    <s v="CUST-105"/>
    <s v="REP-23"/>
    <x v="8"/>
    <d v="2023-01-28T00:00:00"/>
    <x v="2"/>
    <s v="January"/>
    <s v="Saturday"/>
    <d v="1899-12-30T18:30:29"/>
    <n v="18"/>
    <n v="30"/>
    <x v="4"/>
    <s v="Audio"/>
    <n v="12"/>
    <n v="156.5"/>
    <n v="50"/>
    <x v="4"/>
    <s v="noahkim@tg.inc"/>
    <x v="11"/>
    <x v="0"/>
    <n v="1878"/>
    <n v="600"/>
    <n v="0.12"/>
    <n v="225.35999999999999"/>
    <n v="0.03"/>
    <n v="56.339999999999996"/>
    <n v="1596.3000000000002"/>
    <n v="996.30000000000018"/>
  </r>
  <r>
    <s v="ORD-00386"/>
    <s v="CUST-295"/>
    <s v="REP-13"/>
    <x v="0"/>
    <d v="2026-11-26T00:00:00"/>
    <x v="1"/>
    <s v="November"/>
    <s v="Thursday"/>
    <d v="1899-12-30T21:01:13"/>
    <n v="21"/>
    <n v="1"/>
    <x v="4"/>
    <s v="Audio"/>
    <n v="11"/>
    <n v="183.16"/>
    <n v="50"/>
    <x v="4"/>
    <s v="ahmedkhan@tg.inc"/>
    <x v="7"/>
    <x v="0"/>
    <n v="2014.76"/>
    <n v="550"/>
    <n v="0.12"/>
    <n v="241.77119999999999"/>
    <n v="0.03"/>
    <n v="60.442799999999998"/>
    <n v="1712.546"/>
    <n v="1162.546"/>
  </r>
  <r>
    <s v="ORD-00387"/>
    <s v="CUST-856"/>
    <s v="REP-28"/>
    <x v="1"/>
    <d v="2025-08-23T00:00:00"/>
    <x v="3"/>
    <s v="August"/>
    <s v="Saturday"/>
    <d v="1899-12-30T21:28:37"/>
    <n v="21"/>
    <n v="28"/>
    <x v="1"/>
    <s v="Mobile Devices"/>
    <n v="10"/>
    <n v="597.52"/>
    <n v="300"/>
    <x v="1"/>
    <s v="mariagarcia@tg.inc"/>
    <x v="14"/>
    <x v="2"/>
    <n v="5975.2"/>
    <n v="3000"/>
    <n v="0.1"/>
    <n v="597.52"/>
    <n v="0.1"/>
    <n v="597.52"/>
    <n v="4780.16"/>
    <n v="1780.1599999999999"/>
  </r>
  <r>
    <s v="ORD-00388"/>
    <s v="CUST-667"/>
    <s v="REP-20"/>
    <x v="4"/>
    <d v="2025-09-25T00:00:00"/>
    <x v="3"/>
    <s v="September"/>
    <s v="Thursday"/>
    <d v="1899-12-30T15:32:37"/>
    <n v="15"/>
    <n v="32"/>
    <x v="3"/>
    <s v="Wearables"/>
    <n v="15"/>
    <n v="229.67"/>
    <n v="150"/>
    <x v="0"/>
    <s v="sophielee@techgadgetsco.com"/>
    <x v="15"/>
    <x v="0"/>
    <n v="3445.0499999999997"/>
    <n v="2250"/>
    <n v="7.0000000000000007E-2"/>
    <n v="241.15350000000001"/>
    <n v="7.0000000000000007E-2"/>
    <n v="241.15350000000001"/>
    <n v="2962.7429999999999"/>
    <n v="712.74299999999994"/>
  </r>
  <r>
    <s v="ORD-00389"/>
    <s v="CUST-219"/>
    <s v="REP-29"/>
    <x v="4"/>
    <d v="2025-07-07T00:00:00"/>
    <x v="3"/>
    <s v="July"/>
    <s v="Monday"/>
    <d v="1899-12-30T08:10:18"/>
    <n v="8"/>
    <n v="10"/>
    <x v="1"/>
    <s v="Mobile Devices"/>
    <n v="8"/>
    <n v="545.91"/>
    <n v="300"/>
    <x v="1"/>
    <s v="sophielee@techgadgetsco.com"/>
    <x v="4"/>
    <x v="1"/>
    <n v="4367.28"/>
    <n v="2400"/>
    <n v="0.1"/>
    <n v="436.72800000000001"/>
    <n v="0.1"/>
    <n v="436.72800000000001"/>
    <n v="3493.8239999999996"/>
    <n v="1093.8239999999996"/>
  </r>
  <r>
    <s v="ORD-00390"/>
    <s v="CUST-526"/>
    <s v="REP-22"/>
    <x v="2"/>
    <d v="2023-11-28T00:00:00"/>
    <x v="2"/>
    <s v="November"/>
    <s v="Tuesday"/>
    <d v="1899-12-30T12:44:47"/>
    <n v="12"/>
    <n v="44"/>
    <x v="0"/>
    <s v="Computers"/>
    <n v="3"/>
    <n v="878.16"/>
    <n v="600"/>
    <x v="3"/>
    <s v="fatimaadebayo@sales.techg.com"/>
    <x v="4"/>
    <x v="1"/>
    <n v="2634.48"/>
    <n v="1800"/>
    <n v="0.15"/>
    <n v="395.17199999999997"/>
    <n v="0.05"/>
    <n v="131.72400000000002"/>
    <n v="2107.5839999999998"/>
    <n v="307.58399999999983"/>
  </r>
  <r>
    <s v="ORD-00391"/>
    <s v="CUST-467"/>
    <s v="REP-18"/>
    <x v="8"/>
    <d v="2026-10-18T00:00:00"/>
    <x v="1"/>
    <s v="October"/>
    <s v="Sunday"/>
    <d v="1899-12-30T10:52:55"/>
    <n v="10"/>
    <n v="52"/>
    <x v="3"/>
    <s v="Wearables"/>
    <n v="7"/>
    <n v="500"/>
    <n v="150"/>
    <x v="3"/>
    <s v="noahkim@sales.techg.com"/>
    <x v="7"/>
    <x v="0"/>
    <n v="3500"/>
    <n v="1050"/>
    <n v="0.15"/>
    <n v="525"/>
    <n v="7.0000000000000007E-2"/>
    <n v="245.00000000000003"/>
    <n v="2730"/>
    <n v="1680"/>
  </r>
  <r>
    <s v="ORD-00392"/>
    <s v="CUST-147"/>
    <s v="REP-33"/>
    <x v="0"/>
    <d v="2023-06-11T00:00:00"/>
    <x v="2"/>
    <s v="June"/>
    <s v="Sunday"/>
    <d v="1899-12-30T19:03:59"/>
    <n v="19"/>
    <n v="3"/>
    <x v="4"/>
    <s v="Audio"/>
    <n v="14"/>
    <n v="193.1"/>
    <n v="50"/>
    <x v="4"/>
    <s v="ahmedkhan@tg.inc"/>
    <x v="12"/>
    <x v="0"/>
    <n v="2703.4"/>
    <n v="700"/>
    <n v="0.12"/>
    <n v="324.40800000000002"/>
    <n v="0.03"/>
    <n v="81.102000000000004"/>
    <n v="2297.8900000000003"/>
    <n v="1597.8900000000003"/>
  </r>
  <r>
    <s v="ORD-00393"/>
    <s v="CUST-310"/>
    <s v="REP-22"/>
    <x v="2"/>
    <d v="2024-08-21T00:00:00"/>
    <x v="0"/>
    <s v="August"/>
    <s v="Wednesday"/>
    <d v="1899-12-30T20:32:31"/>
    <n v="20"/>
    <n v="32"/>
    <x v="0"/>
    <s v="Computers"/>
    <n v="6"/>
    <n v="868.89"/>
    <n v="600"/>
    <x v="2"/>
    <s v="fatimaadebayo@tg.inc"/>
    <x v="3"/>
    <x v="0"/>
    <n v="5213.34"/>
    <n v="3600"/>
    <n v="0.2"/>
    <n v="1042.6680000000001"/>
    <n v="0.05"/>
    <n v="260.66700000000003"/>
    <n v="3910.0050000000006"/>
    <n v="310.00500000000056"/>
  </r>
  <r>
    <s v="ORD-00394"/>
    <s v="CUST-275"/>
    <s v="REP-12"/>
    <x v="5"/>
    <d v="2025-01-02T00:00:00"/>
    <x v="3"/>
    <s v="January"/>
    <s v="Thursday"/>
    <d v="1899-12-30T13:40:42"/>
    <n v="13"/>
    <n v="40"/>
    <x v="1"/>
    <s v="Mobile Devices"/>
    <n v="13"/>
    <n v="716.16"/>
    <n v="300"/>
    <x v="2"/>
    <s v="oliviapatel@tg.inc"/>
    <x v="6"/>
    <x v="0"/>
    <n v="9310.08"/>
    <n v="3900"/>
    <n v="0.2"/>
    <n v="1862.0160000000001"/>
    <n v="0.1"/>
    <n v="931.00800000000004"/>
    <n v="6517.0560000000005"/>
    <n v="2617.0560000000005"/>
  </r>
  <r>
    <s v="ORD-00395"/>
    <s v="CUST-130"/>
    <s v="REP-28"/>
    <x v="1"/>
    <d v="2023-01-21T00:00:00"/>
    <x v="2"/>
    <s v="January"/>
    <s v="Saturday"/>
    <d v="1899-12-30T09:21:20"/>
    <n v="9"/>
    <n v="21"/>
    <x v="4"/>
    <s v="Audio"/>
    <n v="3"/>
    <n v="149.49"/>
    <n v="50"/>
    <x v="0"/>
    <s v="mariagarcia@sales.techg.com"/>
    <x v="12"/>
    <x v="0"/>
    <n v="448.47"/>
    <n v="150"/>
    <n v="7.0000000000000007E-2"/>
    <n v="31.392900000000004"/>
    <n v="0.03"/>
    <n v="13.4541"/>
    <n v="403.62300000000005"/>
    <n v="253.62300000000005"/>
  </r>
  <r>
    <s v="ORD-00396"/>
    <s v="CUST-996"/>
    <s v="REP-32"/>
    <x v="1"/>
    <d v="2025-08-05T00:00:00"/>
    <x v="3"/>
    <s v="August"/>
    <s v="Tuesday"/>
    <d v="1899-12-30T18:44:35"/>
    <n v="18"/>
    <n v="44"/>
    <x v="2"/>
    <s v="Tablets"/>
    <n v="6"/>
    <n v="321.58"/>
    <n v="200"/>
    <x v="1"/>
    <s v="mariagarcia@techgadgetsco.com"/>
    <x v="11"/>
    <x v="0"/>
    <n v="1929.48"/>
    <n v="1200"/>
    <n v="0.1"/>
    <n v="192.94800000000001"/>
    <n v="0.08"/>
    <n v="154.35840000000002"/>
    <n v="1582.1735999999999"/>
    <n v="382.17359999999985"/>
  </r>
  <r>
    <s v="ORD-00397"/>
    <s v="CUST-907"/>
    <s v="REP-35"/>
    <x v="6"/>
    <d v="2025-06-24T00:00:00"/>
    <x v="3"/>
    <s v="June"/>
    <s v="Tuesday"/>
    <d v="1899-12-30T20:50:41"/>
    <n v="20"/>
    <n v="50"/>
    <x v="4"/>
    <s v="Audio"/>
    <n v="15"/>
    <n v="122.77"/>
    <n v="50"/>
    <x v="1"/>
    <s v="carlosrodriguez@tg.inc"/>
    <x v="13"/>
    <x v="0"/>
    <n v="1841.55"/>
    <n v="750"/>
    <n v="0.1"/>
    <n v="184.155"/>
    <n v="0.03"/>
    <n v="55.246499999999997"/>
    <n v="1602.1485"/>
    <n v="852.14850000000001"/>
  </r>
  <r>
    <s v="ORD-00398"/>
    <s v="CUST-665"/>
    <s v="REP-20"/>
    <x v="4"/>
    <d v="2026-07-25T00:00:00"/>
    <x v="1"/>
    <s v="July"/>
    <s v="Saturday"/>
    <d v="1899-12-30T08:01:56"/>
    <n v="8"/>
    <n v="1"/>
    <x v="3"/>
    <s v="Wearables"/>
    <n v="4"/>
    <n v="209.43"/>
    <n v="150"/>
    <x v="3"/>
    <s v="sophielee@sales.techg.com"/>
    <x v="1"/>
    <x v="0"/>
    <n v="837.72"/>
    <n v="600"/>
    <n v="0.15"/>
    <n v="125.658"/>
    <n v="7.0000000000000007E-2"/>
    <n v="58.640400000000007"/>
    <n v="653.42160000000001"/>
    <n v="53.421600000000012"/>
  </r>
  <r>
    <s v="ORD-00399"/>
    <s v="CUST-874"/>
    <s v="REP-13"/>
    <x v="0"/>
    <d v="2024-02-09T00:00:00"/>
    <x v="0"/>
    <s v="February"/>
    <s v="Friday"/>
    <d v="1899-12-30T15:21:15"/>
    <n v="15"/>
    <n v="21"/>
    <x v="3"/>
    <s v="Wearables"/>
    <n v="15"/>
    <n v="249.21"/>
    <n v="150"/>
    <x v="4"/>
    <s v="ahmedkhan@sales.techg.com"/>
    <x v="8"/>
    <x v="1"/>
    <n v="3738.15"/>
    <n v="2250"/>
    <n v="0.12"/>
    <n v="448.57799999999997"/>
    <n v="7.0000000000000007E-2"/>
    <n v="261.6705"/>
    <n v="3027.9014999999999"/>
    <n v="777.90149999999994"/>
  </r>
  <r>
    <s v="ORD-00400"/>
    <s v="CUST-435"/>
    <s v="REP-32"/>
    <x v="1"/>
    <d v="2025-09-01T00:00:00"/>
    <x v="3"/>
    <s v="September"/>
    <s v="Monday"/>
    <d v="1899-12-30T09:09:45"/>
    <n v="9"/>
    <n v="9"/>
    <x v="4"/>
    <s v="Audio"/>
    <n v="2"/>
    <n v="500"/>
    <n v="50"/>
    <x v="3"/>
    <s v="mariagarcia@tg.inc"/>
    <x v="1"/>
    <x v="0"/>
    <n v="1000"/>
    <n v="100"/>
    <n v="0.15"/>
    <n v="150"/>
    <n v="0.03"/>
    <n v="30"/>
    <n v="820"/>
    <n v="720"/>
  </r>
  <r>
    <s v="ORD-00401"/>
    <s v="CUST-897"/>
    <s v="REP-23"/>
    <x v="8"/>
    <d v="2026-11-04T00:00:00"/>
    <x v="1"/>
    <s v="November"/>
    <s v="Wednesday"/>
    <d v="1899-12-30T18:27:28"/>
    <n v="18"/>
    <n v="27"/>
    <x v="4"/>
    <s v="Audio"/>
    <n v="7"/>
    <n v="130.83000000000001"/>
    <n v="50"/>
    <x v="2"/>
    <s v="noahkim@sales.techg.com"/>
    <x v="13"/>
    <x v="0"/>
    <n v="915.81000000000006"/>
    <n v="350"/>
    <n v="0.2"/>
    <n v="183.16200000000003"/>
    <n v="0.03"/>
    <n v="27.474299999999999"/>
    <n v="705.17370000000005"/>
    <n v="355.17370000000005"/>
  </r>
  <r>
    <s v="ORD-00402"/>
    <s v="CUST-584"/>
    <s v="REP-11"/>
    <x v="3"/>
    <d v="2023-11-18T00:00:00"/>
    <x v="2"/>
    <s v="November"/>
    <s v="Saturday"/>
    <d v="1899-12-30T09:38:54"/>
    <n v="9"/>
    <n v="38"/>
    <x v="4"/>
    <s v="Audio"/>
    <n v="6"/>
    <n v="123.02"/>
    <n v="50"/>
    <x v="2"/>
    <s v="emmadubois@sales.techg.com"/>
    <x v="4"/>
    <x v="1"/>
    <n v="738.12"/>
    <n v="300"/>
    <n v="0.2"/>
    <n v="147.624"/>
    <n v="0.03"/>
    <n v="22.143599999999999"/>
    <n v="568.35239999999999"/>
    <n v="268.35239999999999"/>
  </r>
  <r>
    <s v="ORD-00403"/>
    <s v="CUST-703"/>
    <s v="REP-24"/>
    <x v="7"/>
    <d v="2024-09-16T00:00:00"/>
    <x v="0"/>
    <s v="September"/>
    <s v="Monday"/>
    <d v="1899-12-30T11:11:52"/>
    <n v="11"/>
    <n v="11"/>
    <x v="4"/>
    <s v="Audio"/>
    <n v="7"/>
    <n v="125.07"/>
    <n v="50"/>
    <x v="0"/>
    <s v="liamchen@techgadgetsco.com"/>
    <x v="10"/>
    <x v="0"/>
    <n v="875.49"/>
    <n v="350"/>
    <n v="7.0000000000000007E-2"/>
    <n v="61.284300000000009"/>
    <n v="0.03"/>
    <n v="26.264699999999998"/>
    <n v="787.94100000000003"/>
    <n v="437.94100000000003"/>
  </r>
  <r>
    <s v="ORD-00404"/>
    <s v="CUST-720"/>
    <s v="REP-14"/>
    <x v="1"/>
    <d v="2025-10-30T00:00:00"/>
    <x v="3"/>
    <s v="October"/>
    <s v="Thursday"/>
    <d v="1899-12-30T20:28:42"/>
    <n v="20"/>
    <n v="28"/>
    <x v="4"/>
    <s v="Audio"/>
    <n v="12"/>
    <n v="179.99"/>
    <n v="50"/>
    <x v="4"/>
    <s v="mariagarcia@techgadgetsco.com"/>
    <x v="12"/>
    <x v="0"/>
    <n v="2159.88"/>
    <n v="600"/>
    <n v="0.12"/>
    <n v="259.18560000000002"/>
    <n v="0.03"/>
    <n v="64.796400000000006"/>
    <n v="1835.8980000000001"/>
    <n v="1235.8980000000001"/>
  </r>
  <r>
    <s v="ORD-00405"/>
    <s v="CUST-761"/>
    <s v="REP-12"/>
    <x v="5"/>
    <d v="2026-12-19T00:00:00"/>
    <x v="1"/>
    <s v="December"/>
    <s v="Saturday"/>
    <d v="1899-12-30T17:40:50"/>
    <n v="17"/>
    <n v="40"/>
    <x v="2"/>
    <s v="Tablets"/>
    <n v="2"/>
    <n v="337.03"/>
    <n v="200"/>
    <x v="4"/>
    <s v="oliviapatel@techgadgetsco.com"/>
    <x v="13"/>
    <x v="0"/>
    <n v="674.06"/>
    <n v="400"/>
    <n v="0.12"/>
    <n v="80.887199999999993"/>
    <n v="0.08"/>
    <n v="53.924799999999998"/>
    <n v="539.24799999999993"/>
    <n v="139.24799999999993"/>
  </r>
  <r>
    <s v="ORD-00406"/>
    <s v="CUST-223"/>
    <s v="REP-33"/>
    <x v="0"/>
    <d v="2023-08-02T00:00:00"/>
    <x v="2"/>
    <s v="August"/>
    <s v="Wednesday"/>
    <d v="1899-12-30T20:13:15"/>
    <n v="20"/>
    <n v="13"/>
    <x v="3"/>
    <s v="Wearables"/>
    <n v="13"/>
    <n v="211.25"/>
    <n v="150"/>
    <x v="4"/>
    <s v="ahmedkhan@sales.techg.com"/>
    <x v="14"/>
    <x v="2"/>
    <n v="2746.25"/>
    <n v="1950"/>
    <n v="0.12"/>
    <n v="329.55"/>
    <n v="7.0000000000000007E-2"/>
    <n v="192.23750000000001"/>
    <n v="2224.4624999999996"/>
    <n v="274.46249999999964"/>
  </r>
  <r>
    <s v="ORD-00407"/>
    <s v="CUST-491"/>
    <s v="REP-18"/>
    <x v="8"/>
    <d v="2023-08-23T00:00:00"/>
    <x v="2"/>
    <s v="August"/>
    <s v="Wednesday"/>
    <d v="1899-12-30T16:10:18"/>
    <n v="16"/>
    <n v="10"/>
    <x v="1"/>
    <s v="Mobile Devices"/>
    <n v="13"/>
    <n v="500"/>
    <n v="300"/>
    <x v="1"/>
    <s v="noahkim@tg.inc"/>
    <x v="10"/>
    <x v="0"/>
    <n v="6500"/>
    <n v="3900"/>
    <n v="0.1"/>
    <n v="650"/>
    <n v="0.1"/>
    <n v="650"/>
    <n v="5200"/>
    <n v="1300"/>
  </r>
  <r>
    <s v="ORD-00408"/>
    <s v="CUST-201"/>
    <s v="REP-21"/>
    <x v="2"/>
    <d v="2025-04-25T00:00:00"/>
    <x v="3"/>
    <s v="April"/>
    <s v="Friday"/>
    <d v="1899-12-30T12:24:52"/>
    <n v="12"/>
    <n v="24"/>
    <x v="0"/>
    <s v="Computers"/>
    <n v="7"/>
    <n v="1098.5"/>
    <n v="600"/>
    <x v="2"/>
    <s v="fatimaadebayo@tg.inc"/>
    <x v="2"/>
    <x v="0"/>
    <n v="7689.5"/>
    <n v="4200"/>
    <n v="0.2"/>
    <n v="1537.9"/>
    <n v="0.05"/>
    <n v="384.47500000000002"/>
    <n v="5767.125"/>
    <n v="1567.125"/>
  </r>
  <r>
    <s v="ORD-00409"/>
    <s v="CUST-167"/>
    <s v="REP-29"/>
    <x v="4"/>
    <d v="2025-04-14T00:00:00"/>
    <x v="3"/>
    <s v="April"/>
    <s v="Monday"/>
    <d v="1899-12-30T08:17:35"/>
    <n v="8"/>
    <n v="17"/>
    <x v="3"/>
    <s v="Wearables"/>
    <n v="4"/>
    <n v="247.67"/>
    <n v="150"/>
    <x v="2"/>
    <s v="sophielee@tg.inc"/>
    <x v="13"/>
    <x v="0"/>
    <n v="990.68"/>
    <n v="600"/>
    <n v="0.2"/>
    <n v="198.136"/>
    <n v="7.0000000000000007E-2"/>
    <n v="69.3476"/>
    <n v="723.19640000000004"/>
    <n v="123.19640000000004"/>
  </r>
  <r>
    <s v="ORD-00410"/>
    <s v="CUST-272"/>
    <s v="REP-17"/>
    <x v="1"/>
    <d v="2026-10-02T00:00:00"/>
    <x v="1"/>
    <s v="October"/>
    <s v="Friday"/>
    <d v="1899-12-30T08:00:52"/>
    <n v="8"/>
    <n v="0"/>
    <x v="4"/>
    <s v="Audio"/>
    <n v="10"/>
    <n v="192.91"/>
    <n v="50"/>
    <x v="0"/>
    <s v="mariagarcia@tg.inc"/>
    <x v="4"/>
    <x v="1"/>
    <n v="1929.1"/>
    <n v="500"/>
    <n v="7.0000000000000007E-2"/>
    <n v="135.03700000000001"/>
    <n v="0.03"/>
    <n v="57.872999999999998"/>
    <n v="1736.1899999999998"/>
    <n v="1236.1899999999998"/>
  </r>
  <r>
    <s v="ORD-00411"/>
    <s v="CUST-747"/>
    <s v="REP-16"/>
    <x v="4"/>
    <d v="2023-04-04T00:00:00"/>
    <x v="2"/>
    <s v="April"/>
    <s v="Tuesday"/>
    <d v="1899-12-30T19:34:36"/>
    <n v="19"/>
    <n v="34"/>
    <x v="0"/>
    <s v="Computers"/>
    <n v="7"/>
    <n v="1215.25"/>
    <n v="600"/>
    <x v="4"/>
    <s v="sophielee@techgadgetsco.com"/>
    <x v="13"/>
    <x v="0"/>
    <n v="8506.75"/>
    <n v="4200"/>
    <n v="0.12"/>
    <n v="1020.81"/>
    <n v="0.05"/>
    <n v="425.33750000000003"/>
    <n v="7060.6025000000009"/>
    <n v="2860.6025000000009"/>
  </r>
  <r>
    <s v="ORD-00412"/>
    <s v="CUST-450"/>
    <s v="REP-18"/>
    <x v="8"/>
    <d v="2024-07-13T00:00:00"/>
    <x v="0"/>
    <s v="July"/>
    <s v="Saturday"/>
    <d v="1899-12-30T18:20:21"/>
    <n v="18"/>
    <n v="20"/>
    <x v="1"/>
    <s v="Mobile Devices"/>
    <n v="10"/>
    <n v="754.21"/>
    <n v="300"/>
    <x v="2"/>
    <s v="noahkim@sales.techg.com"/>
    <x v="0"/>
    <x v="0"/>
    <n v="7542.1"/>
    <n v="3000"/>
    <n v="0.2"/>
    <n v="1508.42"/>
    <n v="0.1"/>
    <n v="754.21"/>
    <n v="5279.47"/>
    <n v="2279.4700000000003"/>
  </r>
  <r>
    <s v="ORD-00413"/>
    <s v="CUST-820"/>
    <s v="REP-29"/>
    <x v="4"/>
    <d v="2026-07-01T00:00:00"/>
    <x v="1"/>
    <s v="July"/>
    <s v="Wednesday"/>
    <d v="1899-12-30T20:56:41"/>
    <n v="20"/>
    <n v="56"/>
    <x v="0"/>
    <s v="Computers"/>
    <n v="15"/>
    <n v="1135.81"/>
    <n v="600"/>
    <x v="0"/>
    <s v="sophielee@techgadgetsco.com"/>
    <x v="1"/>
    <x v="0"/>
    <n v="17037.149999999998"/>
    <n v="9000"/>
    <n v="7.0000000000000007E-2"/>
    <n v="1192.6005"/>
    <n v="0.05"/>
    <n v="851.85749999999996"/>
    <n v="14992.691999999997"/>
    <n v="5992.6919999999973"/>
  </r>
  <r>
    <s v="ORD-00414"/>
    <s v="CUST-108"/>
    <s v="REP-13"/>
    <x v="0"/>
    <d v="2025-01-28T00:00:00"/>
    <x v="3"/>
    <s v="January"/>
    <s v="Tuesday"/>
    <d v="1899-12-30T15:00:14"/>
    <n v="15"/>
    <n v="0"/>
    <x v="0"/>
    <s v="Computers"/>
    <n v="11"/>
    <n v="978.91"/>
    <n v="600"/>
    <x v="0"/>
    <s v="ahmedkhan@sales.techg.com"/>
    <x v="3"/>
    <x v="0"/>
    <n v="10768.01"/>
    <n v="6600"/>
    <n v="7.0000000000000007E-2"/>
    <n v="753.76070000000004"/>
    <n v="0.05"/>
    <n v="538.40050000000008"/>
    <n v="9475.8487999999998"/>
    <n v="2875.8487999999998"/>
  </r>
  <r>
    <s v="ORD-00415"/>
    <s v="CUST-387"/>
    <s v="REP-29"/>
    <x v="4"/>
    <d v="2023-01-15T00:00:00"/>
    <x v="2"/>
    <s v="January"/>
    <s v="Sunday"/>
    <d v="1899-12-30T21:40:25"/>
    <n v="21"/>
    <n v="40"/>
    <x v="0"/>
    <s v="Computers"/>
    <n v="10"/>
    <n v="885.24"/>
    <n v="600"/>
    <x v="2"/>
    <s v="sophielee@tg.inc"/>
    <x v="4"/>
    <x v="1"/>
    <n v="8852.4"/>
    <n v="6000"/>
    <n v="0.2"/>
    <n v="1770.48"/>
    <n v="0.05"/>
    <n v="442.62"/>
    <n v="6639.3"/>
    <n v="639.30000000000018"/>
  </r>
  <r>
    <s v="ORD-00416"/>
    <s v="CUST-365"/>
    <s v="REP-34"/>
    <x v="2"/>
    <d v="2025-07-12T00:00:00"/>
    <x v="3"/>
    <s v="July"/>
    <s v="Saturday"/>
    <d v="1899-12-30T11:54:43"/>
    <n v="11"/>
    <n v="54"/>
    <x v="0"/>
    <s v="Computers"/>
    <n v="12"/>
    <n v="1107.23"/>
    <n v="600"/>
    <x v="4"/>
    <s v="fatimaadebayo@tg.inc"/>
    <x v="12"/>
    <x v="0"/>
    <n v="13286.76"/>
    <n v="7200"/>
    <n v="0.12"/>
    <n v="1594.4112"/>
    <n v="0.05"/>
    <n v="664.33800000000008"/>
    <n v="11028.0108"/>
    <n v="3828.0108"/>
  </r>
  <r>
    <s v="ORD-00417"/>
    <s v="CUST-516"/>
    <s v="REP-18"/>
    <x v="8"/>
    <d v="2026-10-24T00:00:00"/>
    <x v="1"/>
    <s v="October"/>
    <s v="Saturday"/>
    <d v="1899-12-30T15:23:33"/>
    <n v="15"/>
    <n v="23"/>
    <x v="0"/>
    <s v="Computers"/>
    <n v="4"/>
    <n v="500"/>
    <n v="600"/>
    <x v="3"/>
    <s v="noahkim@tg.inc"/>
    <x v="4"/>
    <x v="1"/>
    <n v="2000"/>
    <n v="2400"/>
    <n v="0.15"/>
    <n v="300"/>
    <n v="0.05"/>
    <n v="100"/>
    <n v="1600"/>
    <n v="-800"/>
  </r>
  <r>
    <s v="ORD-00418"/>
    <s v="CUST-855"/>
    <s v="REP-17"/>
    <x v="1"/>
    <d v="2023-02-06T00:00:00"/>
    <x v="2"/>
    <s v="February"/>
    <s v="Monday"/>
    <d v="1899-12-30T11:10:21"/>
    <n v="11"/>
    <n v="10"/>
    <x v="2"/>
    <s v="Tablets"/>
    <n v="7"/>
    <n v="325.57"/>
    <n v="200"/>
    <x v="3"/>
    <s v="mariagarcia@tg.inc"/>
    <x v="10"/>
    <x v="0"/>
    <n v="2278.9899999999998"/>
    <n v="1400"/>
    <n v="0.15"/>
    <n v="341.84849999999994"/>
    <n v="0.08"/>
    <n v="182.3192"/>
    <n v="1754.8222999999998"/>
    <n v="354.82229999999981"/>
  </r>
  <r>
    <s v="ORD-00419"/>
    <s v="CUST-448"/>
    <s v="REP-11"/>
    <x v="3"/>
    <d v="2025-11-30T00:00:00"/>
    <x v="3"/>
    <s v="November"/>
    <s v="Sunday"/>
    <d v="1899-12-30T09:49:38"/>
    <n v="9"/>
    <n v="49"/>
    <x v="3"/>
    <s v="Wearables"/>
    <n v="2"/>
    <n v="239.68"/>
    <n v="150"/>
    <x v="0"/>
    <s v="emmadubois@techgadgetsco.com"/>
    <x v="15"/>
    <x v="0"/>
    <n v="479.36"/>
    <n v="300"/>
    <n v="7.0000000000000007E-2"/>
    <n v="33.555200000000006"/>
    <n v="7.0000000000000007E-2"/>
    <n v="33.555200000000006"/>
    <n v="412.24959999999999"/>
    <n v="112.24959999999999"/>
  </r>
  <r>
    <s v="ORD-00420"/>
    <s v="CUST-156"/>
    <s v="REP-20"/>
    <x v="4"/>
    <d v="2023-05-15T00:00:00"/>
    <x v="2"/>
    <s v="May"/>
    <s v="Monday"/>
    <d v="1899-12-30T18:03:35"/>
    <n v="18"/>
    <n v="3"/>
    <x v="0"/>
    <s v="Computers"/>
    <n v="7"/>
    <n v="1108.6500000000001"/>
    <n v="600"/>
    <x v="3"/>
    <s v="sophielee@sales.techg.com"/>
    <x v="0"/>
    <x v="0"/>
    <n v="7760.5500000000011"/>
    <n v="4200"/>
    <n v="0.15"/>
    <n v="1164.0825000000002"/>
    <n v="0.05"/>
    <n v="388.02750000000009"/>
    <n v="6208.4400000000005"/>
    <n v="2008.4400000000005"/>
  </r>
  <r>
    <s v="ORD-00421"/>
    <s v="CUST-735"/>
    <s v="REP-35"/>
    <x v="6"/>
    <d v="2024-11-26T00:00:00"/>
    <x v="0"/>
    <s v="November"/>
    <s v="Tuesday"/>
    <d v="1899-12-30T15:33:21"/>
    <n v="15"/>
    <n v="33"/>
    <x v="3"/>
    <s v="Wearables"/>
    <n v="2"/>
    <n v="500"/>
    <n v="150"/>
    <x v="0"/>
    <s v="carlosrodriguez@sales.techg.com"/>
    <x v="8"/>
    <x v="1"/>
    <n v="1000"/>
    <n v="300"/>
    <n v="7.0000000000000007E-2"/>
    <n v="70"/>
    <n v="7.0000000000000007E-2"/>
    <n v="70"/>
    <n v="860"/>
    <n v="560"/>
  </r>
  <r>
    <s v="ORD-00422"/>
    <s v="CUST-842"/>
    <s v="REP-35"/>
    <x v="6"/>
    <d v="2024-01-16T00:00:00"/>
    <x v="0"/>
    <s v="January"/>
    <s v="Tuesday"/>
    <d v="1899-12-30T10:51:02"/>
    <n v="10"/>
    <n v="51"/>
    <x v="0"/>
    <s v="Computers"/>
    <n v="10"/>
    <n v="1279.8699999999999"/>
    <n v="600"/>
    <x v="1"/>
    <s v="carlosrodriguez@techgadgetsco.com"/>
    <x v="8"/>
    <x v="1"/>
    <n v="12798.699999999999"/>
    <n v="6000"/>
    <n v="0.1"/>
    <n v="1279.8699999999999"/>
    <n v="0.05"/>
    <n v="639.93499999999995"/>
    <n v="10878.894999999999"/>
    <n v="4878.8949999999986"/>
  </r>
  <r>
    <s v="ORD-00423"/>
    <s v="CUST-108"/>
    <s v="REP-32"/>
    <x v="1"/>
    <d v="2023-04-28T00:00:00"/>
    <x v="2"/>
    <s v="April"/>
    <s v="Friday"/>
    <d v="1899-12-30T16:52:53"/>
    <n v="16"/>
    <n v="52"/>
    <x v="3"/>
    <s v="Wearables"/>
    <n v="7"/>
    <n v="283.42"/>
    <n v="150"/>
    <x v="2"/>
    <s v="mariagarcia@tg.inc"/>
    <x v="6"/>
    <x v="0"/>
    <n v="1983.94"/>
    <n v="1050"/>
    <n v="0.2"/>
    <n v="396.78800000000001"/>
    <n v="7.0000000000000007E-2"/>
    <n v="138.87580000000003"/>
    <n v="1448.2762"/>
    <n v="398.27620000000002"/>
  </r>
  <r>
    <s v="ORD-00424"/>
    <s v="CUST-443"/>
    <s v="REP-35"/>
    <x v="6"/>
    <d v="2025-07-05T00:00:00"/>
    <x v="3"/>
    <s v="July"/>
    <s v="Saturday"/>
    <d v="1899-12-30T10:06:29"/>
    <n v="10"/>
    <n v="6"/>
    <x v="0"/>
    <s v="Computers"/>
    <n v="15"/>
    <n v="500"/>
    <n v="600"/>
    <x v="2"/>
    <s v="carlosrodriguez@techgadgetsco.com"/>
    <x v="7"/>
    <x v="0"/>
    <n v="7500"/>
    <n v="9000"/>
    <n v="0.2"/>
    <n v="1500"/>
    <n v="0.05"/>
    <n v="375"/>
    <n v="5625"/>
    <n v="-3375"/>
  </r>
  <r>
    <s v="ORD-00425"/>
    <s v="CUST-857"/>
    <s v="REP-23"/>
    <x v="8"/>
    <d v="2025-03-30T00:00:00"/>
    <x v="3"/>
    <s v="March"/>
    <s v="Sunday"/>
    <d v="1899-12-30T21:00:23"/>
    <n v="21"/>
    <n v="0"/>
    <x v="0"/>
    <s v="Computers"/>
    <n v="7"/>
    <n v="500"/>
    <n v="600"/>
    <x v="0"/>
    <s v="noahkim@tg.inc"/>
    <x v="4"/>
    <x v="1"/>
    <n v="3500"/>
    <n v="4200"/>
    <n v="7.0000000000000007E-2"/>
    <n v="245.00000000000003"/>
    <n v="0.05"/>
    <n v="175"/>
    <n v="3080"/>
    <n v="-1120"/>
  </r>
  <r>
    <s v="ORD-00426"/>
    <s v="CUST-278"/>
    <s v="REP-17"/>
    <x v="1"/>
    <d v="2023-12-23T00:00:00"/>
    <x v="2"/>
    <s v="December"/>
    <s v="Saturday"/>
    <d v="1899-12-30T21:35:15"/>
    <n v="21"/>
    <n v="35"/>
    <x v="1"/>
    <s v="Mobile Devices"/>
    <n v="3"/>
    <n v="753.19"/>
    <n v="300"/>
    <x v="0"/>
    <s v="mariagarcia@tg.inc"/>
    <x v="2"/>
    <x v="0"/>
    <n v="2259.5700000000002"/>
    <n v="900"/>
    <n v="7.0000000000000007E-2"/>
    <n v="158.16990000000001"/>
    <n v="0.1"/>
    <n v="225.95700000000002"/>
    <n v="1875.4431000000002"/>
    <n v="975.44310000000019"/>
  </r>
  <r>
    <s v="ORD-00427"/>
    <s v="CUST-478"/>
    <s v="REP-22"/>
    <x v="2"/>
    <d v="2025-12-15T00:00:00"/>
    <x v="3"/>
    <s v="December"/>
    <s v="Monday"/>
    <d v="1899-12-30T19:04:07"/>
    <n v="19"/>
    <n v="4"/>
    <x v="1"/>
    <s v="Mobile Devices"/>
    <n v="3"/>
    <n v="537.5"/>
    <n v="300"/>
    <x v="3"/>
    <s v="fatimaadebayo@tg.inc"/>
    <x v="3"/>
    <x v="0"/>
    <n v="1612.5"/>
    <n v="900"/>
    <n v="0.15"/>
    <n v="241.875"/>
    <n v="0.1"/>
    <n v="161.25"/>
    <n v="1209.375"/>
    <n v="309.375"/>
  </r>
  <r>
    <s v="ORD-00428"/>
    <s v="CUST-974"/>
    <s v="REP-33"/>
    <x v="0"/>
    <d v="2023-01-11T00:00:00"/>
    <x v="2"/>
    <s v="January"/>
    <s v="Wednesday"/>
    <d v="1899-12-30T11:03:40"/>
    <n v="11"/>
    <n v="3"/>
    <x v="2"/>
    <s v="Tablets"/>
    <n v="14"/>
    <n v="436.82"/>
    <n v="200"/>
    <x v="3"/>
    <s v="ahmedkhan@tg.inc"/>
    <x v="15"/>
    <x v="0"/>
    <n v="6115.48"/>
    <n v="2800"/>
    <n v="0.15"/>
    <n v="917.32199999999989"/>
    <n v="0.08"/>
    <n v="489.23839999999996"/>
    <n v="4708.9195999999993"/>
    <n v="1908.9195999999993"/>
  </r>
  <r>
    <s v="ORD-00429"/>
    <s v="CUST-869"/>
    <s v="REP-32"/>
    <x v="1"/>
    <d v="2025-10-18T00:00:00"/>
    <x v="3"/>
    <s v="October"/>
    <s v="Saturday"/>
    <d v="1899-12-30T10:20:45"/>
    <n v="10"/>
    <n v="20"/>
    <x v="2"/>
    <s v="Tablets"/>
    <n v="8"/>
    <n v="418.96"/>
    <n v="200"/>
    <x v="1"/>
    <s v="mariagarcia@techgadgetsco.com"/>
    <x v="12"/>
    <x v="0"/>
    <n v="3351.68"/>
    <n v="1600"/>
    <n v="0.1"/>
    <n v="335.16800000000001"/>
    <n v="0.08"/>
    <n v="268.13439999999997"/>
    <n v="2748.3775999999998"/>
    <n v="1148.3775999999998"/>
  </r>
  <r>
    <s v="ORD-00430"/>
    <s v="CUST-340"/>
    <s v="REP-23"/>
    <x v="8"/>
    <d v="2024-09-18T00:00:00"/>
    <x v="0"/>
    <s v="September"/>
    <s v="Wednesday"/>
    <d v="1899-12-30T14:36:10"/>
    <n v="14"/>
    <n v="36"/>
    <x v="2"/>
    <s v="Tablets"/>
    <n v="2"/>
    <n v="336.81"/>
    <n v="200"/>
    <x v="3"/>
    <s v="noahkim@tg.inc"/>
    <x v="13"/>
    <x v="0"/>
    <n v="673.62"/>
    <n v="400"/>
    <n v="0.15"/>
    <n v="101.04299999999999"/>
    <n v="0.08"/>
    <n v="53.889600000000002"/>
    <n v="518.68740000000003"/>
    <n v="118.68740000000003"/>
  </r>
  <r>
    <s v="ORD-00431"/>
    <s v="CUST-518"/>
    <s v="REP-22"/>
    <x v="2"/>
    <d v="2024-11-10T00:00:00"/>
    <x v="0"/>
    <s v="November"/>
    <s v="Sunday"/>
    <d v="1899-12-30T14:01:11"/>
    <n v="14"/>
    <n v="1"/>
    <x v="4"/>
    <s v="Audio"/>
    <n v="11"/>
    <n v="500"/>
    <n v="50"/>
    <x v="0"/>
    <s v="fatimaadebayo@sales.techg.com"/>
    <x v="15"/>
    <x v="0"/>
    <n v="5500"/>
    <n v="550"/>
    <n v="7.0000000000000007E-2"/>
    <n v="385.00000000000006"/>
    <n v="0.03"/>
    <n v="165"/>
    <n v="4950"/>
    <n v="4400"/>
  </r>
  <r>
    <s v="ORD-00432"/>
    <s v="CUST-173"/>
    <s v="REP-22"/>
    <x v="2"/>
    <d v="2026-01-23T00:00:00"/>
    <x v="1"/>
    <s v="January"/>
    <s v="Friday"/>
    <d v="1899-12-30T13:12:43"/>
    <n v="13"/>
    <n v="12"/>
    <x v="2"/>
    <s v="Tablets"/>
    <n v="12"/>
    <n v="456.71"/>
    <n v="200"/>
    <x v="1"/>
    <s v="fatimaadebayo@tg.inc"/>
    <x v="4"/>
    <x v="1"/>
    <n v="5480.5199999999995"/>
    <n v="2400"/>
    <n v="0.1"/>
    <n v="548.05200000000002"/>
    <n v="0.08"/>
    <n v="438.44159999999999"/>
    <n v="4494.0263999999997"/>
    <n v="2094.0263999999997"/>
  </r>
  <r>
    <s v="ORD-00433"/>
    <s v="CUST-901"/>
    <s v="REP-23"/>
    <x v="8"/>
    <d v="2026-02-04T00:00:00"/>
    <x v="1"/>
    <s v="February"/>
    <s v="Wednesday"/>
    <d v="1899-12-30T15:41:32"/>
    <n v="15"/>
    <n v="41"/>
    <x v="1"/>
    <s v="Mobile Devices"/>
    <n v="4"/>
    <n v="704.74"/>
    <n v="300"/>
    <x v="3"/>
    <s v="noahkim@sales.techg.com"/>
    <x v="6"/>
    <x v="0"/>
    <n v="2818.96"/>
    <n v="1200"/>
    <n v="0.15"/>
    <n v="422.84399999999999"/>
    <n v="0.1"/>
    <n v="281.89600000000002"/>
    <n v="2114.2199999999998"/>
    <n v="914.2199999999998"/>
  </r>
  <r>
    <s v="ORD-00434"/>
    <s v="CUST-420"/>
    <s v="REP-16"/>
    <x v="4"/>
    <d v="2026-11-30T00:00:00"/>
    <x v="1"/>
    <s v="November"/>
    <s v="Monday"/>
    <d v="1899-12-30T11:28:28"/>
    <n v="11"/>
    <n v="28"/>
    <x v="3"/>
    <s v="Wearables"/>
    <n v="7"/>
    <n v="500"/>
    <n v="150"/>
    <x v="4"/>
    <s v="ahmedkan@gmail.com"/>
    <x v="4"/>
    <x v="1"/>
    <n v="3500"/>
    <n v="1050"/>
    <n v="0.12"/>
    <n v="420"/>
    <n v="7.0000000000000007E-2"/>
    <n v="245.00000000000003"/>
    <n v="2835"/>
    <n v="178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J3:K13" firstHeaderRow="1" firstDataRow="1" firstDataCol="1"/>
  <pivotFields count="28">
    <pivotField showAll="0"/>
    <pivotField showAll="0"/>
    <pivotField showAll="0"/>
    <pivotField axis="axisRow" showAll="0" sortType="ascending">
      <items count="10">
        <item x="0"/>
        <item x="6"/>
        <item x="3"/>
        <item x="2"/>
        <item x="7"/>
        <item x="1"/>
        <item x="8"/>
        <item x="5"/>
        <item x="4"/>
        <item t="default"/>
      </items>
      <autoSortScope>
        <pivotArea dataOnly="0" outline="0" fieldPosition="0">
          <references count="1">
            <reference field="4294967294" count="1" selected="0">
              <x v="0"/>
            </reference>
          </references>
        </pivotArea>
      </autoSortScope>
    </pivotField>
    <pivotField numFmtId="14" showAll="0"/>
    <pivotField numFmtId="1" showAll="0">
      <items count="5">
        <item x="2"/>
        <item x="0"/>
        <item x="3"/>
        <item x="1"/>
        <item t="default"/>
      </items>
    </pivotField>
    <pivotField showAll="0"/>
    <pivotField showAll="0"/>
    <pivotField numFmtId="21" showAll="0"/>
    <pivotField numFmtId="1" showAll="0"/>
    <pivotField numFmtId="1" showAll="0"/>
    <pivotField showAll="0"/>
    <pivotField showAll="0"/>
    <pivotField showAll="0"/>
    <pivotField showAll="0"/>
    <pivotField showAll="0"/>
    <pivotField showAll="0">
      <items count="6">
        <item x="4"/>
        <item x="1"/>
        <item x="2"/>
        <item x="0"/>
        <item x="3"/>
        <item t="default"/>
      </items>
    </pivotField>
    <pivotField showAll="0"/>
    <pivotField showAll="0"/>
    <pivotField showAll="0"/>
    <pivotField numFmtId="164" showAll="0"/>
    <pivotField numFmtId="164" showAll="0"/>
    <pivotField numFmtId="9" showAll="0"/>
    <pivotField numFmtId="165" showAll="0"/>
    <pivotField numFmtId="9" showAll="0"/>
    <pivotField numFmtId="164" showAll="0"/>
    <pivotField dataField="1" numFmtId="164" showAll="0"/>
    <pivotField numFmtId="164" showAll="0"/>
  </pivotFields>
  <rowFields count="1">
    <field x="3"/>
  </rowFields>
  <rowItems count="10">
    <i>
      <x v="4"/>
    </i>
    <i>
      <x v="1"/>
    </i>
    <i>
      <x v="2"/>
    </i>
    <i>
      <x v="7"/>
    </i>
    <i>
      <x v="6"/>
    </i>
    <i>
      <x/>
    </i>
    <i>
      <x v="3"/>
    </i>
    <i>
      <x v="5"/>
    </i>
    <i>
      <x v="8"/>
    </i>
    <i t="grand">
      <x/>
    </i>
  </rowItems>
  <colItems count="1">
    <i/>
  </colItems>
  <dataFields count="1">
    <dataField name="Sum of Net Sales" fld="26" baseField="0" baseItem="0"/>
  </dataFields>
  <formats count="2">
    <format dxfId="277">
      <pivotArea outline="0" collapsedLevelsAreSubtotals="1" fieldPosition="0"/>
    </format>
    <format dxfId="276">
      <pivotArea dataOnly="0" labelOnly="1" outline="0" axis="axisValues" fieldPosition="0"/>
    </format>
  </format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4">
  <location ref="G3:H9" firstHeaderRow="1" firstDataRow="1" firstDataCol="1"/>
  <pivotFields count="28">
    <pivotField showAll="0"/>
    <pivotField showAll="0"/>
    <pivotField showAll="0"/>
    <pivotField showAll="0"/>
    <pivotField numFmtId="14" showAll="0"/>
    <pivotField numFmtId="1" showAll="0">
      <items count="5">
        <item x="2"/>
        <item x="0"/>
        <item x="3"/>
        <item x="1"/>
        <item t="default"/>
      </items>
    </pivotField>
    <pivotField showAll="0"/>
    <pivotField showAll="0"/>
    <pivotField numFmtId="21" showAll="0"/>
    <pivotField numFmtId="1" showAll="0"/>
    <pivotField numFmtId="1" showAll="0"/>
    <pivotField showAll="0"/>
    <pivotField showAll="0"/>
    <pivotField showAll="0"/>
    <pivotField showAll="0"/>
    <pivotField showAll="0"/>
    <pivotField axis="axisRow" showAll="0" sortType="descending">
      <items count="6">
        <item x="4"/>
        <item x="1"/>
        <item x="2"/>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numFmtId="164" showAll="0"/>
    <pivotField numFmtId="9" showAll="0"/>
    <pivotField numFmtId="165" showAll="0"/>
    <pivotField numFmtId="9" showAll="0"/>
    <pivotField numFmtId="164" showAll="0"/>
    <pivotField numFmtId="164" showAll="0"/>
    <pivotField dataField="1" numFmtId="164" showAll="0"/>
  </pivotFields>
  <rowFields count="1">
    <field x="16"/>
  </rowFields>
  <rowItems count="6">
    <i>
      <x v="1"/>
    </i>
    <i>
      <x v="3"/>
    </i>
    <i>
      <x/>
    </i>
    <i>
      <x v="4"/>
    </i>
    <i>
      <x v="2"/>
    </i>
    <i t="grand">
      <x/>
    </i>
  </rowItems>
  <colItems count="1">
    <i/>
  </colItems>
  <dataFields count="1">
    <dataField name="Sum of Profit/loss" fld="27" baseField="0" baseItem="0"/>
  </dataFields>
  <formats count="2">
    <format dxfId="279">
      <pivotArea outline="0" collapsedLevelsAreSubtotals="1" fieldPosition="0"/>
    </format>
    <format dxfId="278">
      <pivotArea dataOnly="0" labelOnly="1" outline="0" axis="axisValues" fieldPosition="0"/>
    </format>
  </formats>
  <chartFormats count="10">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6" count="1" selected="0">
            <x v="0"/>
          </reference>
        </references>
      </pivotArea>
    </chartFormat>
    <chartFormat chart="3" format="9">
      <pivotArea type="data" outline="0" fieldPosition="0">
        <references count="2">
          <reference field="4294967294" count="1" selected="0">
            <x v="0"/>
          </reference>
          <reference field="16" count="1" selected="0">
            <x v="1"/>
          </reference>
        </references>
      </pivotArea>
    </chartFormat>
    <chartFormat chart="3" format="10">
      <pivotArea type="data" outline="0" fieldPosition="0">
        <references count="2">
          <reference field="4294967294" count="1" selected="0">
            <x v="0"/>
          </reference>
          <reference field="16" count="1" selected="0">
            <x v="2"/>
          </reference>
        </references>
      </pivotArea>
    </chartFormat>
    <chartFormat chart="3" format="11">
      <pivotArea type="data" outline="0" fieldPosition="0">
        <references count="2">
          <reference field="4294967294" count="1" selected="0">
            <x v="0"/>
          </reference>
          <reference field="16" count="1" selected="0">
            <x v="3"/>
          </reference>
        </references>
      </pivotArea>
    </chartFormat>
    <chartFormat chart="3" format="12">
      <pivotArea type="data" outline="0" fieldPosition="0">
        <references count="2">
          <reference field="4294967294" count="1" selected="0">
            <x v="0"/>
          </reference>
          <reference field="16" count="1" selected="0">
            <x v="4"/>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0">
  <location ref="D3:E9" firstHeaderRow="1" firstDataRow="1" firstDataCol="1"/>
  <pivotFields count="28">
    <pivotField showAll="0"/>
    <pivotField showAll="0"/>
    <pivotField showAll="0"/>
    <pivotField showAll="0"/>
    <pivotField numFmtId="14" showAll="0"/>
    <pivotField numFmtId="1" showAll="0">
      <items count="5">
        <item x="2"/>
        <item x="0"/>
        <item x="3"/>
        <item x="1"/>
        <item t="default"/>
      </items>
    </pivotField>
    <pivotField showAll="0"/>
    <pivotField showAll="0"/>
    <pivotField numFmtId="21" showAll="0"/>
    <pivotField numFmtId="1" showAll="0"/>
    <pivotField numFmtId="1" showAll="0"/>
    <pivotField showAll="0"/>
    <pivotField showAll="0"/>
    <pivotField showAll="0"/>
    <pivotField showAll="0"/>
    <pivotField showAll="0"/>
    <pivotField axis="axisRow" showAll="0" sortType="ascending">
      <items count="6">
        <item x="4"/>
        <item x="1"/>
        <item x="2"/>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numFmtId="164" showAll="0"/>
    <pivotField numFmtId="9" showAll="0"/>
    <pivotField numFmtId="165" showAll="0"/>
    <pivotField numFmtId="9" showAll="0"/>
    <pivotField numFmtId="164" showAll="0"/>
    <pivotField dataField="1" numFmtId="164" showAll="0"/>
    <pivotField numFmtId="164" showAll="0"/>
  </pivotFields>
  <rowFields count="1">
    <field x="16"/>
  </rowFields>
  <rowItems count="6">
    <i>
      <x/>
    </i>
    <i>
      <x v="2"/>
    </i>
    <i>
      <x v="3"/>
    </i>
    <i>
      <x v="4"/>
    </i>
    <i>
      <x v="1"/>
    </i>
    <i t="grand">
      <x/>
    </i>
  </rowItems>
  <colItems count="1">
    <i/>
  </colItems>
  <dataFields count="1">
    <dataField name="Sum of Net Sales" fld="26" baseField="0" baseItem="0" numFmtId="166"/>
  </dataFields>
  <formats count="2">
    <format dxfId="281">
      <pivotArea outline="0" collapsedLevelsAreSubtotals="1" fieldPosition="0"/>
    </format>
    <format dxfId="280">
      <pivotArea dataOnly="0" labelOnly="1" outline="0" axis="axisValues" fieldPosition="0"/>
    </format>
  </formats>
  <chartFormats count="2">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P3:Q7" firstHeaderRow="1" firstDataRow="1" firstDataCol="1"/>
  <pivotFields count="28">
    <pivotField showAll="0"/>
    <pivotField showAll="0"/>
    <pivotField showAll="0"/>
    <pivotField showAll="0"/>
    <pivotField numFmtId="14" showAll="0"/>
    <pivotField numFmtId="1" showAll="0">
      <items count="5">
        <item x="2"/>
        <item x="0"/>
        <item x="3"/>
        <item x="1"/>
        <item t="default"/>
      </items>
    </pivotField>
    <pivotField showAll="0"/>
    <pivotField showAll="0"/>
    <pivotField numFmtId="21" showAll="0"/>
    <pivotField numFmtId="1" showAll="0"/>
    <pivotField numFmtId="1" showAll="0"/>
    <pivotField showAll="0"/>
    <pivotField showAll="0"/>
    <pivotField showAll="0"/>
    <pivotField showAll="0"/>
    <pivotField showAll="0"/>
    <pivotField showAll="0">
      <items count="6">
        <item x="4"/>
        <item x="1"/>
        <item x="2"/>
        <item x="0"/>
        <item x="3"/>
        <item t="default"/>
      </items>
    </pivotField>
    <pivotField showAll="0"/>
    <pivotField showAll="0">
      <items count="17">
        <item x="8"/>
        <item x="7"/>
        <item x="0"/>
        <item x="9"/>
        <item x="1"/>
        <item x="2"/>
        <item x="10"/>
        <item x="11"/>
        <item x="13"/>
        <item x="14"/>
        <item x="5"/>
        <item x="6"/>
        <item x="12"/>
        <item x="3"/>
        <item x="15"/>
        <item x="4"/>
        <item t="default"/>
      </items>
    </pivotField>
    <pivotField axis="axisRow" dataField="1" showAll="0" sortType="ascending">
      <items count="4">
        <item x="2"/>
        <item x="1"/>
        <item x="0"/>
        <item t="default"/>
      </items>
      <autoSortScope>
        <pivotArea dataOnly="0" outline="0" fieldPosition="0">
          <references count="1">
            <reference field="4294967294" count="1" selected="0">
              <x v="0"/>
            </reference>
          </references>
        </pivotArea>
      </autoSortScope>
    </pivotField>
    <pivotField numFmtId="164" showAll="0"/>
    <pivotField numFmtId="164" showAll="0"/>
    <pivotField numFmtId="9" showAll="0"/>
    <pivotField numFmtId="165" showAll="0"/>
    <pivotField numFmtId="9" showAll="0"/>
    <pivotField numFmtId="164" showAll="0"/>
    <pivotField numFmtId="164" showAll="0"/>
    <pivotField numFmtId="164" showAll="0"/>
  </pivotFields>
  <rowFields count="1">
    <field x="19"/>
  </rowFields>
  <rowItems count="4">
    <i>
      <x/>
    </i>
    <i>
      <x v="1"/>
    </i>
    <i>
      <x v="2"/>
    </i>
    <i t="grand">
      <x/>
    </i>
  </rowItems>
  <colItems count="1">
    <i/>
  </colItems>
  <dataFields count="1">
    <dataField name="Count of Feedback Category" fld="19" subtotal="count" baseField="0" baseItem="0"/>
  </dataFields>
  <formats count="2">
    <format dxfId="283">
      <pivotArea outline="0" collapsedLevelsAreSubtotals="1" fieldPosition="0"/>
    </format>
    <format dxfId="282">
      <pivotArea dataOnly="0" labelOnly="1" outline="0" axis="axisValues" fieldPosition="0"/>
    </format>
  </formats>
  <chartFormats count="9">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9" count="1" selected="0">
            <x v="0"/>
          </reference>
        </references>
      </pivotArea>
    </chartFormat>
    <chartFormat chart="2" format="7">
      <pivotArea type="data" outline="0" fieldPosition="0">
        <references count="2">
          <reference field="4294967294" count="1" selected="0">
            <x v="0"/>
          </reference>
          <reference field="19" count="1" selected="0">
            <x v="1"/>
          </reference>
        </references>
      </pivotArea>
    </chartFormat>
    <chartFormat chart="2" format="8">
      <pivotArea type="data" outline="0" fieldPosition="0">
        <references count="2">
          <reference field="4294967294" count="1" selected="0">
            <x v="0"/>
          </reference>
          <reference field="19" count="1" selected="0">
            <x v="2"/>
          </reference>
        </references>
      </pivotArea>
    </chartFormat>
    <chartFormat chart="4"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9" count="1" selected="0">
            <x v="0"/>
          </reference>
        </references>
      </pivotArea>
    </chartFormat>
    <chartFormat chart="7" format="7">
      <pivotArea type="data" outline="0" fieldPosition="0">
        <references count="2">
          <reference field="4294967294" count="1" selected="0">
            <x v="0"/>
          </reference>
          <reference field="19" count="1" selected="0">
            <x v="1"/>
          </reference>
        </references>
      </pivotArea>
    </chartFormat>
    <chartFormat chart="7" format="8">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3:B8" firstHeaderRow="1" firstDataRow="1" firstDataCol="1"/>
  <pivotFields count="28">
    <pivotField showAll="0"/>
    <pivotField showAll="0"/>
    <pivotField showAll="0"/>
    <pivotField showAll="0"/>
    <pivotField numFmtId="14" showAll="0"/>
    <pivotField axis="axisRow" numFmtId="1" showAll="0" sortType="descending">
      <items count="5">
        <item x="1"/>
        <item x="3"/>
        <item x="0"/>
        <item x="2"/>
        <item t="default"/>
      </items>
    </pivotField>
    <pivotField showAll="0"/>
    <pivotField showAll="0"/>
    <pivotField numFmtId="21" showAll="0"/>
    <pivotField numFmtId="1" showAll="0"/>
    <pivotField numFmtId="1" showAll="0"/>
    <pivotField showAll="0"/>
    <pivotField showAll="0"/>
    <pivotField showAll="0"/>
    <pivotField showAll="0"/>
    <pivotField showAll="0"/>
    <pivotField showAll="0"/>
    <pivotField showAll="0"/>
    <pivotField showAll="0"/>
    <pivotField showAll="0"/>
    <pivotField numFmtId="164" showAll="0"/>
    <pivotField numFmtId="164" showAll="0"/>
    <pivotField numFmtId="9" showAll="0"/>
    <pivotField numFmtId="165" showAll="0"/>
    <pivotField numFmtId="9" showAll="0"/>
    <pivotField numFmtId="164" showAll="0"/>
    <pivotField dataField="1" numFmtId="164" showAll="0"/>
    <pivotField numFmtId="164" showAll="0"/>
  </pivotFields>
  <rowFields count="1">
    <field x="5"/>
  </rowFields>
  <rowItems count="5">
    <i>
      <x/>
    </i>
    <i>
      <x v="1"/>
    </i>
    <i>
      <x v="2"/>
    </i>
    <i>
      <x v="3"/>
    </i>
    <i t="grand">
      <x/>
    </i>
  </rowItems>
  <colItems count="1">
    <i/>
  </colItems>
  <dataFields count="1">
    <dataField name="Sum of Net Sales" fld="26" baseField="0" baseItem="0" numFmtId="166"/>
  </dataFields>
  <formats count="2">
    <format dxfId="285">
      <pivotArea outline="0" collapsedLevelsAreSubtotals="1" fieldPosition="0"/>
    </format>
    <format dxfId="284">
      <pivotArea dataOnly="0" labelOnly="1" outline="0" axis="axisValues" fieldPosition="0"/>
    </format>
  </format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M3:N9" firstHeaderRow="1" firstDataRow="1" firstDataCol="1"/>
  <pivotFields count="28">
    <pivotField showAll="0"/>
    <pivotField showAll="0"/>
    <pivotField showAll="0"/>
    <pivotField showAll="0"/>
    <pivotField numFmtId="14" showAll="0"/>
    <pivotField numFmtId="1" showAll="0">
      <items count="5">
        <item x="2"/>
        <item x="0"/>
        <item x="3"/>
        <item x="1"/>
        <item t="default"/>
      </items>
    </pivotField>
    <pivotField showAll="0"/>
    <pivotField showAll="0"/>
    <pivotField numFmtId="21" showAll="0"/>
    <pivotField numFmtId="1" showAll="0"/>
    <pivotField numFmtId="1" showAll="0"/>
    <pivotField axis="axisRow" showAll="0" sortType="descending">
      <items count="6">
        <item x="2"/>
        <item x="3"/>
        <item x="1"/>
        <item x="0"/>
        <item x="4"/>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6">
        <item x="4"/>
        <item x="1"/>
        <item x="2"/>
        <item x="0"/>
        <item x="3"/>
        <item t="default"/>
      </items>
    </pivotField>
    <pivotField showAll="0"/>
    <pivotField showAll="0"/>
    <pivotField showAll="0"/>
    <pivotField numFmtId="164" showAll="0"/>
    <pivotField numFmtId="164" showAll="0"/>
    <pivotField numFmtId="9" showAll="0"/>
    <pivotField numFmtId="165" showAll="0"/>
    <pivotField numFmtId="9" showAll="0"/>
    <pivotField numFmtId="164" showAll="0"/>
    <pivotField numFmtId="164" showAll="0"/>
    <pivotField numFmtId="164" showAll="0"/>
  </pivotFields>
  <rowFields count="1">
    <field x="11"/>
  </rowFields>
  <rowItems count="6">
    <i>
      <x v="1"/>
    </i>
    <i>
      <x v="3"/>
    </i>
    <i>
      <x v="4"/>
    </i>
    <i>
      <x/>
    </i>
    <i>
      <x v="2"/>
    </i>
    <i t="grand">
      <x/>
    </i>
  </rowItems>
  <colItems count="1">
    <i/>
  </colItems>
  <dataFields count="1">
    <dataField name="Sum of OrderQuantity" fld="13" baseField="0" baseItem="0"/>
  </dataFields>
  <formats count="2">
    <format dxfId="287">
      <pivotArea outline="0" collapsedLevelsAreSubtotals="1" fieldPosition="0"/>
    </format>
    <format dxfId="286">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9" name="PivotTable2"/>
    <pivotTable tabId="9" name="PivotTable3"/>
    <pivotTable tabId="9" name="PivotTable4"/>
    <pivotTable tabId="9" name="PivotTable5"/>
    <pivotTable tabId="9" name="PivotTable6"/>
    <pivotTable tabId="9" name="PivotTable7"/>
  </pivotTables>
  <data>
    <tabular pivotCacheId="1">
      <items count="4">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Year 1" cache="Slicer_Year" caption="Yea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hyperlink" Target="mailto:ahmedkan@gmail.com" TargetMode="Externa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Q19"/>
  <sheetViews>
    <sheetView zoomScale="66" zoomScaleNormal="66" workbookViewId="0">
      <selection activeCell="E14" sqref="E14"/>
    </sheetView>
  </sheetViews>
  <sheetFormatPr defaultRowHeight="15" x14ac:dyDescent="0.25"/>
  <cols>
    <col min="1" max="1" width="19" bestFit="1" customWidth="1"/>
    <col min="2" max="2" width="24.42578125" style="14" bestFit="1" customWidth="1"/>
    <col min="4" max="4" width="19" customWidth="1"/>
    <col min="5" max="5" width="24.42578125" style="14" bestFit="1" customWidth="1"/>
    <col min="7" max="7" width="19" bestFit="1" customWidth="1"/>
    <col min="8" max="8" width="25" bestFit="1" customWidth="1"/>
    <col min="10" max="10" width="19" customWidth="1"/>
    <col min="11" max="11" width="24.42578125" bestFit="1" customWidth="1"/>
    <col min="13" max="13" width="19" customWidth="1"/>
    <col min="14" max="14" width="30" bestFit="1" customWidth="1"/>
    <col min="16" max="16" width="19" customWidth="1"/>
    <col min="17" max="17" width="38.7109375" bestFit="1" customWidth="1"/>
  </cols>
  <sheetData>
    <row r="3" spans="1:17" x14ac:dyDescent="0.25">
      <c r="A3" s="11" t="s">
        <v>899</v>
      </c>
      <c r="B3" s="16" t="s">
        <v>898</v>
      </c>
      <c r="D3" s="11" t="s">
        <v>899</v>
      </c>
      <c r="E3" s="16" t="s">
        <v>898</v>
      </c>
      <c r="G3" s="11" t="s">
        <v>899</v>
      </c>
      <c r="H3" s="16" t="s">
        <v>901</v>
      </c>
      <c r="J3" s="11" t="s">
        <v>899</v>
      </c>
      <c r="K3" s="16" t="s">
        <v>898</v>
      </c>
      <c r="M3" s="11" t="s">
        <v>899</v>
      </c>
      <c r="N3" s="16" t="s">
        <v>902</v>
      </c>
      <c r="P3" s="11" t="s">
        <v>899</v>
      </c>
      <c r="Q3" s="16" t="s">
        <v>903</v>
      </c>
    </row>
    <row r="4" spans="1:17" x14ac:dyDescent="0.25">
      <c r="A4" s="12">
        <v>2026</v>
      </c>
      <c r="B4" s="16">
        <v>372154.51609999989</v>
      </c>
      <c r="D4" s="15" t="s">
        <v>55</v>
      </c>
      <c r="E4" s="16">
        <v>241857.83799999993</v>
      </c>
      <c r="G4" s="15" t="s">
        <v>25</v>
      </c>
      <c r="H4" s="16">
        <v>112686.62139999997</v>
      </c>
      <c r="J4" s="15" t="s">
        <v>100</v>
      </c>
      <c r="K4" s="16">
        <v>44339.167600000001</v>
      </c>
      <c r="M4" s="15" t="s">
        <v>46</v>
      </c>
      <c r="N4" s="16">
        <v>723</v>
      </c>
      <c r="P4" s="15" t="s">
        <v>894</v>
      </c>
      <c r="Q4" s="16">
        <v>36</v>
      </c>
    </row>
    <row r="5" spans="1:17" x14ac:dyDescent="0.25">
      <c r="A5" s="12">
        <v>2025</v>
      </c>
      <c r="B5" s="16">
        <v>297186.69299999991</v>
      </c>
      <c r="D5" s="15" t="s">
        <v>32</v>
      </c>
      <c r="E5" s="16">
        <v>252958.8535</v>
      </c>
      <c r="G5" s="15" t="s">
        <v>51</v>
      </c>
      <c r="H5" s="16">
        <v>98944.171900000059</v>
      </c>
      <c r="J5" s="15" t="s">
        <v>92</v>
      </c>
      <c r="K5" s="16">
        <v>78765.72080000001</v>
      </c>
      <c r="M5" s="15" t="s">
        <v>15</v>
      </c>
      <c r="N5" s="16">
        <v>679</v>
      </c>
      <c r="P5" s="15" t="s">
        <v>895</v>
      </c>
      <c r="Q5" s="16">
        <v>127</v>
      </c>
    </row>
    <row r="6" spans="1:17" x14ac:dyDescent="0.25">
      <c r="A6" s="12">
        <v>2024</v>
      </c>
      <c r="B6" s="16">
        <v>301306.00559999992</v>
      </c>
      <c r="D6" s="15" t="s">
        <v>51</v>
      </c>
      <c r="E6" s="16">
        <v>253644.17189999996</v>
      </c>
      <c r="G6" s="15" t="s">
        <v>55</v>
      </c>
      <c r="H6" s="16">
        <v>93057.838000000003</v>
      </c>
      <c r="J6" s="15" t="s">
        <v>45</v>
      </c>
      <c r="K6" s="16">
        <v>96946.051800000001</v>
      </c>
      <c r="M6" s="15" t="s">
        <v>73</v>
      </c>
      <c r="N6" s="16">
        <v>662</v>
      </c>
      <c r="P6" s="15" t="s">
        <v>893</v>
      </c>
      <c r="Q6" s="16">
        <v>271</v>
      </c>
    </row>
    <row r="7" spans="1:17" x14ac:dyDescent="0.25">
      <c r="A7" s="12">
        <v>2023</v>
      </c>
      <c r="B7" s="16">
        <v>361224.39580000006</v>
      </c>
      <c r="D7" s="15" t="s">
        <v>39</v>
      </c>
      <c r="E7" s="16">
        <v>274724.12569999998</v>
      </c>
      <c r="G7" s="15" t="s">
        <v>39</v>
      </c>
      <c r="H7" s="16">
        <v>85674.125699999975</v>
      </c>
      <c r="J7" s="15" t="s">
        <v>67</v>
      </c>
      <c r="K7" s="16">
        <v>97540.156800000012</v>
      </c>
      <c r="M7" s="15" t="s">
        <v>30</v>
      </c>
      <c r="N7" s="16">
        <v>650</v>
      </c>
      <c r="P7" s="15" t="s">
        <v>900</v>
      </c>
      <c r="Q7" s="16">
        <v>434</v>
      </c>
    </row>
    <row r="8" spans="1:17" x14ac:dyDescent="0.25">
      <c r="A8" s="12" t="s">
        <v>900</v>
      </c>
      <c r="B8" s="16">
        <v>1331871.6105</v>
      </c>
      <c r="D8" s="15" t="s">
        <v>25</v>
      </c>
      <c r="E8" s="16">
        <v>308686.62140000006</v>
      </c>
      <c r="G8" s="15" t="s">
        <v>32</v>
      </c>
      <c r="H8" s="16">
        <v>74158.853499999983</v>
      </c>
      <c r="J8" s="15" t="s">
        <v>156</v>
      </c>
      <c r="K8" s="16">
        <v>98415.380700000009</v>
      </c>
      <c r="M8" s="15" t="s">
        <v>23</v>
      </c>
      <c r="N8" s="16">
        <v>628</v>
      </c>
    </row>
    <row r="9" spans="1:17" x14ac:dyDescent="0.25">
      <c r="D9" s="15" t="s">
        <v>900</v>
      </c>
      <c r="E9" s="16">
        <v>1331871.6105</v>
      </c>
      <c r="G9" s="15" t="s">
        <v>900</v>
      </c>
      <c r="H9" s="16">
        <v>464521.61050000001</v>
      </c>
      <c r="J9" s="15" t="s">
        <v>14</v>
      </c>
      <c r="K9" s="16">
        <v>194539.21440000003</v>
      </c>
      <c r="M9" s="15" t="s">
        <v>900</v>
      </c>
      <c r="N9" s="16">
        <v>3342</v>
      </c>
    </row>
    <row r="10" spans="1:17" x14ac:dyDescent="0.25">
      <c r="J10" s="15" t="s">
        <v>38</v>
      </c>
      <c r="K10" s="16">
        <v>199117.30189999999</v>
      </c>
    </row>
    <row r="11" spans="1:17" x14ac:dyDescent="0.25">
      <c r="J11" s="15" t="s">
        <v>22</v>
      </c>
      <c r="K11" s="16">
        <v>246447.65150000001</v>
      </c>
    </row>
    <row r="12" spans="1:17" x14ac:dyDescent="0.25">
      <c r="J12" s="15" t="s">
        <v>59</v>
      </c>
      <c r="K12" s="16">
        <v>275760.96499999997</v>
      </c>
    </row>
    <row r="13" spans="1:17" x14ac:dyDescent="0.25">
      <c r="J13" s="15" t="s">
        <v>900</v>
      </c>
      <c r="K13" s="16">
        <v>1331871.6105</v>
      </c>
    </row>
    <row r="19" spans="7:7" x14ac:dyDescent="0.25">
      <c r="G19" t="s">
        <v>904</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435"/>
  <sheetViews>
    <sheetView workbookViewId="0">
      <selection activeCell="E1" sqref="E1:E1048576"/>
    </sheetView>
  </sheetViews>
  <sheetFormatPr defaultColWidth="15.140625" defaultRowHeight="15" x14ac:dyDescent="0.25"/>
  <cols>
    <col min="15" max="15" width="15.140625" style="14"/>
    <col min="18" max="18" width="32.140625" customWidth="1"/>
    <col min="21" max="22" width="15.140625" style="14"/>
    <col min="24" max="24" width="15.140625" style="14"/>
    <col min="26" max="28" width="15.140625" style="14"/>
  </cols>
  <sheetData>
    <row r="1" spans="1:28" s="7" customFormat="1" x14ac:dyDescent="0.25">
      <c r="A1" s="7" t="s">
        <v>0</v>
      </c>
      <c r="B1" s="7" t="s">
        <v>1</v>
      </c>
      <c r="C1" s="7" t="s">
        <v>2</v>
      </c>
      <c r="D1" s="7" t="s">
        <v>3</v>
      </c>
      <c r="E1" s="7" t="s">
        <v>4</v>
      </c>
      <c r="F1" s="7" t="s">
        <v>886</v>
      </c>
      <c r="G1" s="7" t="s">
        <v>887</v>
      </c>
      <c r="H1" s="7" t="s">
        <v>888</v>
      </c>
      <c r="I1" s="7" t="s">
        <v>5</v>
      </c>
      <c r="J1" s="7" t="s">
        <v>889</v>
      </c>
      <c r="K1" s="7" t="s">
        <v>890</v>
      </c>
      <c r="L1" s="7" t="s">
        <v>6</v>
      </c>
      <c r="M1" s="7" t="s">
        <v>891</v>
      </c>
      <c r="N1" s="7" t="s">
        <v>7</v>
      </c>
      <c r="O1" s="13" t="s">
        <v>8</v>
      </c>
      <c r="P1" s="7" t="s">
        <v>879</v>
      </c>
      <c r="Q1" s="7" t="s">
        <v>874</v>
      </c>
      <c r="R1" s="7" t="s">
        <v>9</v>
      </c>
      <c r="S1" s="7" t="s">
        <v>10</v>
      </c>
      <c r="T1" s="7" t="s">
        <v>896</v>
      </c>
      <c r="U1" s="13" t="s">
        <v>878</v>
      </c>
      <c r="V1" s="13" t="s">
        <v>880</v>
      </c>
      <c r="W1" s="7" t="s">
        <v>881</v>
      </c>
      <c r="X1" s="13" t="s">
        <v>882</v>
      </c>
      <c r="Y1" s="7" t="s">
        <v>883</v>
      </c>
      <c r="Z1" s="13" t="s">
        <v>884</v>
      </c>
      <c r="AA1" s="13" t="s">
        <v>885</v>
      </c>
      <c r="AB1" s="13" t="s">
        <v>897</v>
      </c>
    </row>
    <row r="2" spans="1:28" x14ac:dyDescent="0.25">
      <c r="A2" t="s">
        <v>11</v>
      </c>
      <c r="B2" t="s">
        <v>12</v>
      </c>
      <c r="C2" t="s">
        <v>13</v>
      </c>
      <c r="D2" t="s">
        <v>14</v>
      </c>
      <c r="E2" s="1">
        <v>45490</v>
      </c>
      <c r="F2" s="8">
        <f>YEAR(E2)</f>
        <v>2024</v>
      </c>
      <c r="G2" s="1" t="str">
        <f>TEXT(E2,"mmmm")</f>
        <v>July</v>
      </c>
      <c r="H2" s="1" t="str">
        <f>TEXT(E2, "dddd")</f>
        <v>Wednesday</v>
      </c>
      <c r="I2" s="2">
        <v>0.46443287037037034</v>
      </c>
      <c r="J2" s="8">
        <f>HOUR(I2)</f>
        <v>11</v>
      </c>
      <c r="K2" s="8">
        <f>MINUTE(I2)</f>
        <v>8</v>
      </c>
      <c r="L2" t="s">
        <v>15</v>
      </c>
      <c r="M2" t="s">
        <v>16</v>
      </c>
      <c r="N2">
        <v>15</v>
      </c>
      <c r="O2" s="14">
        <v>1095.25</v>
      </c>
      <c r="P2">
        <f>VLOOKUP(L2,'Product-cost'!A:B,2,FALSE)</f>
        <v>600</v>
      </c>
      <c r="Q2" t="s">
        <v>51</v>
      </c>
      <c r="R2" t="s">
        <v>17</v>
      </c>
      <c r="S2" t="s">
        <v>18</v>
      </c>
      <c r="T2" t="s">
        <v>893</v>
      </c>
      <c r="U2" s="14">
        <f>O2*N2</f>
        <v>16428.75</v>
      </c>
      <c r="V2" s="14">
        <f>P2*N2</f>
        <v>9000</v>
      </c>
      <c r="W2" s="10">
        <f>VLOOKUP(Q2,Taxrate!A:B,2,FALSE)</f>
        <v>7.0000000000000007E-2</v>
      </c>
      <c r="X2" s="14">
        <f>U2*W2</f>
        <v>1150.0125</v>
      </c>
      <c r="Y2" s="10">
        <f>VLOOKUP(L2,'Discount Rate'!A:B,2,FALSE)</f>
        <v>0.05</v>
      </c>
      <c r="Z2" s="14">
        <f>Y2*U2</f>
        <v>821.4375</v>
      </c>
      <c r="AA2" s="14">
        <f>U2-X2-Z2</f>
        <v>14457.3</v>
      </c>
      <c r="AB2" s="14">
        <f>AA2-V2</f>
        <v>5457.2999999999993</v>
      </c>
    </row>
    <row r="3" spans="1:28" x14ac:dyDescent="0.25">
      <c r="A3" t="s">
        <v>19</v>
      </c>
      <c r="B3" t="s">
        <v>20</v>
      </c>
      <c r="C3" t="s">
        <v>21</v>
      </c>
      <c r="D3" t="s">
        <v>22</v>
      </c>
      <c r="E3" s="1">
        <v>46133</v>
      </c>
      <c r="F3" s="8">
        <f t="shared" ref="F3:F66" si="0">YEAR(E3)</f>
        <v>2026</v>
      </c>
      <c r="G3" s="1" t="str">
        <f t="shared" ref="G3:G66" si="1">TEXT(E3,"mmmm")</f>
        <v>April</v>
      </c>
      <c r="H3" s="1" t="str">
        <f t="shared" ref="H3:H66" si="2">TEXT(E3, "dddd")</f>
        <v>Tuesday</v>
      </c>
      <c r="I3" s="2">
        <v>0.87152777777777779</v>
      </c>
      <c r="J3" s="8">
        <f t="shared" ref="J3:J66" si="3">HOUR(I3)</f>
        <v>20</v>
      </c>
      <c r="K3" s="8">
        <f t="shared" ref="K3:K66" si="4">MINUTE(I3)</f>
        <v>55</v>
      </c>
      <c r="L3" t="s">
        <v>23</v>
      </c>
      <c r="M3" t="s">
        <v>24</v>
      </c>
      <c r="N3">
        <v>6</v>
      </c>
      <c r="O3" s="14">
        <v>544.59</v>
      </c>
      <c r="P3">
        <f>VLOOKUP(L3,'Product-cost'!A:B,2,FALSE)</f>
        <v>300</v>
      </c>
      <c r="Q3" t="s">
        <v>25</v>
      </c>
      <c r="R3" t="s">
        <v>26</v>
      </c>
      <c r="S3" t="s">
        <v>27</v>
      </c>
      <c r="T3" t="s">
        <v>893</v>
      </c>
      <c r="U3" s="14">
        <f t="shared" ref="U3:U66" si="5">O3*N3</f>
        <v>3267.54</v>
      </c>
      <c r="V3" s="14">
        <f t="shared" ref="V3:V66" si="6">P3*N3</f>
        <v>1800</v>
      </c>
      <c r="W3" s="10">
        <f>VLOOKUP(Q3,Taxrate!A:B,2,FALSE)</f>
        <v>0.1</v>
      </c>
      <c r="X3" s="14">
        <f t="shared" ref="X3:X66" si="7">U3*W3</f>
        <v>326.75400000000002</v>
      </c>
      <c r="Y3" s="10">
        <f>VLOOKUP(L3,'Discount Rate'!A:B,2,FALSE)</f>
        <v>0.1</v>
      </c>
      <c r="Z3" s="14">
        <f t="shared" ref="Z3:Z66" si="8">Y3*U3</f>
        <v>326.75400000000002</v>
      </c>
      <c r="AA3" s="14">
        <f t="shared" ref="AA3:AA66" si="9">U3-X3-Z3</f>
        <v>2614.0320000000002</v>
      </c>
      <c r="AB3" s="14">
        <f t="shared" ref="AB3:AB66" si="10">AA3-V3</f>
        <v>814.03200000000015</v>
      </c>
    </row>
    <row r="4" spans="1:28" x14ac:dyDescent="0.25">
      <c r="A4" t="s">
        <v>28</v>
      </c>
      <c r="B4" t="s">
        <v>29</v>
      </c>
      <c r="C4" t="s">
        <v>13</v>
      </c>
      <c r="D4" t="s">
        <v>14</v>
      </c>
      <c r="E4" s="1">
        <v>45236</v>
      </c>
      <c r="F4" s="8">
        <f t="shared" si="0"/>
        <v>2023</v>
      </c>
      <c r="G4" s="1" t="str">
        <f t="shared" si="1"/>
        <v>November</v>
      </c>
      <c r="H4" s="1" t="str">
        <f t="shared" si="2"/>
        <v>Monday</v>
      </c>
      <c r="I4" s="2">
        <v>0.90322916666666664</v>
      </c>
      <c r="J4" s="8">
        <f t="shared" si="3"/>
        <v>21</v>
      </c>
      <c r="K4" s="8">
        <f t="shared" si="4"/>
        <v>40</v>
      </c>
      <c r="L4" t="s">
        <v>30</v>
      </c>
      <c r="M4" t="s">
        <v>31</v>
      </c>
      <c r="N4">
        <v>12</v>
      </c>
      <c r="O4" s="14">
        <v>500</v>
      </c>
      <c r="P4">
        <f>VLOOKUP(L4,'Product-cost'!A:B,2,FALSE)</f>
        <v>200</v>
      </c>
      <c r="Q4" t="s">
        <v>32</v>
      </c>
      <c r="R4" t="s">
        <v>33</v>
      </c>
      <c r="S4" t="s">
        <v>34</v>
      </c>
      <c r="T4" t="s">
        <v>893</v>
      </c>
      <c r="U4" s="14">
        <f t="shared" si="5"/>
        <v>6000</v>
      </c>
      <c r="V4" s="14">
        <f t="shared" si="6"/>
        <v>2400</v>
      </c>
      <c r="W4" s="10">
        <f>VLOOKUP(Q4,Taxrate!A:B,2,FALSE)</f>
        <v>0.2</v>
      </c>
      <c r="X4" s="14">
        <f t="shared" si="7"/>
        <v>1200</v>
      </c>
      <c r="Y4" s="10">
        <f>VLOOKUP(L4,'Discount Rate'!A:B,2,FALSE)</f>
        <v>0.08</v>
      </c>
      <c r="Z4" s="14">
        <f t="shared" si="8"/>
        <v>480</v>
      </c>
      <c r="AA4" s="14">
        <f t="shared" si="9"/>
        <v>4320</v>
      </c>
      <c r="AB4" s="14">
        <f t="shared" si="10"/>
        <v>1920</v>
      </c>
    </row>
    <row r="5" spans="1:28" x14ac:dyDescent="0.25">
      <c r="A5" t="s">
        <v>35</v>
      </c>
      <c r="B5" t="s">
        <v>36</v>
      </c>
      <c r="C5" t="s">
        <v>37</v>
      </c>
      <c r="D5" t="s">
        <v>38</v>
      </c>
      <c r="E5" s="1">
        <v>45415</v>
      </c>
      <c r="F5" s="8">
        <f t="shared" si="0"/>
        <v>2024</v>
      </c>
      <c r="G5" s="1" t="str">
        <f t="shared" si="1"/>
        <v>May</v>
      </c>
      <c r="H5" s="1" t="str">
        <f t="shared" si="2"/>
        <v>Friday</v>
      </c>
      <c r="I5" s="2">
        <v>0.83313657407407404</v>
      </c>
      <c r="J5" s="8">
        <f t="shared" si="3"/>
        <v>19</v>
      </c>
      <c r="K5" s="8">
        <f t="shared" si="4"/>
        <v>59</v>
      </c>
      <c r="L5" t="s">
        <v>15</v>
      </c>
      <c r="M5" t="s">
        <v>16</v>
      </c>
      <c r="N5">
        <v>3</v>
      </c>
      <c r="O5" s="14">
        <v>922.41</v>
      </c>
      <c r="P5">
        <f>VLOOKUP(L5,'Product-cost'!A:B,2,FALSE)</f>
        <v>600</v>
      </c>
      <c r="Q5" t="s">
        <v>39</v>
      </c>
      <c r="R5" t="s">
        <v>40</v>
      </c>
      <c r="S5" t="s">
        <v>41</v>
      </c>
      <c r="T5" t="s">
        <v>893</v>
      </c>
      <c r="U5" s="14">
        <f t="shared" si="5"/>
        <v>2767.23</v>
      </c>
      <c r="V5" s="14">
        <f t="shared" si="6"/>
        <v>1800</v>
      </c>
      <c r="W5" s="10">
        <f>VLOOKUP(Q5,Taxrate!A:B,2,FALSE)</f>
        <v>0.15</v>
      </c>
      <c r="X5" s="14">
        <f t="shared" si="7"/>
        <v>415.08449999999999</v>
      </c>
      <c r="Y5" s="10">
        <f>VLOOKUP(L5,'Discount Rate'!A:B,2,FALSE)</f>
        <v>0.05</v>
      </c>
      <c r="Z5" s="14">
        <f t="shared" si="8"/>
        <v>138.36150000000001</v>
      </c>
      <c r="AA5" s="14">
        <f t="shared" si="9"/>
        <v>2213.7840000000001</v>
      </c>
      <c r="AB5" s="14">
        <f t="shared" si="10"/>
        <v>413.78400000000011</v>
      </c>
    </row>
    <row r="6" spans="1:28" x14ac:dyDescent="0.25">
      <c r="A6" t="s">
        <v>42</v>
      </c>
      <c r="B6" t="s">
        <v>43</v>
      </c>
      <c r="C6" t="s">
        <v>44</v>
      </c>
      <c r="D6" t="s">
        <v>45</v>
      </c>
      <c r="E6" s="1">
        <v>45661</v>
      </c>
      <c r="F6" s="8">
        <f t="shared" si="0"/>
        <v>2025</v>
      </c>
      <c r="G6" s="1" t="str">
        <f t="shared" si="1"/>
        <v>January</v>
      </c>
      <c r="H6" s="1" t="str">
        <f t="shared" si="2"/>
        <v>Saturday</v>
      </c>
      <c r="I6" s="2">
        <v>0.38469907407407405</v>
      </c>
      <c r="J6" s="8">
        <f t="shared" si="3"/>
        <v>9</v>
      </c>
      <c r="K6" s="8">
        <f t="shared" si="4"/>
        <v>13</v>
      </c>
      <c r="L6" t="s">
        <v>46</v>
      </c>
      <c r="M6" t="s">
        <v>47</v>
      </c>
      <c r="N6">
        <v>6</v>
      </c>
      <c r="O6" s="14">
        <v>230.92</v>
      </c>
      <c r="P6">
        <f>VLOOKUP(L6,'Product-cost'!A:B,2,FALSE)</f>
        <v>150</v>
      </c>
      <c r="Q6" t="s">
        <v>39</v>
      </c>
      <c r="R6" t="s">
        <v>48</v>
      </c>
      <c r="T6" t="s">
        <v>895</v>
      </c>
      <c r="U6" s="14">
        <f t="shared" si="5"/>
        <v>1385.52</v>
      </c>
      <c r="V6" s="14">
        <f t="shared" si="6"/>
        <v>900</v>
      </c>
      <c r="W6" s="10">
        <f>VLOOKUP(Q6,Taxrate!A:B,2,FALSE)</f>
        <v>0.15</v>
      </c>
      <c r="X6" s="14">
        <f t="shared" si="7"/>
        <v>207.828</v>
      </c>
      <c r="Y6" s="10">
        <f>VLOOKUP(L6,'Discount Rate'!A:B,2,FALSE)</f>
        <v>7.0000000000000007E-2</v>
      </c>
      <c r="Z6" s="14">
        <f t="shared" si="8"/>
        <v>96.986400000000003</v>
      </c>
      <c r="AA6" s="14">
        <f t="shared" si="9"/>
        <v>1080.7056</v>
      </c>
      <c r="AB6" s="14">
        <f t="shared" si="10"/>
        <v>180.7056</v>
      </c>
    </row>
    <row r="7" spans="1:28" x14ac:dyDescent="0.25">
      <c r="A7" t="s">
        <v>49</v>
      </c>
      <c r="B7" t="s">
        <v>50</v>
      </c>
      <c r="C7" t="s">
        <v>21</v>
      </c>
      <c r="D7" t="s">
        <v>22</v>
      </c>
      <c r="E7" s="1">
        <v>45911</v>
      </c>
      <c r="F7" s="8">
        <f t="shared" si="0"/>
        <v>2025</v>
      </c>
      <c r="G7" s="1" t="str">
        <f t="shared" si="1"/>
        <v>September</v>
      </c>
      <c r="H7" s="1" t="str">
        <f t="shared" si="2"/>
        <v>Thursday</v>
      </c>
      <c r="I7" s="2">
        <v>0.40836805555555555</v>
      </c>
      <c r="J7" s="8">
        <f t="shared" si="3"/>
        <v>9</v>
      </c>
      <c r="K7" s="8">
        <f t="shared" si="4"/>
        <v>48</v>
      </c>
      <c r="L7" t="s">
        <v>15</v>
      </c>
      <c r="M7" t="s">
        <v>16</v>
      </c>
      <c r="N7">
        <v>3</v>
      </c>
      <c r="O7" s="14">
        <v>1011.08</v>
      </c>
      <c r="P7">
        <f>VLOOKUP(L7,'Product-cost'!A:B,2,FALSE)</f>
        <v>600</v>
      </c>
      <c r="Q7" t="s">
        <v>51</v>
      </c>
      <c r="R7" t="s">
        <v>52</v>
      </c>
      <c r="T7" t="s">
        <v>895</v>
      </c>
      <c r="U7" s="14">
        <f t="shared" si="5"/>
        <v>3033.2400000000002</v>
      </c>
      <c r="V7" s="14">
        <f t="shared" si="6"/>
        <v>1800</v>
      </c>
      <c r="W7" s="10">
        <f>VLOOKUP(Q7,Taxrate!A:B,2,FALSE)</f>
        <v>7.0000000000000007E-2</v>
      </c>
      <c r="X7" s="14">
        <f t="shared" si="7"/>
        <v>212.32680000000005</v>
      </c>
      <c r="Y7" s="10">
        <f>VLOOKUP(L7,'Discount Rate'!A:B,2,FALSE)</f>
        <v>0.05</v>
      </c>
      <c r="Z7" s="14">
        <f t="shared" si="8"/>
        <v>151.66200000000001</v>
      </c>
      <c r="AA7" s="14">
        <f t="shared" si="9"/>
        <v>2669.2512000000002</v>
      </c>
      <c r="AB7" s="14">
        <f t="shared" si="10"/>
        <v>869.25120000000015</v>
      </c>
    </row>
    <row r="8" spans="1:28" x14ac:dyDescent="0.25">
      <c r="A8" t="s">
        <v>53</v>
      </c>
      <c r="B8" t="s">
        <v>54</v>
      </c>
      <c r="C8" t="s">
        <v>13</v>
      </c>
      <c r="D8" t="s">
        <v>14</v>
      </c>
      <c r="E8" s="1">
        <v>46150</v>
      </c>
      <c r="F8" s="8">
        <f t="shared" si="0"/>
        <v>2026</v>
      </c>
      <c r="G8" s="1" t="str">
        <f t="shared" si="1"/>
        <v>May</v>
      </c>
      <c r="H8" s="1" t="str">
        <f t="shared" si="2"/>
        <v>Friday</v>
      </c>
      <c r="I8" s="2">
        <v>0.3878125</v>
      </c>
      <c r="J8" s="8">
        <f t="shared" si="3"/>
        <v>9</v>
      </c>
      <c r="K8" s="8">
        <f t="shared" si="4"/>
        <v>18</v>
      </c>
      <c r="L8" t="s">
        <v>23</v>
      </c>
      <c r="M8" t="s">
        <v>24</v>
      </c>
      <c r="N8">
        <v>12</v>
      </c>
      <c r="O8" s="14">
        <v>559.02</v>
      </c>
      <c r="P8">
        <f>VLOOKUP(L8,'Product-cost'!A:B,2,FALSE)</f>
        <v>300</v>
      </c>
      <c r="Q8" t="s">
        <v>55</v>
      </c>
      <c r="R8" t="s">
        <v>33</v>
      </c>
      <c r="T8" t="s">
        <v>895</v>
      </c>
      <c r="U8" s="14">
        <f t="shared" si="5"/>
        <v>6708.24</v>
      </c>
      <c r="V8" s="14">
        <f t="shared" si="6"/>
        <v>3600</v>
      </c>
      <c r="W8" s="10">
        <f>VLOOKUP(Q8,Taxrate!A:B,2,FALSE)</f>
        <v>0.12</v>
      </c>
      <c r="X8" s="14">
        <f t="shared" si="7"/>
        <v>804.98879999999997</v>
      </c>
      <c r="Y8" s="10">
        <f>VLOOKUP(L8,'Discount Rate'!A:B,2,FALSE)</f>
        <v>0.1</v>
      </c>
      <c r="Z8" s="14">
        <f t="shared" si="8"/>
        <v>670.82400000000007</v>
      </c>
      <c r="AA8" s="14">
        <f t="shared" si="9"/>
        <v>5232.4272000000001</v>
      </c>
      <c r="AB8" s="14">
        <f t="shared" si="10"/>
        <v>1632.4272000000001</v>
      </c>
    </row>
    <row r="9" spans="1:28" x14ac:dyDescent="0.25">
      <c r="A9" t="s">
        <v>56</v>
      </c>
      <c r="B9" t="s">
        <v>57</v>
      </c>
      <c r="C9" t="s">
        <v>58</v>
      </c>
      <c r="D9" t="s">
        <v>59</v>
      </c>
      <c r="E9" s="1">
        <v>46013</v>
      </c>
      <c r="F9" s="8">
        <f t="shared" si="0"/>
        <v>2025</v>
      </c>
      <c r="G9" s="1" t="str">
        <f t="shared" si="1"/>
        <v>December</v>
      </c>
      <c r="H9" s="1" t="str">
        <f t="shared" si="2"/>
        <v>Monday</v>
      </c>
      <c r="I9" s="2">
        <v>0.72258101851851853</v>
      </c>
      <c r="J9" s="8">
        <f t="shared" si="3"/>
        <v>17</v>
      </c>
      <c r="K9" s="8">
        <f t="shared" si="4"/>
        <v>20</v>
      </c>
      <c r="L9" t="s">
        <v>15</v>
      </c>
      <c r="M9" t="s">
        <v>16</v>
      </c>
      <c r="N9">
        <v>6</v>
      </c>
      <c r="O9" s="14">
        <v>1215.83</v>
      </c>
      <c r="P9">
        <f>VLOOKUP(L9,'Product-cost'!A:B,2,FALSE)</f>
        <v>600</v>
      </c>
      <c r="Q9" t="s">
        <v>25</v>
      </c>
      <c r="R9" t="s">
        <v>60</v>
      </c>
      <c r="T9" t="s">
        <v>895</v>
      </c>
      <c r="U9" s="14">
        <f t="shared" si="5"/>
        <v>7294.98</v>
      </c>
      <c r="V9" s="14">
        <f t="shared" si="6"/>
        <v>3600</v>
      </c>
      <c r="W9" s="10">
        <f>VLOOKUP(Q9,Taxrate!A:B,2,FALSE)</f>
        <v>0.1</v>
      </c>
      <c r="X9" s="14">
        <f t="shared" si="7"/>
        <v>729.49800000000005</v>
      </c>
      <c r="Y9" s="10">
        <f>VLOOKUP(L9,'Discount Rate'!A:B,2,FALSE)</f>
        <v>0.05</v>
      </c>
      <c r="Z9" s="14">
        <f t="shared" si="8"/>
        <v>364.74900000000002</v>
      </c>
      <c r="AA9" s="14">
        <f t="shared" si="9"/>
        <v>6200.7330000000002</v>
      </c>
      <c r="AB9" s="14">
        <f t="shared" si="10"/>
        <v>2600.7330000000002</v>
      </c>
    </row>
    <row r="10" spans="1:28" x14ac:dyDescent="0.25">
      <c r="A10" t="s">
        <v>61</v>
      </c>
      <c r="B10" t="s">
        <v>62</v>
      </c>
      <c r="C10" t="s">
        <v>63</v>
      </c>
      <c r="D10" t="s">
        <v>14</v>
      </c>
      <c r="E10" s="1">
        <v>45189</v>
      </c>
      <c r="F10" s="8">
        <f t="shared" si="0"/>
        <v>2023</v>
      </c>
      <c r="G10" s="1" t="str">
        <f t="shared" si="1"/>
        <v>September</v>
      </c>
      <c r="H10" s="1" t="str">
        <f t="shared" si="2"/>
        <v>Wednesday</v>
      </c>
      <c r="I10" s="2">
        <v>0.67379629629629634</v>
      </c>
      <c r="J10" s="8">
        <f t="shared" si="3"/>
        <v>16</v>
      </c>
      <c r="K10" s="8">
        <f t="shared" si="4"/>
        <v>10</v>
      </c>
      <c r="L10" t="s">
        <v>46</v>
      </c>
      <c r="M10" t="s">
        <v>47</v>
      </c>
      <c r="N10">
        <v>7</v>
      </c>
      <c r="O10" s="14">
        <v>278.18</v>
      </c>
      <c r="P10">
        <f>VLOOKUP(L10,'Product-cost'!A:B,2,FALSE)</f>
        <v>150</v>
      </c>
      <c r="Q10" t="s">
        <v>32</v>
      </c>
      <c r="R10" t="s">
        <v>33</v>
      </c>
      <c r="S10" t="s">
        <v>27</v>
      </c>
      <c r="T10" t="s">
        <v>893</v>
      </c>
      <c r="U10" s="14">
        <f t="shared" si="5"/>
        <v>1947.26</v>
      </c>
      <c r="V10" s="14">
        <f t="shared" si="6"/>
        <v>1050</v>
      </c>
      <c r="W10" s="10">
        <f>VLOOKUP(Q10,Taxrate!A:B,2,FALSE)</f>
        <v>0.2</v>
      </c>
      <c r="X10" s="14">
        <f t="shared" si="7"/>
        <v>389.452</v>
      </c>
      <c r="Y10" s="10">
        <f>VLOOKUP(L10,'Discount Rate'!A:B,2,FALSE)</f>
        <v>7.0000000000000007E-2</v>
      </c>
      <c r="Z10" s="14">
        <f t="shared" si="8"/>
        <v>136.3082</v>
      </c>
      <c r="AA10" s="14">
        <f t="shared" si="9"/>
        <v>1421.4998000000001</v>
      </c>
      <c r="AB10" s="14">
        <f t="shared" si="10"/>
        <v>371.49980000000005</v>
      </c>
    </row>
    <row r="11" spans="1:28" x14ac:dyDescent="0.25">
      <c r="A11" t="s">
        <v>64</v>
      </c>
      <c r="B11" t="s">
        <v>65</v>
      </c>
      <c r="C11" t="s">
        <v>66</v>
      </c>
      <c r="D11" t="s">
        <v>67</v>
      </c>
      <c r="E11" s="1">
        <v>44970</v>
      </c>
      <c r="F11" s="8">
        <f t="shared" si="0"/>
        <v>2023</v>
      </c>
      <c r="G11" s="1" t="str">
        <f t="shared" si="1"/>
        <v>February</v>
      </c>
      <c r="H11" s="1" t="str">
        <f t="shared" si="2"/>
        <v>Monday</v>
      </c>
      <c r="I11" s="2">
        <v>0.71805555555555556</v>
      </c>
      <c r="J11" s="8">
        <f t="shared" si="3"/>
        <v>17</v>
      </c>
      <c r="K11" s="8">
        <f t="shared" si="4"/>
        <v>14</v>
      </c>
      <c r="L11" t="s">
        <v>15</v>
      </c>
      <c r="M11" t="s">
        <v>16</v>
      </c>
      <c r="N11">
        <v>1</v>
      </c>
      <c r="O11" s="14">
        <v>1252.71</v>
      </c>
      <c r="P11">
        <f>VLOOKUP(L11,'Product-cost'!A:B,2,FALSE)</f>
        <v>600</v>
      </c>
      <c r="Q11" t="s">
        <v>25</v>
      </c>
      <c r="R11" t="s">
        <v>68</v>
      </c>
      <c r="S11" t="s">
        <v>69</v>
      </c>
      <c r="T11" t="s">
        <v>894</v>
      </c>
      <c r="U11" s="14">
        <f t="shared" si="5"/>
        <v>1252.71</v>
      </c>
      <c r="V11" s="14">
        <f t="shared" si="6"/>
        <v>600</v>
      </c>
      <c r="W11" s="10">
        <f>VLOOKUP(Q11,Taxrate!A:B,2,FALSE)</f>
        <v>0.1</v>
      </c>
      <c r="X11" s="14">
        <f t="shared" si="7"/>
        <v>125.27100000000002</v>
      </c>
      <c r="Y11" s="10">
        <f>VLOOKUP(L11,'Discount Rate'!A:B,2,FALSE)</f>
        <v>0.05</v>
      </c>
      <c r="Z11" s="14">
        <f t="shared" si="8"/>
        <v>62.635500000000008</v>
      </c>
      <c r="AA11" s="14">
        <f t="shared" si="9"/>
        <v>1064.8035</v>
      </c>
      <c r="AB11" s="14">
        <f t="shared" si="10"/>
        <v>464.80349999999999</v>
      </c>
    </row>
    <row r="12" spans="1:28" x14ac:dyDescent="0.25">
      <c r="A12" t="s">
        <v>70</v>
      </c>
      <c r="B12" t="s">
        <v>71</v>
      </c>
      <c r="C12" t="s">
        <v>72</v>
      </c>
      <c r="D12" t="s">
        <v>59</v>
      </c>
      <c r="E12" s="1">
        <v>45895</v>
      </c>
      <c r="F12" s="8">
        <f t="shared" si="0"/>
        <v>2025</v>
      </c>
      <c r="G12" s="1" t="str">
        <f t="shared" si="1"/>
        <v>August</v>
      </c>
      <c r="H12" s="1" t="str">
        <f t="shared" si="2"/>
        <v>Tuesday</v>
      </c>
      <c r="I12" s="2">
        <v>0.46256944444444442</v>
      </c>
      <c r="J12" s="8">
        <f t="shared" si="3"/>
        <v>11</v>
      </c>
      <c r="K12" s="8">
        <f t="shared" si="4"/>
        <v>6</v>
      </c>
      <c r="L12" t="s">
        <v>73</v>
      </c>
      <c r="M12" t="s">
        <v>74</v>
      </c>
      <c r="N12">
        <v>7</v>
      </c>
      <c r="O12" s="14">
        <v>174.68</v>
      </c>
      <c r="P12">
        <f>VLOOKUP(L12,'Product-cost'!A:B,2,FALSE)</f>
        <v>50</v>
      </c>
      <c r="Q12" t="s">
        <v>51</v>
      </c>
      <c r="R12" t="s">
        <v>75</v>
      </c>
      <c r="S12" t="s">
        <v>34</v>
      </c>
      <c r="T12" t="s">
        <v>893</v>
      </c>
      <c r="U12" s="14">
        <f t="shared" si="5"/>
        <v>1222.76</v>
      </c>
      <c r="V12" s="14">
        <f t="shared" si="6"/>
        <v>350</v>
      </c>
      <c r="W12" s="10">
        <f>VLOOKUP(Q12,Taxrate!A:B,2,FALSE)</f>
        <v>7.0000000000000007E-2</v>
      </c>
      <c r="X12" s="14">
        <f t="shared" si="7"/>
        <v>85.59320000000001</v>
      </c>
      <c r="Y12" s="10">
        <f>VLOOKUP(L12,'Discount Rate'!A:B,2,FALSE)</f>
        <v>0.03</v>
      </c>
      <c r="Z12" s="14">
        <f t="shared" si="8"/>
        <v>36.6828</v>
      </c>
      <c r="AA12" s="14">
        <f t="shared" si="9"/>
        <v>1100.4839999999999</v>
      </c>
      <c r="AB12" s="14">
        <f t="shared" si="10"/>
        <v>750.48399999999992</v>
      </c>
    </row>
    <row r="13" spans="1:28" x14ac:dyDescent="0.25">
      <c r="A13" t="s">
        <v>76</v>
      </c>
      <c r="B13" t="s">
        <v>77</v>
      </c>
      <c r="C13" t="s">
        <v>58</v>
      </c>
      <c r="D13" t="s">
        <v>59</v>
      </c>
      <c r="E13" s="1">
        <v>45785</v>
      </c>
      <c r="F13" s="8">
        <f t="shared" si="0"/>
        <v>2025</v>
      </c>
      <c r="G13" s="1" t="str">
        <f t="shared" si="1"/>
        <v>May</v>
      </c>
      <c r="H13" s="1" t="str">
        <f t="shared" si="2"/>
        <v>Thursday</v>
      </c>
      <c r="I13" s="2">
        <v>0.91601851851851857</v>
      </c>
      <c r="J13" s="8">
        <f t="shared" si="3"/>
        <v>21</v>
      </c>
      <c r="K13" s="8">
        <f t="shared" si="4"/>
        <v>59</v>
      </c>
      <c r="L13" t="s">
        <v>73</v>
      </c>
      <c r="M13" t="s">
        <v>74</v>
      </c>
      <c r="N13">
        <v>14</v>
      </c>
      <c r="O13" s="14">
        <v>123.79</v>
      </c>
      <c r="P13">
        <f>VLOOKUP(L13,'Product-cost'!A:B,2,FALSE)</f>
        <v>50</v>
      </c>
      <c r="Q13" t="s">
        <v>55</v>
      </c>
      <c r="R13" t="s">
        <v>75</v>
      </c>
      <c r="S13" t="s">
        <v>41</v>
      </c>
      <c r="T13" t="s">
        <v>893</v>
      </c>
      <c r="U13" s="14">
        <f t="shared" si="5"/>
        <v>1733.0600000000002</v>
      </c>
      <c r="V13" s="14">
        <f t="shared" si="6"/>
        <v>700</v>
      </c>
      <c r="W13" s="10">
        <f>VLOOKUP(Q13,Taxrate!A:B,2,FALSE)</f>
        <v>0.12</v>
      </c>
      <c r="X13" s="14">
        <f t="shared" si="7"/>
        <v>207.96720000000002</v>
      </c>
      <c r="Y13" s="10">
        <f>VLOOKUP(L13,'Discount Rate'!A:B,2,FALSE)</f>
        <v>0.03</v>
      </c>
      <c r="Z13" s="14">
        <f t="shared" si="8"/>
        <v>51.991800000000005</v>
      </c>
      <c r="AA13" s="14">
        <f t="shared" si="9"/>
        <v>1473.1010000000001</v>
      </c>
      <c r="AB13" s="14">
        <f t="shared" si="10"/>
        <v>773.10100000000011</v>
      </c>
    </row>
    <row r="14" spans="1:28" x14ac:dyDescent="0.25">
      <c r="A14" t="s">
        <v>78</v>
      </c>
      <c r="B14" t="s">
        <v>79</v>
      </c>
      <c r="C14" t="s">
        <v>44</v>
      </c>
      <c r="D14" t="s">
        <v>45</v>
      </c>
      <c r="E14" s="1">
        <v>45703</v>
      </c>
      <c r="F14" s="8">
        <f t="shared" si="0"/>
        <v>2025</v>
      </c>
      <c r="G14" s="1" t="str">
        <f t="shared" si="1"/>
        <v>February</v>
      </c>
      <c r="H14" s="1" t="str">
        <f t="shared" si="2"/>
        <v>Saturday</v>
      </c>
      <c r="I14" s="2">
        <v>0.59512731481481485</v>
      </c>
      <c r="J14" s="8">
        <f t="shared" si="3"/>
        <v>14</v>
      </c>
      <c r="K14" s="8">
        <f t="shared" si="4"/>
        <v>16</v>
      </c>
      <c r="L14" t="s">
        <v>73</v>
      </c>
      <c r="M14" t="s">
        <v>74</v>
      </c>
      <c r="N14">
        <v>12</v>
      </c>
      <c r="O14" s="14">
        <v>194.66</v>
      </c>
      <c r="P14">
        <f>VLOOKUP(L14,'Product-cost'!A:B,2,FALSE)</f>
        <v>50</v>
      </c>
      <c r="Q14" t="s">
        <v>55</v>
      </c>
      <c r="R14" t="s">
        <v>80</v>
      </c>
      <c r="S14" t="s">
        <v>69</v>
      </c>
      <c r="T14" t="s">
        <v>894</v>
      </c>
      <c r="U14" s="14">
        <f t="shared" si="5"/>
        <v>2335.92</v>
      </c>
      <c r="V14" s="14">
        <f t="shared" si="6"/>
        <v>600</v>
      </c>
      <c r="W14" s="10">
        <f>VLOOKUP(Q14,Taxrate!A:B,2,FALSE)</f>
        <v>0.12</v>
      </c>
      <c r="X14" s="14">
        <f t="shared" si="7"/>
        <v>280.31040000000002</v>
      </c>
      <c r="Y14" s="10">
        <f>VLOOKUP(L14,'Discount Rate'!A:B,2,FALSE)</f>
        <v>0.03</v>
      </c>
      <c r="Z14" s="14">
        <f t="shared" si="8"/>
        <v>70.077600000000004</v>
      </c>
      <c r="AA14" s="14">
        <f t="shared" si="9"/>
        <v>1985.5320000000002</v>
      </c>
      <c r="AB14" s="14">
        <f t="shared" si="10"/>
        <v>1385.5320000000002</v>
      </c>
    </row>
    <row r="15" spans="1:28" x14ac:dyDescent="0.25">
      <c r="A15" t="s">
        <v>81</v>
      </c>
      <c r="B15" t="s">
        <v>82</v>
      </c>
      <c r="C15" t="s">
        <v>83</v>
      </c>
      <c r="D15" t="s">
        <v>38</v>
      </c>
      <c r="E15" s="1">
        <v>45029</v>
      </c>
      <c r="F15" s="8">
        <f t="shared" si="0"/>
        <v>2023</v>
      </c>
      <c r="G15" s="1" t="str">
        <f t="shared" si="1"/>
        <v>April</v>
      </c>
      <c r="H15" s="1" t="str">
        <f t="shared" si="2"/>
        <v>Thursday</v>
      </c>
      <c r="I15" s="2">
        <v>0.70756944444444447</v>
      </c>
      <c r="J15" s="8">
        <f t="shared" si="3"/>
        <v>16</v>
      </c>
      <c r="K15" s="8">
        <f t="shared" si="4"/>
        <v>58</v>
      </c>
      <c r="L15" t="s">
        <v>46</v>
      </c>
      <c r="M15" t="s">
        <v>47</v>
      </c>
      <c r="N15">
        <v>9</v>
      </c>
      <c r="O15" s="14">
        <v>500</v>
      </c>
      <c r="P15">
        <f>VLOOKUP(L15,'Product-cost'!A:B,2,FALSE)</f>
        <v>150</v>
      </c>
      <c r="Q15" t="s">
        <v>32</v>
      </c>
      <c r="R15" t="s">
        <v>84</v>
      </c>
      <c r="T15" t="s">
        <v>895</v>
      </c>
      <c r="U15" s="14">
        <f t="shared" si="5"/>
        <v>4500</v>
      </c>
      <c r="V15" s="14">
        <f t="shared" si="6"/>
        <v>1350</v>
      </c>
      <c r="W15" s="10">
        <f>VLOOKUP(Q15,Taxrate!A:B,2,FALSE)</f>
        <v>0.2</v>
      </c>
      <c r="X15" s="14">
        <f t="shared" si="7"/>
        <v>900</v>
      </c>
      <c r="Y15" s="10">
        <f>VLOOKUP(L15,'Discount Rate'!A:B,2,FALSE)</f>
        <v>7.0000000000000007E-2</v>
      </c>
      <c r="Z15" s="14">
        <f t="shared" si="8"/>
        <v>315.00000000000006</v>
      </c>
      <c r="AA15" s="14">
        <f t="shared" si="9"/>
        <v>3285</v>
      </c>
      <c r="AB15" s="14">
        <f t="shared" si="10"/>
        <v>1935</v>
      </c>
    </row>
    <row r="16" spans="1:28" x14ac:dyDescent="0.25">
      <c r="A16" t="s">
        <v>85</v>
      </c>
      <c r="B16" t="s">
        <v>86</v>
      </c>
      <c r="C16" t="s">
        <v>44</v>
      </c>
      <c r="D16" t="s">
        <v>45</v>
      </c>
      <c r="E16" s="1">
        <v>45094</v>
      </c>
      <c r="F16" s="8">
        <f t="shared" si="0"/>
        <v>2023</v>
      </c>
      <c r="G16" s="1" t="str">
        <f t="shared" si="1"/>
        <v>June</v>
      </c>
      <c r="H16" s="1" t="str">
        <f t="shared" si="2"/>
        <v>Saturday</v>
      </c>
      <c r="I16" s="2">
        <v>0.77611111111111108</v>
      </c>
      <c r="J16" s="8">
        <f t="shared" si="3"/>
        <v>18</v>
      </c>
      <c r="K16" s="8">
        <f t="shared" si="4"/>
        <v>37</v>
      </c>
      <c r="L16" t="s">
        <v>46</v>
      </c>
      <c r="M16" t="s">
        <v>47</v>
      </c>
      <c r="N16">
        <v>5</v>
      </c>
      <c r="O16" s="14">
        <v>254.78</v>
      </c>
      <c r="P16">
        <f>VLOOKUP(L16,'Product-cost'!A:B,2,FALSE)</f>
        <v>150</v>
      </c>
      <c r="Q16" t="s">
        <v>32</v>
      </c>
      <c r="R16" t="s">
        <v>87</v>
      </c>
      <c r="S16" t="s">
        <v>88</v>
      </c>
      <c r="T16" t="s">
        <v>893</v>
      </c>
      <c r="U16" s="14">
        <f t="shared" si="5"/>
        <v>1273.9000000000001</v>
      </c>
      <c r="V16" s="14">
        <f t="shared" si="6"/>
        <v>750</v>
      </c>
      <c r="W16" s="10">
        <f>VLOOKUP(Q16,Taxrate!A:B,2,FALSE)</f>
        <v>0.2</v>
      </c>
      <c r="X16" s="14">
        <f t="shared" si="7"/>
        <v>254.78000000000003</v>
      </c>
      <c r="Y16" s="10">
        <f>VLOOKUP(L16,'Discount Rate'!A:B,2,FALSE)</f>
        <v>7.0000000000000007E-2</v>
      </c>
      <c r="Z16" s="14">
        <f t="shared" si="8"/>
        <v>89.173000000000016</v>
      </c>
      <c r="AA16" s="14">
        <f t="shared" si="9"/>
        <v>929.94700000000012</v>
      </c>
      <c r="AB16" s="14">
        <f t="shared" si="10"/>
        <v>179.94700000000012</v>
      </c>
    </row>
    <row r="17" spans="1:28" x14ac:dyDescent="0.25">
      <c r="A17" t="s">
        <v>89</v>
      </c>
      <c r="B17" t="s">
        <v>90</v>
      </c>
      <c r="C17" t="s">
        <v>91</v>
      </c>
      <c r="D17" t="s">
        <v>92</v>
      </c>
      <c r="E17" s="1">
        <v>45131</v>
      </c>
      <c r="F17" s="8">
        <f t="shared" si="0"/>
        <v>2023</v>
      </c>
      <c r="G17" s="1" t="str">
        <f t="shared" si="1"/>
        <v>July</v>
      </c>
      <c r="H17" s="1" t="str">
        <f t="shared" si="2"/>
        <v>Monday</v>
      </c>
      <c r="I17" s="2">
        <v>0.67606481481481484</v>
      </c>
      <c r="J17" s="8">
        <f t="shared" si="3"/>
        <v>16</v>
      </c>
      <c r="K17" s="8">
        <f t="shared" si="4"/>
        <v>13</v>
      </c>
      <c r="L17" t="s">
        <v>30</v>
      </c>
      <c r="M17" t="s">
        <v>31</v>
      </c>
      <c r="N17">
        <v>6</v>
      </c>
      <c r="O17" s="14">
        <v>495.85</v>
      </c>
      <c r="P17">
        <f>VLOOKUP(L17,'Product-cost'!A:B,2,FALSE)</f>
        <v>200</v>
      </c>
      <c r="Q17" t="s">
        <v>25</v>
      </c>
      <c r="R17" t="s">
        <v>93</v>
      </c>
      <c r="T17" t="s">
        <v>895</v>
      </c>
      <c r="U17" s="14">
        <f t="shared" si="5"/>
        <v>2975.1000000000004</v>
      </c>
      <c r="V17" s="14">
        <f t="shared" si="6"/>
        <v>1200</v>
      </c>
      <c r="W17" s="10">
        <f>VLOOKUP(Q17,Taxrate!A:B,2,FALSE)</f>
        <v>0.1</v>
      </c>
      <c r="X17" s="14">
        <f t="shared" si="7"/>
        <v>297.51000000000005</v>
      </c>
      <c r="Y17" s="10">
        <f>VLOOKUP(L17,'Discount Rate'!A:B,2,FALSE)</f>
        <v>0.08</v>
      </c>
      <c r="Z17" s="14">
        <f t="shared" si="8"/>
        <v>238.00800000000004</v>
      </c>
      <c r="AA17" s="14">
        <f t="shared" si="9"/>
        <v>2439.5820000000003</v>
      </c>
      <c r="AB17" s="14">
        <f t="shared" si="10"/>
        <v>1239.5820000000003</v>
      </c>
    </row>
    <row r="18" spans="1:28" x14ac:dyDescent="0.25">
      <c r="A18" t="s">
        <v>94</v>
      </c>
      <c r="B18" t="s">
        <v>95</v>
      </c>
      <c r="C18" t="s">
        <v>63</v>
      </c>
      <c r="D18" t="s">
        <v>14</v>
      </c>
      <c r="E18" s="1">
        <v>46285</v>
      </c>
      <c r="F18" s="8">
        <f t="shared" si="0"/>
        <v>2026</v>
      </c>
      <c r="G18" s="1" t="str">
        <f t="shared" si="1"/>
        <v>September</v>
      </c>
      <c r="H18" s="1" t="str">
        <f t="shared" si="2"/>
        <v>Sunday</v>
      </c>
      <c r="I18" s="2">
        <v>0.42785879629629631</v>
      </c>
      <c r="J18" s="8">
        <f t="shared" si="3"/>
        <v>10</v>
      </c>
      <c r="K18" s="8">
        <f t="shared" si="4"/>
        <v>16</v>
      </c>
      <c r="L18" t="s">
        <v>15</v>
      </c>
      <c r="M18" t="s">
        <v>16</v>
      </c>
      <c r="N18">
        <v>3</v>
      </c>
      <c r="O18" s="14">
        <v>1102.4100000000001</v>
      </c>
      <c r="P18">
        <f>VLOOKUP(L18,'Product-cost'!A:B,2,FALSE)</f>
        <v>600</v>
      </c>
      <c r="Q18" t="s">
        <v>25</v>
      </c>
      <c r="R18" t="s">
        <v>17</v>
      </c>
      <c r="S18" t="s">
        <v>96</v>
      </c>
      <c r="T18" t="s">
        <v>893</v>
      </c>
      <c r="U18" s="14">
        <f t="shared" si="5"/>
        <v>3307.2300000000005</v>
      </c>
      <c r="V18" s="14">
        <f t="shared" si="6"/>
        <v>1800</v>
      </c>
      <c r="W18" s="10">
        <f>VLOOKUP(Q18,Taxrate!A:B,2,FALSE)</f>
        <v>0.1</v>
      </c>
      <c r="X18" s="14">
        <f t="shared" si="7"/>
        <v>330.72300000000007</v>
      </c>
      <c r="Y18" s="10">
        <f>VLOOKUP(L18,'Discount Rate'!A:B,2,FALSE)</f>
        <v>0.05</v>
      </c>
      <c r="Z18" s="14">
        <f t="shared" si="8"/>
        <v>165.36150000000004</v>
      </c>
      <c r="AA18" s="14">
        <f t="shared" si="9"/>
        <v>2811.1455000000005</v>
      </c>
      <c r="AB18" s="14">
        <f t="shared" si="10"/>
        <v>1011.1455000000005</v>
      </c>
    </row>
    <row r="19" spans="1:28" x14ac:dyDescent="0.25">
      <c r="A19" t="s">
        <v>97</v>
      </c>
      <c r="B19" t="s">
        <v>98</v>
      </c>
      <c r="C19" t="s">
        <v>99</v>
      </c>
      <c r="D19" t="s">
        <v>100</v>
      </c>
      <c r="E19" s="1">
        <v>44930</v>
      </c>
      <c r="F19" s="8">
        <f t="shared" si="0"/>
        <v>2023</v>
      </c>
      <c r="G19" s="1" t="str">
        <f t="shared" si="1"/>
        <v>January</v>
      </c>
      <c r="H19" s="1" t="str">
        <f t="shared" si="2"/>
        <v>Wednesday</v>
      </c>
      <c r="I19" s="2">
        <v>0.57578703703703704</v>
      </c>
      <c r="J19" s="8">
        <f t="shared" si="3"/>
        <v>13</v>
      </c>
      <c r="K19" s="8">
        <f t="shared" si="4"/>
        <v>49</v>
      </c>
      <c r="L19" t="s">
        <v>30</v>
      </c>
      <c r="M19" t="s">
        <v>31</v>
      </c>
      <c r="N19">
        <v>8</v>
      </c>
      <c r="O19" s="14">
        <v>405.54</v>
      </c>
      <c r="P19">
        <f>VLOOKUP(L19,'Product-cost'!A:B,2,FALSE)</f>
        <v>200</v>
      </c>
      <c r="Q19" t="s">
        <v>51</v>
      </c>
      <c r="R19" t="s">
        <v>101</v>
      </c>
      <c r="S19" t="s">
        <v>102</v>
      </c>
      <c r="T19" t="s">
        <v>895</v>
      </c>
      <c r="U19" s="14">
        <f t="shared" si="5"/>
        <v>3244.32</v>
      </c>
      <c r="V19" s="14">
        <f t="shared" si="6"/>
        <v>1600</v>
      </c>
      <c r="W19" s="10">
        <f>VLOOKUP(Q19,Taxrate!A:B,2,FALSE)</f>
        <v>7.0000000000000007E-2</v>
      </c>
      <c r="X19" s="14">
        <f t="shared" si="7"/>
        <v>227.10240000000005</v>
      </c>
      <c r="Y19" s="10">
        <f>VLOOKUP(L19,'Discount Rate'!A:B,2,FALSE)</f>
        <v>0.08</v>
      </c>
      <c r="Z19" s="14">
        <f t="shared" si="8"/>
        <v>259.54560000000004</v>
      </c>
      <c r="AA19" s="14">
        <f t="shared" si="9"/>
        <v>2757.672</v>
      </c>
      <c r="AB19" s="14">
        <f t="shared" si="10"/>
        <v>1157.672</v>
      </c>
    </row>
    <row r="20" spans="1:28" x14ac:dyDescent="0.25">
      <c r="A20" t="s">
        <v>103</v>
      </c>
      <c r="B20" t="s">
        <v>104</v>
      </c>
      <c r="C20" t="s">
        <v>99</v>
      </c>
      <c r="D20" t="s">
        <v>100</v>
      </c>
      <c r="E20" s="1">
        <v>45012</v>
      </c>
      <c r="F20" s="8">
        <f t="shared" si="0"/>
        <v>2023</v>
      </c>
      <c r="G20" s="1" t="str">
        <f t="shared" si="1"/>
        <v>March</v>
      </c>
      <c r="H20" s="1" t="str">
        <f t="shared" si="2"/>
        <v>Monday</v>
      </c>
      <c r="I20" s="2">
        <v>0.58193287037037034</v>
      </c>
      <c r="J20" s="8">
        <f t="shared" si="3"/>
        <v>13</v>
      </c>
      <c r="K20" s="8">
        <f t="shared" si="4"/>
        <v>57</v>
      </c>
      <c r="L20" t="s">
        <v>15</v>
      </c>
      <c r="M20" t="s">
        <v>16</v>
      </c>
      <c r="N20">
        <v>4</v>
      </c>
      <c r="O20" s="14">
        <v>1133.47</v>
      </c>
      <c r="P20">
        <f>VLOOKUP(L20,'Product-cost'!A:B,2,FALSE)</f>
        <v>600</v>
      </c>
      <c r="Q20" t="s">
        <v>25</v>
      </c>
      <c r="R20" t="s">
        <v>105</v>
      </c>
      <c r="S20" t="s">
        <v>102</v>
      </c>
      <c r="T20" t="s">
        <v>895</v>
      </c>
      <c r="U20" s="14">
        <f t="shared" si="5"/>
        <v>4533.88</v>
      </c>
      <c r="V20" s="14">
        <f t="shared" si="6"/>
        <v>2400</v>
      </c>
      <c r="W20" s="10">
        <f>VLOOKUP(Q20,Taxrate!A:B,2,FALSE)</f>
        <v>0.1</v>
      </c>
      <c r="X20" s="14">
        <f t="shared" si="7"/>
        <v>453.38800000000003</v>
      </c>
      <c r="Y20" s="10">
        <f>VLOOKUP(L20,'Discount Rate'!A:B,2,FALSE)</f>
        <v>0.05</v>
      </c>
      <c r="Z20" s="14">
        <f t="shared" si="8"/>
        <v>226.69400000000002</v>
      </c>
      <c r="AA20" s="14">
        <f t="shared" si="9"/>
        <v>3853.7980000000002</v>
      </c>
      <c r="AB20" s="14">
        <f t="shared" si="10"/>
        <v>1453.7980000000002</v>
      </c>
    </row>
    <row r="21" spans="1:28" x14ac:dyDescent="0.25">
      <c r="A21" t="s">
        <v>106</v>
      </c>
      <c r="B21" t="s">
        <v>107</v>
      </c>
      <c r="C21" t="s">
        <v>58</v>
      </c>
      <c r="D21" t="s">
        <v>59</v>
      </c>
      <c r="E21" s="1">
        <v>44977</v>
      </c>
      <c r="F21" s="8">
        <f t="shared" si="0"/>
        <v>2023</v>
      </c>
      <c r="G21" s="1" t="str">
        <f t="shared" si="1"/>
        <v>February</v>
      </c>
      <c r="H21" s="1" t="str">
        <f t="shared" si="2"/>
        <v>Monday</v>
      </c>
      <c r="I21" s="2">
        <v>0.83288194444444441</v>
      </c>
      <c r="J21" s="8">
        <f t="shared" si="3"/>
        <v>19</v>
      </c>
      <c r="K21" s="8">
        <f t="shared" si="4"/>
        <v>59</v>
      </c>
      <c r="L21" t="s">
        <v>73</v>
      </c>
      <c r="M21" t="s">
        <v>74</v>
      </c>
      <c r="N21">
        <v>14</v>
      </c>
      <c r="O21" s="14">
        <v>138.61000000000001</v>
      </c>
      <c r="P21">
        <f>VLOOKUP(L21,'Product-cost'!A:B,2,FALSE)</f>
        <v>50</v>
      </c>
      <c r="Q21" t="s">
        <v>32</v>
      </c>
      <c r="R21" t="s">
        <v>75</v>
      </c>
      <c r="S21" t="s">
        <v>96</v>
      </c>
      <c r="T21" t="s">
        <v>893</v>
      </c>
      <c r="U21" s="14">
        <f t="shared" si="5"/>
        <v>1940.5400000000002</v>
      </c>
      <c r="V21" s="14">
        <f t="shared" si="6"/>
        <v>700</v>
      </c>
      <c r="W21" s="10">
        <f>VLOOKUP(Q21,Taxrate!A:B,2,FALSE)</f>
        <v>0.2</v>
      </c>
      <c r="X21" s="14">
        <f t="shared" si="7"/>
        <v>388.10800000000006</v>
      </c>
      <c r="Y21" s="10">
        <f>VLOOKUP(L21,'Discount Rate'!A:B,2,FALSE)</f>
        <v>0.03</v>
      </c>
      <c r="Z21" s="14">
        <f t="shared" si="8"/>
        <v>58.216200000000001</v>
      </c>
      <c r="AA21" s="14">
        <f t="shared" si="9"/>
        <v>1494.2158000000002</v>
      </c>
      <c r="AB21" s="14">
        <f t="shared" si="10"/>
        <v>794.21580000000017</v>
      </c>
    </row>
    <row r="22" spans="1:28" x14ac:dyDescent="0.25">
      <c r="A22" t="s">
        <v>108</v>
      </c>
      <c r="B22" t="s">
        <v>109</v>
      </c>
      <c r="C22" t="s">
        <v>21</v>
      </c>
      <c r="D22" t="s">
        <v>22</v>
      </c>
      <c r="E22" s="1">
        <v>44975</v>
      </c>
      <c r="F22" s="8">
        <f t="shared" si="0"/>
        <v>2023</v>
      </c>
      <c r="G22" s="1" t="str">
        <f t="shared" si="1"/>
        <v>February</v>
      </c>
      <c r="H22" s="1" t="str">
        <f t="shared" si="2"/>
        <v>Saturday</v>
      </c>
      <c r="I22" s="2">
        <v>0.59811342592592598</v>
      </c>
      <c r="J22" s="8">
        <f t="shared" si="3"/>
        <v>14</v>
      </c>
      <c r="K22" s="8">
        <f t="shared" si="4"/>
        <v>21</v>
      </c>
      <c r="L22" t="s">
        <v>15</v>
      </c>
      <c r="M22" t="s">
        <v>16</v>
      </c>
      <c r="N22">
        <v>5</v>
      </c>
      <c r="O22" s="14">
        <v>1054.7</v>
      </c>
      <c r="P22">
        <f>VLOOKUP(L22,'Product-cost'!A:B,2,FALSE)</f>
        <v>600</v>
      </c>
      <c r="Q22" t="s">
        <v>55</v>
      </c>
      <c r="R22" t="s">
        <v>52</v>
      </c>
      <c r="T22" t="s">
        <v>895</v>
      </c>
      <c r="U22" s="14">
        <f t="shared" si="5"/>
        <v>5273.5</v>
      </c>
      <c r="V22" s="14">
        <f t="shared" si="6"/>
        <v>3000</v>
      </c>
      <c r="W22" s="10">
        <f>VLOOKUP(Q22,Taxrate!A:B,2,FALSE)</f>
        <v>0.12</v>
      </c>
      <c r="X22" s="14">
        <f t="shared" si="7"/>
        <v>632.81999999999994</v>
      </c>
      <c r="Y22" s="10">
        <f>VLOOKUP(L22,'Discount Rate'!A:B,2,FALSE)</f>
        <v>0.05</v>
      </c>
      <c r="Z22" s="14">
        <f t="shared" si="8"/>
        <v>263.67500000000001</v>
      </c>
      <c r="AA22" s="14">
        <f t="shared" si="9"/>
        <v>4377.0050000000001</v>
      </c>
      <c r="AB22" s="14">
        <f t="shared" si="10"/>
        <v>1377.0050000000001</v>
      </c>
    </row>
    <row r="23" spans="1:28" x14ac:dyDescent="0.25">
      <c r="A23" t="s">
        <v>110</v>
      </c>
      <c r="B23" t="s">
        <v>111</v>
      </c>
      <c r="C23" t="s">
        <v>91</v>
      </c>
      <c r="D23" t="s">
        <v>92</v>
      </c>
      <c r="E23" s="1">
        <v>45516</v>
      </c>
      <c r="F23" s="8">
        <f t="shared" si="0"/>
        <v>2024</v>
      </c>
      <c r="G23" s="1" t="str">
        <f t="shared" si="1"/>
        <v>August</v>
      </c>
      <c r="H23" s="1" t="str">
        <f t="shared" si="2"/>
        <v>Monday</v>
      </c>
      <c r="I23" s="2">
        <v>0.61009259259259263</v>
      </c>
      <c r="J23" s="8">
        <f t="shared" si="3"/>
        <v>14</v>
      </c>
      <c r="K23" s="8">
        <f t="shared" si="4"/>
        <v>38</v>
      </c>
      <c r="L23" t="s">
        <v>15</v>
      </c>
      <c r="M23" t="s">
        <v>16</v>
      </c>
      <c r="N23">
        <v>10</v>
      </c>
      <c r="O23" s="14">
        <v>822.19</v>
      </c>
      <c r="P23">
        <f>VLOOKUP(L23,'Product-cost'!A:B,2,FALSE)</f>
        <v>600</v>
      </c>
      <c r="Q23" t="s">
        <v>39</v>
      </c>
      <c r="R23" t="s">
        <v>112</v>
      </c>
      <c r="S23" t="s">
        <v>69</v>
      </c>
      <c r="T23" t="s">
        <v>894</v>
      </c>
      <c r="U23" s="14">
        <f t="shared" si="5"/>
        <v>8221.9000000000015</v>
      </c>
      <c r="V23" s="14">
        <f t="shared" si="6"/>
        <v>6000</v>
      </c>
      <c r="W23" s="10">
        <f>VLOOKUP(Q23,Taxrate!A:B,2,FALSE)</f>
        <v>0.15</v>
      </c>
      <c r="X23" s="14">
        <f t="shared" si="7"/>
        <v>1233.2850000000001</v>
      </c>
      <c r="Y23" s="10">
        <f>VLOOKUP(L23,'Discount Rate'!A:B,2,FALSE)</f>
        <v>0.05</v>
      </c>
      <c r="Z23" s="14">
        <f t="shared" si="8"/>
        <v>411.09500000000008</v>
      </c>
      <c r="AA23" s="14">
        <f t="shared" si="9"/>
        <v>6577.5200000000013</v>
      </c>
      <c r="AB23" s="14">
        <f t="shared" si="10"/>
        <v>577.52000000000135</v>
      </c>
    </row>
    <row r="24" spans="1:28" x14ac:dyDescent="0.25">
      <c r="A24" t="s">
        <v>113</v>
      </c>
      <c r="B24" t="s">
        <v>114</v>
      </c>
      <c r="C24" t="s">
        <v>91</v>
      </c>
      <c r="D24" t="s">
        <v>92</v>
      </c>
      <c r="E24" s="1">
        <v>46285</v>
      </c>
      <c r="F24" s="8">
        <f t="shared" si="0"/>
        <v>2026</v>
      </c>
      <c r="G24" s="1" t="str">
        <f t="shared" si="1"/>
        <v>September</v>
      </c>
      <c r="H24" s="1" t="str">
        <f t="shared" si="2"/>
        <v>Sunday</v>
      </c>
      <c r="I24" s="2">
        <v>0.83146990740740745</v>
      </c>
      <c r="J24" s="8">
        <f t="shared" si="3"/>
        <v>19</v>
      </c>
      <c r="K24" s="8">
        <f t="shared" si="4"/>
        <v>57</v>
      </c>
      <c r="L24" t="s">
        <v>46</v>
      </c>
      <c r="M24" t="s">
        <v>47</v>
      </c>
      <c r="N24">
        <v>7</v>
      </c>
      <c r="O24" s="14">
        <v>252.69</v>
      </c>
      <c r="P24">
        <f>VLOOKUP(L24,'Product-cost'!A:B,2,FALSE)</f>
        <v>150</v>
      </c>
      <c r="Q24" t="s">
        <v>55</v>
      </c>
      <c r="R24" t="s">
        <v>112</v>
      </c>
      <c r="S24" t="s">
        <v>115</v>
      </c>
      <c r="T24" t="s">
        <v>893</v>
      </c>
      <c r="U24" s="14">
        <f t="shared" si="5"/>
        <v>1768.83</v>
      </c>
      <c r="V24" s="14">
        <f t="shared" si="6"/>
        <v>1050</v>
      </c>
      <c r="W24" s="10">
        <f>VLOOKUP(Q24,Taxrate!A:B,2,FALSE)</f>
        <v>0.12</v>
      </c>
      <c r="X24" s="14">
        <f t="shared" si="7"/>
        <v>212.25959999999998</v>
      </c>
      <c r="Y24" s="10">
        <f>VLOOKUP(L24,'Discount Rate'!A:B,2,FALSE)</f>
        <v>7.0000000000000007E-2</v>
      </c>
      <c r="Z24" s="14">
        <f t="shared" si="8"/>
        <v>123.8181</v>
      </c>
      <c r="AA24" s="14">
        <f t="shared" si="9"/>
        <v>1432.7523000000001</v>
      </c>
      <c r="AB24" s="14">
        <f t="shared" si="10"/>
        <v>382.7523000000001</v>
      </c>
    </row>
    <row r="25" spans="1:28" x14ac:dyDescent="0.25">
      <c r="A25" t="s">
        <v>116</v>
      </c>
      <c r="B25" t="s">
        <v>117</v>
      </c>
      <c r="C25" t="s">
        <v>118</v>
      </c>
      <c r="D25" t="s">
        <v>59</v>
      </c>
      <c r="E25" s="1">
        <v>45446</v>
      </c>
      <c r="F25" s="8">
        <f t="shared" si="0"/>
        <v>2024</v>
      </c>
      <c r="G25" s="1" t="str">
        <f t="shared" si="1"/>
        <v>June</v>
      </c>
      <c r="H25" s="1" t="str">
        <f t="shared" si="2"/>
        <v>Monday</v>
      </c>
      <c r="I25" s="2">
        <v>0.85946759259259264</v>
      </c>
      <c r="J25" s="8">
        <f t="shared" si="3"/>
        <v>20</v>
      </c>
      <c r="K25" s="8">
        <f t="shared" si="4"/>
        <v>37</v>
      </c>
      <c r="L25" t="s">
        <v>30</v>
      </c>
      <c r="M25" t="s">
        <v>31</v>
      </c>
      <c r="N25">
        <v>8</v>
      </c>
      <c r="O25" s="14">
        <v>422.23</v>
      </c>
      <c r="P25">
        <f>VLOOKUP(L25,'Product-cost'!A:B,2,FALSE)</f>
        <v>200</v>
      </c>
      <c r="Q25" t="s">
        <v>32</v>
      </c>
      <c r="R25" t="s">
        <v>60</v>
      </c>
      <c r="T25" t="s">
        <v>895</v>
      </c>
      <c r="U25" s="14">
        <f t="shared" si="5"/>
        <v>3377.84</v>
      </c>
      <c r="V25" s="14">
        <f t="shared" si="6"/>
        <v>1600</v>
      </c>
      <c r="W25" s="10">
        <f>VLOOKUP(Q25,Taxrate!A:B,2,FALSE)</f>
        <v>0.2</v>
      </c>
      <c r="X25" s="14">
        <f t="shared" si="7"/>
        <v>675.5680000000001</v>
      </c>
      <c r="Y25" s="10">
        <f>VLOOKUP(L25,'Discount Rate'!A:B,2,FALSE)</f>
        <v>0.08</v>
      </c>
      <c r="Z25" s="14">
        <f t="shared" si="8"/>
        <v>270.22720000000004</v>
      </c>
      <c r="AA25" s="14">
        <f t="shared" si="9"/>
        <v>2432.0447999999997</v>
      </c>
      <c r="AB25" s="14">
        <f t="shared" si="10"/>
        <v>832.04479999999967</v>
      </c>
    </row>
    <row r="26" spans="1:28" x14ac:dyDescent="0.25">
      <c r="A26" t="s">
        <v>119</v>
      </c>
      <c r="B26" t="s">
        <v>120</v>
      </c>
      <c r="C26" t="s">
        <v>21</v>
      </c>
      <c r="D26" t="s">
        <v>22</v>
      </c>
      <c r="E26" s="1">
        <v>45228</v>
      </c>
      <c r="F26" s="8">
        <f t="shared" si="0"/>
        <v>2023</v>
      </c>
      <c r="G26" s="1" t="str">
        <f t="shared" si="1"/>
        <v>October</v>
      </c>
      <c r="H26" s="1" t="str">
        <f t="shared" si="2"/>
        <v>Sunday</v>
      </c>
      <c r="I26" s="2">
        <v>0.34409722222222222</v>
      </c>
      <c r="J26" s="8">
        <f t="shared" si="3"/>
        <v>8</v>
      </c>
      <c r="K26" s="8">
        <f t="shared" si="4"/>
        <v>15</v>
      </c>
      <c r="L26" t="s">
        <v>46</v>
      </c>
      <c r="M26" t="s">
        <v>47</v>
      </c>
      <c r="N26">
        <v>2</v>
      </c>
      <c r="O26" s="14">
        <v>273.48</v>
      </c>
      <c r="P26">
        <f>VLOOKUP(L26,'Product-cost'!A:B,2,FALSE)</f>
        <v>150</v>
      </c>
      <c r="Q26" t="s">
        <v>55</v>
      </c>
      <c r="R26" t="s">
        <v>52</v>
      </c>
      <c r="T26" t="s">
        <v>895</v>
      </c>
      <c r="U26" s="14">
        <f t="shared" si="5"/>
        <v>546.96</v>
      </c>
      <c r="V26" s="14">
        <f t="shared" si="6"/>
        <v>300</v>
      </c>
      <c r="W26" s="10">
        <f>VLOOKUP(Q26,Taxrate!A:B,2,FALSE)</f>
        <v>0.12</v>
      </c>
      <c r="X26" s="14">
        <f t="shared" si="7"/>
        <v>65.635199999999998</v>
      </c>
      <c r="Y26" s="10">
        <f>VLOOKUP(L26,'Discount Rate'!A:B,2,FALSE)</f>
        <v>7.0000000000000007E-2</v>
      </c>
      <c r="Z26" s="14">
        <f t="shared" si="8"/>
        <v>38.287200000000006</v>
      </c>
      <c r="AA26" s="14">
        <f t="shared" si="9"/>
        <v>443.03760000000005</v>
      </c>
      <c r="AB26" s="14">
        <f t="shared" si="10"/>
        <v>143.03760000000005</v>
      </c>
    </row>
    <row r="27" spans="1:28" x14ac:dyDescent="0.25">
      <c r="A27" t="s">
        <v>121</v>
      </c>
      <c r="B27" t="s">
        <v>122</v>
      </c>
      <c r="C27" t="s">
        <v>13</v>
      </c>
      <c r="D27" t="s">
        <v>14</v>
      </c>
      <c r="E27" s="1">
        <v>45375</v>
      </c>
      <c r="F27" s="8">
        <f t="shared" si="0"/>
        <v>2024</v>
      </c>
      <c r="G27" s="1" t="str">
        <f t="shared" si="1"/>
        <v>March</v>
      </c>
      <c r="H27" s="1" t="str">
        <f t="shared" si="2"/>
        <v>Sunday</v>
      </c>
      <c r="I27" s="2">
        <v>0.86427083333333332</v>
      </c>
      <c r="J27" s="8">
        <f t="shared" si="3"/>
        <v>20</v>
      </c>
      <c r="K27" s="8">
        <f t="shared" si="4"/>
        <v>44</v>
      </c>
      <c r="L27" t="s">
        <v>73</v>
      </c>
      <c r="M27" t="s">
        <v>74</v>
      </c>
      <c r="N27">
        <v>7</v>
      </c>
      <c r="O27" s="14">
        <v>183.63</v>
      </c>
      <c r="P27">
        <f>VLOOKUP(L27,'Product-cost'!A:B,2,FALSE)</f>
        <v>50</v>
      </c>
      <c r="Q27" t="s">
        <v>39</v>
      </c>
      <c r="R27" t="s">
        <v>33</v>
      </c>
      <c r="S27" t="s">
        <v>123</v>
      </c>
      <c r="T27" t="s">
        <v>893</v>
      </c>
      <c r="U27" s="14">
        <f t="shared" si="5"/>
        <v>1285.4099999999999</v>
      </c>
      <c r="V27" s="14">
        <f t="shared" si="6"/>
        <v>350</v>
      </c>
      <c r="W27" s="10">
        <f>VLOOKUP(Q27,Taxrate!A:B,2,FALSE)</f>
        <v>0.15</v>
      </c>
      <c r="X27" s="14">
        <f t="shared" si="7"/>
        <v>192.81149999999997</v>
      </c>
      <c r="Y27" s="10">
        <f>VLOOKUP(L27,'Discount Rate'!A:B,2,FALSE)</f>
        <v>0.03</v>
      </c>
      <c r="Z27" s="14">
        <f t="shared" si="8"/>
        <v>38.562299999999993</v>
      </c>
      <c r="AA27" s="14">
        <f t="shared" si="9"/>
        <v>1054.0361999999998</v>
      </c>
      <c r="AB27" s="14">
        <f t="shared" si="10"/>
        <v>704.03619999999978</v>
      </c>
    </row>
    <row r="28" spans="1:28" x14ac:dyDescent="0.25">
      <c r="A28" t="s">
        <v>124</v>
      </c>
      <c r="B28" t="s">
        <v>125</v>
      </c>
      <c r="C28" t="s">
        <v>126</v>
      </c>
      <c r="D28" t="s">
        <v>22</v>
      </c>
      <c r="E28" s="1">
        <v>46049</v>
      </c>
      <c r="F28" s="8">
        <f t="shared" si="0"/>
        <v>2026</v>
      </c>
      <c r="G28" s="1" t="str">
        <f t="shared" si="1"/>
        <v>January</v>
      </c>
      <c r="H28" s="1" t="str">
        <f t="shared" si="2"/>
        <v>Tuesday</v>
      </c>
      <c r="I28" s="2">
        <v>0.44994212962962965</v>
      </c>
      <c r="J28" s="8">
        <f t="shared" si="3"/>
        <v>10</v>
      </c>
      <c r="K28" s="8">
        <f t="shared" si="4"/>
        <v>47</v>
      </c>
      <c r="L28" t="s">
        <v>73</v>
      </c>
      <c r="M28" t="s">
        <v>74</v>
      </c>
      <c r="N28">
        <v>13</v>
      </c>
      <c r="O28" s="14">
        <v>167.82</v>
      </c>
      <c r="P28">
        <f>VLOOKUP(L28,'Product-cost'!A:B,2,FALSE)</f>
        <v>50</v>
      </c>
      <c r="Q28" t="s">
        <v>55</v>
      </c>
      <c r="R28" t="s">
        <v>52</v>
      </c>
      <c r="T28" t="s">
        <v>895</v>
      </c>
      <c r="U28" s="14">
        <f t="shared" si="5"/>
        <v>2181.66</v>
      </c>
      <c r="V28" s="14">
        <f t="shared" si="6"/>
        <v>650</v>
      </c>
      <c r="W28" s="10">
        <f>VLOOKUP(Q28,Taxrate!A:B,2,FALSE)</f>
        <v>0.12</v>
      </c>
      <c r="X28" s="14">
        <f t="shared" si="7"/>
        <v>261.79919999999998</v>
      </c>
      <c r="Y28" s="10">
        <f>VLOOKUP(L28,'Discount Rate'!A:B,2,FALSE)</f>
        <v>0.03</v>
      </c>
      <c r="Z28" s="14">
        <f t="shared" si="8"/>
        <v>65.449799999999996</v>
      </c>
      <c r="AA28" s="14">
        <f t="shared" si="9"/>
        <v>1854.4109999999998</v>
      </c>
      <c r="AB28" s="14">
        <f t="shared" si="10"/>
        <v>1204.4109999999998</v>
      </c>
    </row>
    <row r="29" spans="1:28" x14ac:dyDescent="0.25">
      <c r="A29" t="s">
        <v>127</v>
      </c>
      <c r="B29" t="s">
        <v>128</v>
      </c>
      <c r="C29" t="s">
        <v>129</v>
      </c>
      <c r="D29" t="s">
        <v>22</v>
      </c>
      <c r="E29" s="1">
        <v>45400</v>
      </c>
      <c r="F29" s="8">
        <f t="shared" si="0"/>
        <v>2024</v>
      </c>
      <c r="G29" s="1" t="str">
        <f t="shared" si="1"/>
        <v>April</v>
      </c>
      <c r="H29" s="1" t="str">
        <f t="shared" si="2"/>
        <v>Thursday</v>
      </c>
      <c r="I29" s="2">
        <v>0.79843750000000002</v>
      </c>
      <c r="J29" s="8">
        <f t="shared" si="3"/>
        <v>19</v>
      </c>
      <c r="K29" s="8">
        <f t="shared" si="4"/>
        <v>9</v>
      </c>
      <c r="L29" t="s">
        <v>23</v>
      </c>
      <c r="M29" t="s">
        <v>24</v>
      </c>
      <c r="N29">
        <v>7</v>
      </c>
      <c r="O29" s="14">
        <v>642.78</v>
      </c>
      <c r="P29">
        <f>VLOOKUP(L29,'Product-cost'!A:B,2,FALSE)</f>
        <v>300</v>
      </c>
      <c r="Q29" t="s">
        <v>39</v>
      </c>
      <c r="R29" t="s">
        <v>52</v>
      </c>
      <c r="S29" t="s">
        <v>18</v>
      </c>
      <c r="T29" t="s">
        <v>893</v>
      </c>
      <c r="U29" s="14">
        <f t="shared" si="5"/>
        <v>4499.46</v>
      </c>
      <c r="V29" s="14">
        <f t="shared" si="6"/>
        <v>2100</v>
      </c>
      <c r="W29" s="10">
        <f>VLOOKUP(Q29,Taxrate!A:B,2,FALSE)</f>
        <v>0.15</v>
      </c>
      <c r="X29" s="14">
        <f t="shared" si="7"/>
        <v>674.91899999999998</v>
      </c>
      <c r="Y29" s="10">
        <f>VLOOKUP(L29,'Discount Rate'!A:B,2,FALSE)</f>
        <v>0.1</v>
      </c>
      <c r="Z29" s="14">
        <f t="shared" si="8"/>
        <v>449.94600000000003</v>
      </c>
      <c r="AA29" s="14">
        <f t="shared" si="9"/>
        <v>3374.5950000000003</v>
      </c>
      <c r="AB29" s="14">
        <f t="shared" si="10"/>
        <v>1274.5950000000003</v>
      </c>
    </row>
    <row r="30" spans="1:28" x14ac:dyDescent="0.25">
      <c r="A30" t="s">
        <v>130</v>
      </c>
      <c r="B30" t="s">
        <v>131</v>
      </c>
      <c r="C30" t="s">
        <v>37</v>
      </c>
      <c r="D30" t="s">
        <v>38</v>
      </c>
      <c r="E30" s="1">
        <v>45903</v>
      </c>
      <c r="F30" s="8">
        <f t="shared" si="0"/>
        <v>2025</v>
      </c>
      <c r="G30" s="1" t="str">
        <f t="shared" si="1"/>
        <v>September</v>
      </c>
      <c r="H30" s="1" t="str">
        <f t="shared" si="2"/>
        <v>Wednesday</v>
      </c>
      <c r="I30" s="2">
        <v>0.69984953703703701</v>
      </c>
      <c r="J30" s="8">
        <f t="shared" si="3"/>
        <v>16</v>
      </c>
      <c r="K30" s="8">
        <f t="shared" si="4"/>
        <v>47</v>
      </c>
      <c r="L30" t="s">
        <v>46</v>
      </c>
      <c r="M30" t="s">
        <v>47</v>
      </c>
      <c r="N30">
        <v>15</v>
      </c>
      <c r="O30" s="14">
        <v>200.14</v>
      </c>
      <c r="P30">
        <f>VLOOKUP(L30,'Product-cost'!A:B,2,FALSE)</f>
        <v>150</v>
      </c>
      <c r="Q30" t="s">
        <v>39</v>
      </c>
      <c r="R30" t="s">
        <v>40</v>
      </c>
      <c r="S30" t="s">
        <v>132</v>
      </c>
      <c r="T30" t="s">
        <v>893</v>
      </c>
      <c r="U30" s="14">
        <f t="shared" si="5"/>
        <v>3002.1</v>
      </c>
      <c r="V30" s="14">
        <f t="shared" si="6"/>
        <v>2250</v>
      </c>
      <c r="W30" s="10">
        <f>VLOOKUP(Q30,Taxrate!A:B,2,FALSE)</f>
        <v>0.15</v>
      </c>
      <c r="X30" s="14">
        <f t="shared" si="7"/>
        <v>450.315</v>
      </c>
      <c r="Y30" s="10">
        <f>VLOOKUP(L30,'Discount Rate'!A:B,2,FALSE)</f>
        <v>7.0000000000000007E-2</v>
      </c>
      <c r="Z30" s="14">
        <f t="shared" si="8"/>
        <v>210.14700000000002</v>
      </c>
      <c r="AA30" s="14">
        <f t="shared" si="9"/>
        <v>2341.6379999999999</v>
      </c>
      <c r="AB30" s="14">
        <f t="shared" si="10"/>
        <v>91.63799999999992</v>
      </c>
    </row>
    <row r="31" spans="1:28" x14ac:dyDescent="0.25">
      <c r="A31" t="s">
        <v>133</v>
      </c>
      <c r="B31" t="s">
        <v>134</v>
      </c>
      <c r="C31" t="s">
        <v>63</v>
      </c>
      <c r="D31" t="s">
        <v>14</v>
      </c>
      <c r="E31" s="1">
        <v>45733</v>
      </c>
      <c r="F31" s="8">
        <f t="shared" si="0"/>
        <v>2025</v>
      </c>
      <c r="G31" s="1" t="str">
        <f t="shared" si="1"/>
        <v>March</v>
      </c>
      <c r="H31" s="1" t="str">
        <f t="shared" si="2"/>
        <v>Monday</v>
      </c>
      <c r="I31" s="2">
        <v>0.40378472222222223</v>
      </c>
      <c r="J31" s="8">
        <f t="shared" si="3"/>
        <v>9</v>
      </c>
      <c r="K31" s="8">
        <f t="shared" si="4"/>
        <v>41</v>
      </c>
      <c r="L31" t="s">
        <v>23</v>
      </c>
      <c r="M31" t="s">
        <v>24</v>
      </c>
      <c r="N31">
        <v>3</v>
      </c>
      <c r="O31" s="14">
        <v>500</v>
      </c>
      <c r="P31">
        <f>VLOOKUP(L31,'Product-cost'!A:B,2,FALSE)</f>
        <v>300</v>
      </c>
      <c r="Q31" t="s">
        <v>39</v>
      </c>
      <c r="R31" t="s">
        <v>33</v>
      </c>
      <c r="S31" t="s">
        <v>132</v>
      </c>
      <c r="T31" t="s">
        <v>893</v>
      </c>
      <c r="U31" s="14">
        <f t="shared" si="5"/>
        <v>1500</v>
      </c>
      <c r="V31" s="14">
        <f t="shared" si="6"/>
        <v>900</v>
      </c>
      <c r="W31" s="10">
        <f>VLOOKUP(Q31,Taxrate!A:B,2,FALSE)</f>
        <v>0.15</v>
      </c>
      <c r="X31" s="14">
        <f t="shared" si="7"/>
        <v>225</v>
      </c>
      <c r="Y31" s="10">
        <f>VLOOKUP(L31,'Discount Rate'!A:B,2,FALSE)</f>
        <v>0.1</v>
      </c>
      <c r="Z31" s="14">
        <f t="shared" si="8"/>
        <v>150</v>
      </c>
      <c r="AA31" s="14">
        <f t="shared" si="9"/>
        <v>1125</v>
      </c>
      <c r="AB31" s="14">
        <f t="shared" si="10"/>
        <v>225</v>
      </c>
    </row>
    <row r="32" spans="1:28" x14ac:dyDescent="0.25">
      <c r="A32" t="s">
        <v>135</v>
      </c>
      <c r="B32" t="s">
        <v>136</v>
      </c>
      <c r="C32" t="s">
        <v>66</v>
      </c>
      <c r="D32" t="s">
        <v>67</v>
      </c>
      <c r="E32" s="1">
        <v>45171</v>
      </c>
      <c r="F32" s="8">
        <f t="shared" si="0"/>
        <v>2023</v>
      </c>
      <c r="G32" s="1" t="str">
        <f t="shared" si="1"/>
        <v>September</v>
      </c>
      <c r="H32" s="1" t="str">
        <f t="shared" si="2"/>
        <v>Saturday</v>
      </c>
      <c r="I32" s="2">
        <v>0.55186342592592597</v>
      </c>
      <c r="J32" s="8">
        <f t="shared" si="3"/>
        <v>13</v>
      </c>
      <c r="K32" s="8">
        <f t="shared" si="4"/>
        <v>14</v>
      </c>
      <c r="L32" t="s">
        <v>15</v>
      </c>
      <c r="M32" t="s">
        <v>16</v>
      </c>
      <c r="N32">
        <v>11</v>
      </c>
      <c r="O32" s="14">
        <v>500</v>
      </c>
      <c r="P32">
        <f>VLOOKUP(L32,'Product-cost'!A:B,2,FALSE)</f>
        <v>600</v>
      </c>
      <c r="Q32" t="s">
        <v>51</v>
      </c>
      <c r="R32" t="s">
        <v>68</v>
      </c>
      <c r="S32" t="s">
        <v>102</v>
      </c>
      <c r="T32" t="s">
        <v>895</v>
      </c>
      <c r="U32" s="14">
        <f t="shared" si="5"/>
        <v>5500</v>
      </c>
      <c r="V32" s="14">
        <f t="shared" si="6"/>
        <v>6600</v>
      </c>
      <c r="W32" s="10">
        <f>VLOOKUP(Q32,Taxrate!A:B,2,FALSE)</f>
        <v>7.0000000000000007E-2</v>
      </c>
      <c r="X32" s="14">
        <f t="shared" si="7"/>
        <v>385.00000000000006</v>
      </c>
      <c r="Y32" s="10">
        <f>VLOOKUP(L32,'Discount Rate'!A:B,2,FALSE)</f>
        <v>0.05</v>
      </c>
      <c r="Z32" s="14">
        <f t="shared" si="8"/>
        <v>275</v>
      </c>
      <c r="AA32" s="14">
        <f t="shared" si="9"/>
        <v>4840</v>
      </c>
      <c r="AB32" s="14">
        <f t="shared" si="10"/>
        <v>-1760</v>
      </c>
    </row>
    <row r="33" spans="1:28" x14ac:dyDescent="0.25">
      <c r="A33" t="s">
        <v>137</v>
      </c>
      <c r="B33" t="s">
        <v>138</v>
      </c>
      <c r="C33" t="s">
        <v>139</v>
      </c>
      <c r="D33" t="s">
        <v>22</v>
      </c>
      <c r="E33" s="1">
        <v>45682</v>
      </c>
      <c r="F33" s="8">
        <f t="shared" si="0"/>
        <v>2025</v>
      </c>
      <c r="G33" s="1" t="str">
        <f t="shared" si="1"/>
        <v>January</v>
      </c>
      <c r="H33" s="1" t="str">
        <f t="shared" si="2"/>
        <v>Saturday</v>
      </c>
      <c r="I33" s="2">
        <v>0.73526620370370366</v>
      </c>
      <c r="J33" s="8">
        <f t="shared" si="3"/>
        <v>17</v>
      </c>
      <c r="K33" s="8">
        <f t="shared" si="4"/>
        <v>38</v>
      </c>
      <c r="L33" t="s">
        <v>15</v>
      </c>
      <c r="M33" t="s">
        <v>16</v>
      </c>
      <c r="N33">
        <v>3</v>
      </c>
      <c r="O33" s="14">
        <v>854.05</v>
      </c>
      <c r="P33">
        <f>VLOOKUP(L33,'Product-cost'!A:B,2,FALSE)</f>
        <v>600</v>
      </c>
      <c r="Q33" t="s">
        <v>51</v>
      </c>
      <c r="R33" t="s">
        <v>26</v>
      </c>
      <c r="S33" t="s">
        <v>132</v>
      </c>
      <c r="T33" t="s">
        <v>893</v>
      </c>
      <c r="U33" s="14">
        <f t="shared" si="5"/>
        <v>2562.1499999999996</v>
      </c>
      <c r="V33" s="14">
        <f t="shared" si="6"/>
        <v>1800</v>
      </c>
      <c r="W33" s="10">
        <f>VLOOKUP(Q33,Taxrate!A:B,2,FALSE)</f>
        <v>7.0000000000000007E-2</v>
      </c>
      <c r="X33" s="14">
        <f t="shared" si="7"/>
        <v>179.35049999999998</v>
      </c>
      <c r="Y33" s="10">
        <f>VLOOKUP(L33,'Discount Rate'!A:B,2,FALSE)</f>
        <v>0.05</v>
      </c>
      <c r="Z33" s="14">
        <f t="shared" si="8"/>
        <v>128.10749999999999</v>
      </c>
      <c r="AA33" s="14">
        <f t="shared" si="9"/>
        <v>2254.6919999999996</v>
      </c>
      <c r="AB33" s="14">
        <f t="shared" si="10"/>
        <v>454.69199999999955</v>
      </c>
    </row>
    <row r="34" spans="1:28" x14ac:dyDescent="0.25">
      <c r="A34" t="s">
        <v>140</v>
      </c>
      <c r="B34" t="s">
        <v>141</v>
      </c>
      <c r="C34" t="s">
        <v>21</v>
      </c>
      <c r="D34" t="s">
        <v>22</v>
      </c>
      <c r="E34" s="1">
        <v>46354</v>
      </c>
      <c r="F34" s="8">
        <f t="shared" si="0"/>
        <v>2026</v>
      </c>
      <c r="G34" s="1" t="str">
        <f t="shared" si="1"/>
        <v>November</v>
      </c>
      <c r="H34" s="1" t="str">
        <f t="shared" si="2"/>
        <v>Saturday</v>
      </c>
      <c r="I34" s="2">
        <v>0.90530092592592593</v>
      </c>
      <c r="J34" s="8">
        <f t="shared" si="3"/>
        <v>21</v>
      </c>
      <c r="K34" s="8">
        <f t="shared" si="4"/>
        <v>43</v>
      </c>
      <c r="L34" t="s">
        <v>15</v>
      </c>
      <c r="M34" t="s">
        <v>16</v>
      </c>
      <c r="N34">
        <v>10</v>
      </c>
      <c r="O34" s="14">
        <v>973.6</v>
      </c>
      <c r="P34">
        <f>VLOOKUP(L34,'Product-cost'!A:B,2,FALSE)</f>
        <v>600</v>
      </c>
      <c r="Q34" t="s">
        <v>39</v>
      </c>
      <c r="R34" t="s">
        <v>52</v>
      </c>
      <c r="S34" t="s">
        <v>18</v>
      </c>
      <c r="T34" t="s">
        <v>893</v>
      </c>
      <c r="U34" s="14">
        <f t="shared" si="5"/>
        <v>9736</v>
      </c>
      <c r="V34" s="14">
        <f t="shared" si="6"/>
        <v>6000</v>
      </c>
      <c r="W34" s="10">
        <f>VLOOKUP(Q34,Taxrate!A:B,2,FALSE)</f>
        <v>0.15</v>
      </c>
      <c r="X34" s="14">
        <f t="shared" si="7"/>
        <v>1460.3999999999999</v>
      </c>
      <c r="Y34" s="10">
        <f>VLOOKUP(L34,'Discount Rate'!A:B,2,FALSE)</f>
        <v>0.05</v>
      </c>
      <c r="Z34" s="14">
        <f t="shared" si="8"/>
        <v>486.8</v>
      </c>
      <c r="AA34" s="14">
        <f t="shared" si="9"/>
        <v>7788.8</v>
      </c>
      <c r="AB34" s="14">
        <f t="shared" si="10"/>
        <v>1788.8000000000002</v>
      </c>
    </row>
    <row r="35" spans="1:28" x14ac:dyDescent="0.25">
      <c r="A35" t="s">
        <v>142</v>
      </c>
      <c r="B35" t="s">
        <v>50</v>
      </c>
      <c r="C35" t="s">
        <v>139</v>
      </c>
      <c r="D35" t="s">
        <v>22</v>
      </c>
      <c r="E35" s="1">
        <v>45936</v>
      </c>
      <c r="F35" s="8">
        <f t="shared" si="0"/>
        <v>2025</v>
      </c>
      <c r="G35" s="1" t="str">
        <f t="shared" si="1"/>
        <v>October</v>
      </c>
      <c r="H35" s="1" t="str">
        <f t="shared" si="2"/>
        <v>Monday</v>
      </c>
      <c r="I35" s="2">
        <v>0.81505787037037036</v>
      </c>
      <c r="J35" s="8">
        <f t="shared" si="3"/>
        <v>19</v>
      </c>
      <c r="K35" s="8">
        <f t="shared" si="4"/>
        <v>33</v>
      </c>
      <c r="L35" t="s">
        <v>30</v>
      </c>
      <c r="M35" t="s">
        <v>31</v>
      </c>
      <c r="N35">
        <v>15</v>
      </c>
      <c r="O35" s="14">
        <v>416.7</v>
      </c>
      <c r="P35">
        <f>VLOOKUP(L35,'Product-cost'!A:B,2,FALSE)</f>
        <v>200</v>
      </c>
      <c r="Q35" t="s">
        <v>39</v>
      </c>
      <c r="R35" t="s">
        <v>143</v>
      </c>
      <c r="S35" t="s">
        <v>41</v>
      </c>
      <c r="T35" t="s">
        <v>893</v>
      </c>
      <c r="U35" s="14">
        <f t="shared" si="5"/>
        <v>6250.5</v>
      </c>
      <c r="V35" s="14">
        <f t="shared" si="6"/>
        <v>3000</v>
      </c>
      <c r="W35" s="10">
        <f>VLOOKUP(Q35,Taxrate!A:B,2,FALSE)</f>
        <v>0.15</v>
      </c>
      <c r="X35" s="14">
        <f t="shared" si="7"/>
        <v>937.57499999999993</v>
      </c>
      <c r="Y35" s="10">
        <f>VLOOKUP(L35,'Discount Rate'!A:B,2,FALSE)</f>
        <v>0.08</v>
      </c>
      <c r="Z35" s="14">
        <f t="shared" si="8"/>
        <v>500.04</v>
      </c>
      <c r="AA35" s="14">
        <f t="shared" si="9"/>
        <v>4812.8850000000002</v>
      </c>
      <c r="AB35" s="14">
        <f t="shared" si="10"/>
        <v>1812.8850000000002</v>
      </c>
    </row>
    <row r="36" spans="1:28" x14ac:dyDescent="0.25">
      <c r="A36" t="s">
        <v>144</v>
      </c>
      <c r="B36" t="s">
        <v>145</v>
      </c>
      <c r="C36" t="s">
        <v>139</v>
      </c>
      <c r="D36" t="s">
        <v>22</v>
      </c>
      <c r="E36" s="1">
        <v>45615</v>
      </c>
      <c r="F36" s="8">
        <f t="shared" si="0"/>
        <v>2024</v>
      </c>
      <c r="G36" s="1" t="str">
        <f t="shared" si="1"/>
        <v>November</v>
      </c>
      <c r="H36" s="1" t="str">
        <f t="shared" si="2"/>
        <v>Tuesday</v>
      </c>
      <c r="I36" s="2">
        <v>0.66273148148148153</v>
      </c>
      <c r="J36" s="8">
        <f t="shared" si="3"/>
        <v>15</v>
      </c>
      <c r="K36" s="8">
        <f t="shared" si="4"/>
        <v>54</v>
      </c>
      <c r="L36" t="s">
        <v>23</v>
      </c>
      <c r="M36" t="s">
        <v>24</v>
      </c>
      <c r="N36">
        <v>6</v>
      </c>
      <c r="O36" s="14">
        <v>582.1</v>
      </c>
      <c r="P36">
        <f>VLOOKUP(L36,'Product-cost'!A:B,2,FALSE)</f>
        <v>300</v>
      </c>
      <c r="Q36" t="s">
        <v>55</v>
      </c>
      <c r="R36" t="s">
        <v>26</v>
      </c>
      <c r="T36" t="s">
        <v>895</v>
      </c>
      <c r="U36" s="14">
        <f t="shared" si="5"/>
        <v>3492.6000000000004</v>
      </c>
      <c r="V36" s="14">
        <f t="shared" si="6"/>
        <v>1800</v>
      </c>
      <c r="W36" s="10">
        <f>VLOOKUP(Q36,Taxrate!A:B,2,FALSE)</f>
        <v>0.12</v>
      </c>
      <c r="X36" s="14">
        <f t="shared" si="7"/>
        <v>419.11200000000002</v>
      </c>
      <c r="Y36" s="10">
        <f>VLOOKUP(L36,'Discount Rate'!A:B,2,FALSE)</f>
        <v>0.1</v>
      </c>
      <c r="Z36" s="14">
        <f t="shared" si="8"/>
        <v>349.26000000000005</v>
      </c>
      <c r="AA36" s="14">
        <f t="shared" si="9"/>
        <v>2724.2280000000001</v>
      </c>
      <c r="AB36" s="14">
        <f t="shared" si="10"/>
        <v>924.22800000000007</v>
      </c>
    </row>
    <row r="37" spans="1:28" x14ac:dyDescent="0.25">
      <c r="A37" t="s">
        <v>146</v>
      </c>
      <c r="B37" t="s">
        <v>147</v>
      </c>
      <c r="C37" t="s">
        <v>21</v>
      </c>
      <c r="D37" t="s">
        <v>22</v>
      </c>
      <c r="E37" s="1">
        <v>46249</v>
      </c>
      <c r="F37" s="8">
        <f t="shared" si="0"/>
        <v>2026</v>
      </c>
      <c r="G37" s="1" t="str">
        <f t="shared" si="1"/>
        <v>August</v>
      </c>
      <c r="H37" s="1" t="str">
        <f t="shared" si="2"/>
        <v>Saturday</v>
      </c>
      <c r="I37" s="2">
        <v>0.65973379629629625</v>
      </c>
      <c r="J37" s="8">
        <f t="shared" si="3"/>
        <v>15</v>
      </c>
      <c r="K37" s="8">
        <f t="shared" si="4"/>
        <v>50</v>
      </c>
      <c r="L37" t="s">
        <v>15</v>
      </c>
      <c r="M37" t="s">
        <v>16</v>
      </c>
      <c r="N37">
        <v>7</v>
      </c>
      <c r="O37" s="14">
        <v>953.1</v>
      </c>
      <c r="P37">
        <f>VLOOKUP(L37,'Product-cost'!A:B,2,FALSE)</f>
        <v>600</v>
      </c>
      <c r="Q37" t="s">
        <v>55</v>
      </c>
      <c r="R37" t="s">
        <v>26</v>
      </c>
      <c r="S37" t="s">
        <v>123</v>
      </c>
      <c r="T37" t="s">
        <v>893</v>
      </c>
      <c r="U37" s="14">
        <f t="shared" si="5"/>
        <v>6671.7</v>
      </c>
      <c r="V37" s="14">
        <f t="shared" si="6"/>
        <v>4200</v>
      </c>
      <c r="W37" s="10">
        <f>VLOOKUP(Q37,Taxrate!A:B,2,FALSE)</f>
        <v>0.12</v>
      </c>
      <c r="X37" s="14">
        <f t="shared" si="7"/>
        <v>800.60399999999993</v>
      </c>
      <c r="Y37" s="10">
        <f>VLOOKUP(L37,'Discount Rate'!A:B,2,FALSE)</f>
        <v>0.05</v>
      </c>
      <c r="Z37" s="14">
        <f t="shared" si="8"/>
        <v>333.58500000000004</v>
      </c>
      <c r="AA37" s="14">
        <f t="shared" si="9"/>
        <v>5537.5109999999995</v>
      </c>
      <c r="AB37" s="14">
        <f t="shared" si="10"/>
        <v>1337.5109999999995</v>
      </c>
    </row>
    <row r="38" spans="1:28" x14ac:dyDescent="0.25">
      <c r="A38" t="s">
        <v>148</v>
      </c>
      <c r="B38" t="s">
        <v>149</v>
      </c>
      <c r="C38" t="s">
        <v>13</v>
      </c>
      <c r="D38" t="s">
        <v>14</v>
      </c>
      <c r="E38" s="1">
        <v>45514</v>
      </c>
      <c r="F38" s="8">
        <f t="shared" si="0"/>
        <v>2024</v>
      </c>
      <c r="G38" s="1" t="str">
        <f t="shared" si="1"/>
        <v>August</v>
      </c>
      <c r="H38" s="1" t="str">
        <f t="shared" si="2"/>
        <v>Saturday</v>
      </c>
      <c r="I38" s="2">
        <v>0.8158333333333333</v>
      </c>
      <c r="J38" s="8">
        <f t="shared" si="3"/>
        <v>19</v>
      </c>
      <c r="K38" s="8">
        <f t="shared" si="4"/>
        <v>34</v>
      </c>
      <c r="L38" t="s">
        <v>23</v>
      </c>
      <c r="M38" t="s">
        <v>24</v>
      </c>
      <c r="N38">
        <v>12</v>
      </c>
      <c r="O38" s="14">
        <v>697.38</v>
      </c>
      <c r="P38">
        <f>VLOOKUP(L38,'Product-cost'!A:B,2,FALSE)</f>
        <v>300</v>
      </c>
      <c r="Q38" t="s">
        <v>55</v>
      </c>
      <c r="R38" t="s">
        <v>17</v>
      </c>
      <c r="T38" t="s">
        <v>895</v>
      </c>
      <c r="U38" s="14">
        <f t="shared" si="5"/>
        <v>8368.56</v>
      </c>
      <c r="V38" s="14">
        <f t="shared" si="6"/>
        <v>3600</v>
      </c>
      <c r="W38" s="10">
        <f>VLOOKUP(Q38,Taxrate!A:B,2,FALSE)</f>
        <v>0.12</v>
      </c>
      <c r="X38" s="14">
        <f t="shared" si="7"/>
        <v>1004.2271999999999</v>
      </c>
      <c r="Y38" s="10">
        <f>VLOOKUP(L38,'Discount Rate'!A:B,2,FALSE)</f>
        <v>0.1</v>
      </c>
      <c r="Z38" s="14">
        <f t="shared" si="8"/>
        <v>836.85599999999999</v>
      </c>
      <c r="AA38" s="14">
        <f t="shared" si="9"/>
        <v>6527.4767999999995</v>
      </c>
      <c r="AB38" s="14">
        <f t="shared" si="10"/>
        <v>2927.4767999999995</v>
      </c>
    </row>
    <row r="39" spans="1:28" x14ac:dyDescent="0.25">
      <c r="A39" t="s">
        <v>150</v>
      </c>
      <c r="B39" t="s">
        <v>151</v>
      </c>
      <c r="C39" t="s">
        <v>129</v>
      </c>
      <c r="D39" t="s">
        <v>22</v>
      </c>
      <c r="E39" s="1">
        <v>45020</v>
      </c>
      <c r="F39" s="8">
        <f t="shared" si="0"/>
        <v>2023</v>
      </c>
      <c r="G39" s="1" t="str">
        <f t="shared" si="1"/>
        <v>April</v>
      </c>
      <c r="H39" s="1" t="str">
        <f t="shared" si="2"/>
        <v>Tuesday</v>
      </c>
      <c r="I39" s="2">
        <v>0.67967592592592596</v>
      </c>
      <c r="J39" s="8">
        <f t="shared" si="3"/>
        <v>16</v>
      </c>
      <c r="K39" s="8">
        <f t="shared" si="4"/>
        <v>18</v>
      </c>
      <c r="L39" t="s">
        <v>23</v>
      </c>
      <c r="M39" t="s">
        <v>24</v>
      </c>
      <c r="N39">
        <v>13</v>
      </c>
      <c r="O39" s="14">
        <v>741.82</v>
      </c>
      <c r="P39">
        <f>VLOOKUP(L39,'Product-cost'!A:B,2,FALSE)</f>
        <v>300</v>
      </c>
      <c r="Q39" t="s">
        <v>55</v>
      </c>
      <c r="R39" t="s">
        <v>143</v>
      </c>
      <c r="S39" t="s">
        <v>152</v>
      </c>
      <c r="T39" t="s">
        <v>893</v>
      </c>
      <c r="U39" s="14">
        <f t="shared" si="5"/>
        <v>9643.66</v>
      </c>
      <c r="V39" s="14">
        <f t="shared" si="6"/>
        <v>3900</v>
      </c>
      <c r="W39" s="10">
        <f>VLOOKUP(Q39,Taxrate!A:B,2,FALSE)</f>
        <v>0.12</v>
      </c>
      <c r="X39" s="14">
        <f t="shared" si="7"/>
        <v>1157.2392</v>
      </c>
      <c r="Y39" s="10">
        <f>VLOOKUP(L39,'Discount Rate'!A:B,2,FALSE)</f>
        <v>0.1</v>
      </c>
      <c r="Z39" s="14">
        <f t="shared" si="8"/>
        <v>964.36599999999999</v>
      </c>
      <c r="AA39" s="14">
        <f t="shared" si="9"/>
        <v>7522.0547999999999</v>
      </c>
      <c r="AB39" s="14">
        <f t="shared" si="10"/>
        <v>3622.0547999999999</v>
      </c>
    </row>
    <row r="40" spans="1:28" x14ac:dyDescent="0.25">
      <c r="A40" t="s">
        <v>153</v>
      </c>
      <c r="B40" t="s">
        <v>154</v>
      </c>
      <c r="C40" t="s">
        <v>155</v>
      </c>
      <c r="D40" t="s">
        <v>156</v>
      </c>
      <c r="E40" s="1">
        <v>44932</v>
      </c>
      <c r="F40" s="8">
        <f t="shared" si="0"/>
        <v>2023</v>
      </c>
      <c r="G40" s="1" t="str">
        <f t="shared" si="1"/>
        <v>January</v>
      </c>
      <c r="H40" s="1" t="str">
        <f t="shared" si="2"/>
        <v>Friday</v>
      </c>
      <c r="I40" s="2">
        <v>0.42350694444444442</v>
      </c>
      <c r="J40" s="8">
        <f t="shared" si="3"/>
        <v>10</v>
      </c>
      <c r="K40" s="8">
        <f t="shared" si="4"/>
        <v>9</v>
      </c>
      <c r="L40" t="s">
        <v>46</v>
      </c>
      <c r="M40" t="s">
        <v>47</v>
      </c>
      <c r="N40">
        <v>2</v>
      </c>
      <c r="O40" s="14">
        <v>189.03</v>
      </c>
      <c r="P40">
        <f>VLOOKUP(L40,'Product-cost'!A:B,2,FALSE)</f>
        <v>150</v>
      </c>
      <c r="Q40" t="s">
        <v>39</v>
      </c>
      <c r="R40" t="s">
        <v>157</v>
      </c>
      <c r="S40" t="s">
        <v>158</v>
      </c>
      <c r="T40" t="s">
        <v>893</v>
      </c>
      <c r="U40" s="14">
        <f t="shared" si="5"/>
        <v>378.06</v>
      </c>
      <c r="V40" s="14">
        <f t="shared" si="6"/>
        <v>300</v>
      </c>
      <c r="W40" s="10">
        <f>VLOOKUP(Q40,Taxrate!A:B,2,FALSE)</f>
        <v>0.15</v>
      </c>
      <c r="X40" s="14">
        <f t="shared" si="7"/>
        <v>56.708999999999996</v>
      </c>
      <c r="Y40" s="10">
        <f>VLOOKUP(L40,'Discount Rate'!A:B,2,FALSE)</f>
        <v>7.0000000000000007E-2</v>
      </c>
      <c r="Z40" s="14">
        <f t="shared" si="8"/>
        <v>26.464200000000002</v>
      </c>
      <c r="AA40" s="14">
        <f t="shared" si="9"/>
        <v>294.88679999999999</v>
      </c>
      <c r="AB40" s="14">
        <f t="shared" si="10"/>
        <v>-5.1132000000000062</v>
      </c>
    </row>
    <row r="41" spans="1:28" x14ac:dyDescent="0.25">
      <c r="A41" t="s">
        <v>159</v>
      </c>
      <c r="B41" t="s">
        <v>160</v>
      </c>
      <c r="C41" t="s">
        <v>99</v>
      </c>
      <c r="D41" t="s">
        <v>100</v>
      </c>
      <c r="E41" s="1">
        <v>46298</v>
      </c>
      <c r="F41" s="8">
        <f t="shared" si="0"/>
        <v>2026</v>
      </c>
      <c r="G41" s="1" t="str">
        <f t="shared" si="1"/>
        <v>October</v>
      </c>
      <c r="H41" s="1" t="str">
        <f t="shared" si="2"/>
        <v>Saturday</v>
      </c>
      <c r="I41" s="2">
        <v>0.74104166666666671</v>
      </c>
      <c r="J41" s="8">
        <f t="shared" si="3"/>
        <v>17</v>
      </c>
      <c r="K41" s="8">
        <f t="shared" si="4"/>
        <v>47</v>
      </c>
      <c r="L41" t="s">
        <v>23</v>
      </c>
      <c r="M41" t="s">
        <v>24</v>
      </c>
      <c r="N41">
        <v>5</v>
      </c>
      <c r="O41" s="14">
        <v>527.12</v>
      </c>
      <c r="P41">
        <f>VLOOKUP(L41,'Product-cost'!A:B,2,FALSE)</f>
        <v>300</v>
      </c>
      <c r="Q41" t="s">
        <v>32</v>
      </c>
      <c r="R41" t="s">
        <v>101</v>
      </c>
      <c r="S41" t="s">
        <v>96</v>
      </c>
      <c r="T41" t="s">
        <v>893</v>
      </c>
      <c r="U41" s="14">
        <f t="shared" si="5"/>
        <v>2635.6</v>
      </c>
      <c r="V41" s="14">
        <f t="shared" si="6"/>
        <v>1500</v>
      </c>
      <c r="W41" s="10">
        <f>VLOOKUP(Q41,Taxrate!A:B,2,FALSE)</f>
        <v>0.2</v>
      </c>
      <c r="X41" s="14">
        <f t="shared" si="7"/>
        <v>527.12</v>
      </c>
      <c r="Y41" s="10">
        <f>VLOOKUP(L41,'Discount Rate'!A:B,2,FALSE)</f>
        <v>0.1</v>
      </c>
      <c r="Z41" s="14">
        <f t="shared" si="8"/>
        <v>263.56</v>
      </c>
      <c r="AA41" s="14">
        <f t="shared" si="9"/>
        <v>1844.92</v>
      </c>
      <c r="AB41" s="14">
        <f t="shared" si="10"/>
        <v>344.92000000000007</v>
      </c>
    </row>
    <row r="42" spans="1:28" x14ac:dyDescent="0.25">
      <c r="A42" t="s">
        <v>161</v>
      </c>
      <c r="B42" t="s">
        <v>162</v>
      </c>
      <c r="C42" t="s">
        <v>139</v>
      </c>
      <c r="D42" t="s">
        <v>22</v>
      </c>
      <c r="E42" s="1">
        <v>46245</v>
      </c>
      <c r="F42" s="8">
        <f t="shared" si="0"/>
        <v>2026</v>
      </c>
      <c r="G42" s="1" t="str">
        <f t="shared" si="1"/>
        <v>August</v>
      </c>
      <c r="H42" s="1" t="str">
        <f t="shared" si="2"/>
        <v>Tuesday</v>
      </c>
      <c r="I42" s="2">
        <v>0.53530092592592593</v>
      </c>
      <c r="J42" s="8">
        <f t="shared" si="3"/>
        <v>12</v>
      </c>
      <c r="K42" s="8">
        <f t="shared" si="4"/>
        <v>50</v>
      </c>
      <c r="L42" t="s">
        <v>46</v>
      </c>
      <c r="M42" t="s">
        <v>47</v>
      </c>
      <c r="N42">
        <v>15</v>
      </c>
      <c r="O42" s="14">
        <v>188.63</v>
      </c>
      <c r="P42">
        <f>VLOOKUP(L42,'Product-cost'!A:B,2,FALSE)</f>
        <v>150</v>
      </c>
      <c r="Q42" t="s">
        <v>32</v>
      </c>
      <c r="R42" t="s">
        <v>143</v>
      </c>
      <c r="T42" t="s">
        <v>895</v>
      </c>
      <c r="U42" s="14">
        <f t="shared" si="5"/>
        <v>2829.45</v>
      </c>
      <c r="V42" s="14">
        <f t="shared" si="6"/>
        <v>2250</v>
      </c>
      <c r="W42" s="10">
        <f>VLOOKUP(Q42,Taxrate!A:B,2,FALSE)</f>
        <v>0.2</v>
      </c>
      <c r="X42" s="14">
        <f t="shared" si="7"/>
        <v>565.89</v>
      </c>
      <c r="Y42" s="10">
        <f>VLOOKUP(L42,'Discount Rate'!A:B,2,FALSE)</f>
        <v>7.0000000000000007E-2</v>
      </c>
      <c r="Z42" s="14">
        <f t="shared" si="8"/>
        <v>198.0615</v>
      </c>
      <c r="AA42" s="14">
        <f t="shared" si="9"/>
        <v>2065.4985000000001</v>
      </c>
      <c r="AB42" s="14">
        <f t="shared" si="10"/>
        <v>-184.50149999999985</v>
      </c>
    </row>
    <row r="43" spans="1:28" x14ac:dyDescent="0.25">
      <c r="A43" t="s">
        <v>163</v>
      </c>
      <c r="B43" t="s">
        <v>164</v>
      </c>
      <c r="C43" t="s">
        <v>165</v>
      </c>
      <c r="D43" t="s">
        <v>38</v>
      </c>
      <c r="E43" s="1">
        <v>45826</v>
      </c>
      <c r="F43" s="8">
        <f t="shared" si="0"/>
        <v>2025</v>
      </c>
      <c r="G43" s="1" t="str">
        <f t="shared" si="1"/>
        <v>June</v>
      </c>
      <c r="H43" s="1" t="str">
        <f t="shared" si="2"/>
        <v>Wednesday</v>
      </c>
      <c r="I43" s="2">
        <v>0.65577546296296296</v>
      </c>
      <c r="J43" s="8">
        <f t="shared" si="3"/>
        <v>15</v>
      </c>
      <c r="K43" s="8">
        <f t="shared" si="4"/>
        <v>44</v>
      </c>
      <c r="L43" t="s">
        <v>73</v>
      </c>
      <c r="M43" t="s">
        <v>74</v>
      </c>
      <c r="N43">
        <v>9</v>
      </c>
      <c r="O43" s="14">
        <v>152.83000000000001</v>
      </c>
      <c r="P43">
        <f>VLOOKUP(L43,'Product-cost'!A:B,2,FALSE)</f>
        <v>50</v>
      </c>
      <c r="Q43" t="s">
        <v>55</v>
      </c>
      <c r="R43" t="s">
        <v>40</v>
      </c>
      <c r="T43" t="s">
        <v>895</v>
      </c>
      <c r="U43" s="14">
        <f t="shared" si="5"/>
        <v>1375.47</v>
      </c>
      <c r="V43" s="14">
        <f t="shared" si="6"/>
        <v>450</v>
      </c>
      <c r="W43" s="10">
        <f>VLOOKUP(Q43,Taxrate!A:B,2,FALSE)</f>
        <v>0.12</v>
      </c>
      <c r="X43" s="14">
        <f t="shared" si="7"/>
        <v>165.0564</v>
      </c>
      <c r="Y43" s="10">
        <f>VLOOKUP(L43,'Discount Rate'!A:B,2,FALSE)</f>
        <v>0.03</v>
      </c>
      <c r="Z43" s="14">
        <f t="shared" si="8"/>
        <v>41.264099999999999</v>
      </c>
      <c r="AA43" s="14">
        <f t="shared" si="9"/>
        <v>1169.1495</v>
      </c>
      <c r="AB43" s="14">
        <f t="shared" si="10"/>
        <v>719.14949999999999</v>
      </c>
    </row>
    <row r="44" spans="1:28" x14ac:dyDescent="0.25">
      <c r="A44" t="s">
        <v>166</v>
      </c>
      <c r="B44" t="s">
        <v>122</v>
      </c>
      <c r="C44" t="s">
        <v>165</v>
      </c>
      <c r="D44" t="s">
        <v>38</v>
      </c>
      <c r="E44" s="1">
        <v>46244</v>
      </c>
      <c r="F44" s="8">
        <f t="shared" si="0"/>
        <v>2026</v>
      </c>
      <c r="G44" s="1" t="str">
        <f t="shared" si="1"/>
        <v>August</v>
      </c>
      <c r="H44" s="1" t="str">
        <f t="shared" si="2"/>
        <v>Monday</v>
      </c>
      <c r="I44" s="2">
        <v>0.71027777777777779</v>
      </c>
      <c r="J44" s="8">
        <f t="shared" si="3"/>
        <v>17</v>
      </c>
      <c r="K44" s="8">
        <f t="shared" si="4"/>
        <v>2</v>
      </c>
      <c r="L44" t="s">
        <v>23</v>
      </c>
      <c r="M44" t="s">
        <v>24</v>
      </c>
      <c r="N44">
        <v>11</v>
      </c>
      <c r="O44" s="14">
        <v>563.45000000000005</v>
      </c>
      <c r="P44">
        <f>VLOOKUP(L44,'Product-cost'!A:B,2,FALSE)</f>
        <v>300</v>
      </c>
      <c r="Q44" t="s">
        <v>55</v>
      </c>
      <c r="R44" t="s">
        <v>84</v>
      </c>
      <c r="S44" t="s">
        <v>96</v>
      </c>
      <c r="T44" t="s">
        <v>893</v>
      </c>
      <c r="U44" s="14">
        <f t="shared" si="5"/>
        <v>6197.9500000000007</v>
      </c>
      <c r="V44" s="14">
        <f t="shared" si="6"/>
        <v>3300</v>
      </c>
      <c r="W44" s="10">
        <f>VLOOKUP(Q44,Taxrate!A:B,2,FALSE)</f>
        <v>0.12</v>
      </c>
      <c r="X44" s="14">
        <f t="shared" si="7"/>
        <v>743.75400000000002</v>
      </c>
      <c r="Y44" s="10">
        <f>VLOOKUP(L44,'Discount Rate'!A:B,2,FALSE)</f>
        <v>0.1</v>
      </c>
      <c r="Z44" s="14">
        <f t="shared" si="8"/>
        <v>619.79500000000007</v>
      </c>
      <c r="AA44" s="14">
        <f t="shared" si="9"/>
        <v>4834.4010000000007</v>
      </c>
      <c r="AB44" s="14">
        <f t="shared" si="10"/>
        <v>1534.4010000000007</v>
      </c>
    </row>
    <row r="45" spans="1:28" x14ac:dyDescent="0.25">
      <c r="A45" t="s">
        <v>167</v>
      </c>
      <c r="B45" t="s">
        <v>168</v>
      </c>
      <c r="C45" t="s">
        <v>58</v>
      </c>
      <c r="D45" t="s">
        <v>59</v>
      </c>
      <c r="E45" s="1">
        <v>45770</v>
      </c>
      <c r="F45" s="8">
        <f t="shared" si="0"/>
        <v>2025</v>
      </c>
      <c r="G45" s="1" t="str">
        <f t="shared" si="1"/>
        <v>April</v>
      </c>
      <c r="H45" s="1" t="str">
        <f t="shared" si="2"/>
        <v>Wednesday</v>
      </c>
      <c r="I45" s="2">
        <v>0.52945601851851853</v>
      </c>
      <c r="J45" s="8">
        <f t="shared" si="3"/>
        <v>12</v>
      </c>
      <c r="K45" s="8">
        <f t="shared" si="4"/>
        <v>42</v>
      </c>
      <c r="L45" t="s">
        <v>46</v>
      </c>
      <c r="M45" t="s">
        <v>47</v>
      </c>
      <c r="N45">
        <v>7</v>
      </c>
      <c r="O45" s="14">
        <v>500</v>
      </c>
      <c r="P45">
        <f>VLOOKUP(L45,'Product-cost'!A:B,2,FALSE)</f>
        <v>150</v>
      </c>
      <c r="Q45" t="s">
        <v>25</v>
      </c>
      <c r="R45" t="s">
        <v>75</v>
      </c>
      <c r="S45" t="s">
        <v>158</v>
      </c>
      <c r="T45" t="s">
        <v>893</v>
      </c>
      <c r="U45" s="14">
        <f t="shared" si="5"/>
        <v>3500</v>
      </c>
      <c r="V45" s="14">
        <f t="shared" si="6"/>
        <v>1050</v>
      </c>
      <c r="W45" s="10">
        <f>VLOOKUP(Q45,Taxrate!A:B,2,FALSE)</f>
        <v>0.1</v>
      </c>
      <c r="X45" s="14">
        <f t="shared" si="7"/>
        <v>350</v>
      </c>
      <c r="Y45" s="10">
        <f>VLOOKUP(L45,'Discount Rate'!A:B,2,FALSE)</f>
        <v>7.0000000000000007E-2</v>
      </c>
      <c r="Z45" s="14">
        <f t="shared" si="8"/>
        <v>245.00000000000003</v>
      </c>
      <c r="AA45" s="14">
        <f t="shared" si="9"/>
        <v>2905</v>
      </c>
      <c r="AB45" s="14">
        <f t="shared" si="10"/>
        <v>1855</v>
      </c>
    </row>
    <row r="46" spans="1:28" x14ac:dyDescent="0.25">
      <c r="A46" t="s">
        <v>169</v>
      </c>
      <c r="B46" t="s">
        <v>170</v>
      </c>
      <c r="C46" t="s">
        <v>99</v>
      </c>
      <c r="D46" t="s">
        <v>100</v>
      </c>
      <c r="E46" s="1">
        <v>45311</v>
      </c>
      <c r="F46" s="8">
        <f t="shared" si="0"/>
        <v>2024</v>
      </c>
      <c r="G46" s="1" t="str">
        <f t="shared" si="1"/>
        <v>January</v>
      </c>
      <c r="H46" s="1" t="str">
        <f t="shared" si="2"/>
        <v>Saturday</v>
      </c>
      <c r="I46" s="2">
        <v>0.74202546296296301</v>
      </c>
      <c r="J46" s="8">
        <f t="shared" si="3"/>
        <v>17</v>
      </c>
      <c r="K46" s="8">
        <f t="shared" si="4"/>
        <v>48</v>
      </c>
      <c r="L46" t="s">
        <v>73</v>
      </c>
      <c r="M46" t="s">
        <v>74</v>
      </c>
      <c r="N46">
        <v>4</v>
      </c>
      <c r="O46" s="14">
        <v>129.83000000000001</v>
      </c>
      <c r="P46">
        <f>VLOOKUP(L46,'Product-cost'!A:B,2,FALSE)</f>
        <v>50</v>
      </c>
      <c r="Q46" t="s">
        <v>25</v>
      </c>
      <c r="R46" t="s">
        <v>105</v>
      </c>
      <c r="S46" t="s">
        <v>41</v>
      </c>
      <c r="T46" t="s">
        <v>893</v>
      </c>
      <c r="U46" s="14">
        <f t="shared" si="5"/>
        <v>519.32000000000005</v>
      </c>
      <c r="V46" s="14">
        <f t="shared" si="6"/>
        <v>200</v>
      </c>
      <c r="W46" s="10">
        <f>VLOOKUP(Q46,Taxrate!A:B,2,FALSE)</f>
        <v>0.1</v>
      </c>
      <c r="X46" s="14">
        <f t="shared" si="7"/>
        <v>51.932000000000009</v>
      </c>
      <c r="Y46" s="10">
        <f>VLOOKUP(L46,'Discount Rate'!A:B,2,FALSE)</f>
        <v>0.03</v>
      </c>
      <c r="Z46" s="14">
        <f t="shared" si="8"/>
        <v>15.579600000000001</v>
      </c>
      <c r="AA46" s="14">
        <f t="shared" si="9"/>
        <v>451.80840000000001</v>
      </c>
      <c r="AB46" s="14">
        <f t="shared" si="10"/>
        <v>251.80840000000001</v>
      </c>
    </row>
    <row r="47" spans="1:28" x14ac:dyDescent="0.25">
      <c r="A47" t="s">
        <v>171</v>
      </c>
      <c r="B47" t="s">
        <v>172</v>
      </c>
      <c r="C47" t="s">
        <v>66</v>
      </c>
      <c r="D47" t="s">
        <v>67</v>
      </c>
      <c r="E47" s="1">
        <v>45159</v>
      </c>
      <c r="F47" s="8">
        <f t="shared" si="0"/>
        <v>2023</v>
      </c>
      <c r="G47" s="1" t="str">
        <f t="shared" si="1"/>
        <v>August</v>
      </c>
      <c r="H47" s="1" t="str">
        <f t="shared" si="2"/>
        <v>Monday</v>
      </c>
      <c r="I47" s="2">
        <v>0.40408564814814812</v>
      </c>
      <c r="J47" s="8">
        <f t="shared" si="3"/>
        <v>9</v>
      </c>
      <c r="K47" s="8">
        <f t="shared" si="4"/>
        <v>41</v>
      </c>
      <c r="L47" t="s">
        <v>23</v>
      </c>
      <c r="M47" t="s">
        <v>24</v>
      </c>
      <c r="N47">
        <v>12</v>
      </c>
      <c r="O47" s="14">
        <v>691.62</v>
      </c>
      <c r="P47">
        <f>VLOOKUP(L47,'Product-cost'!A:B,2,FALSE)</f>
        <v>300</v>
      </c>
      <c r="Q47" t="s">
        <v>39</v>
      </c>
      <c r="R47" t="s">
        <v>173</v>
      </c>
      <c r="S47" t="s">
        <v>102</v>
      </c>
      <c r="T47" t="s">
        <v>895</v>
      </c>
      <c r="U47" s="14">
        <f t="shared" si="5"/>
        <v>8299.44</v>
      </c>
      <c r="V47" s="14">
        <f t="shared" si="6"/>
        <v>3600</v>
      </c>
      <c r="W47" s="10">
        <f>VLOOKUP(Q47,Taxrate!A:B,2,FALSE)</f>
        <v>0.15</v>
      </c>
      <c r="X47" s="14">
        <f t="shared" si="7"/>
        <v>1244.9159999999999</v>
      </c>
      <c r="Y47" s="10">
        <f>VLOOKUP(L47,'Discount Rate'!A:B,2,FALSE)</f>
        <v>0.1</v>
      </c>
      <c r="Z47" s="14">
        <f t="shared" si="8"/>
        <v>829.94400000000007</v>
      </c>
      <c r="AA47" s="14">
        <f t="shared" si="9"/>
        <v>6224.58</v>
      </c>
      <c r="AB47" s="14">
        <f t="shared" si="10"/>
        <v>2624.58</v>
      </c>
    </row>
    <row r="48" spans="1:28" x14ac:dyDescent="0.25">
      <c r="A48" t="s">
        <v>174</v>
      </c>
      <c r="B48" t="s">
        <v>175</v>
      </c>
      <c r="C48" t="s">
        <v>66</v>
      </c>
      <c r="D48" t="s">
        <v>67</v>
      </c>
      <c r="E48" s="1">
        <v>45776</v>
      </c>
      <c r="F48" s="8">
        <f t="shared" si="0"/>
        <v>2025</v>
      </c>
      <c r="G48" s="1" t="str">
        <f t="shared" si="1"/>
        <v>April</v>
      </c>
      <c r="H48" s="1" t="str">
        <f t="shared" si="2"/>
        <v>Tuesday</v>
      </c>
      <c r="I48" s="2">
        <v>0.85575231481481484</v>
      </c>
      <c r="J48" s="8">
        <f t="shared" si="3"/>
        <v>20</v>
      </c>
      <c r="K48" s="8">
        <f t="shared" si="4"/>
        <v>32</v>
      </c>
      <c r="L48" t="s">
        <v>15</v>
      </c>
      <c r="M48" t="s">
        <v>16</v>
      </c>
      <c r="N48">
        <v>5</v>
      </c>
      <c r="O48" s="14">
        <v>1089.96</v>
      </c>
      <c r="P48">
        <f>VLOOKUP(L48,'Product-cost'!A:B,2,FALSE)</f>
        <v>600</v>
      </c>
      <c r="Q48" t="s">
        <v>39</v>
      </c>
      <c r="R48" t="s">
        <v>68</v>
      </c>
      <c r="S48" t="s">
        <v>123</v>
      </c>
      <c r="T48" t="s">
        <v>893</v>
      </c>
      <c r="U48" s="14">
        <f t="shared" si="5"/>
        <v>5449.8</v>
      </c>
      <c r="V48" s="14">
        <f t="shared" si="6"/>
        <v>3000</v>
      </c>
      <c r="W48" s="10">
        <f>VLOOKUP(Q48,Taxrate!A:B,2,FALSE)</f>
        <v>0.15</v>
      </c>
      <c r="X48" s="14">
        <f t="shared" si="7"/>
        <v>817.47</v>
      </c>
      <c r="Y48" s="10">
        <f>VLOOKUP(L48,'Discount Rate'!A:B,2,FALSE)</f>
        <v>0.05</v>
      </c>
      <c r="Z48" s="14">
        <f t="shared" si="8"/>
        <v>272.49</v>
      </c>
      <c r="AA48" s="14">
        <f t="shared" si="9"/>
        <v>4359.84</v>
      </c>
      <c r="AB48" s="14">
        <f t="shared" si="10"/>
        <v>1359.8400000000001</v>
      </c>
    </row>
    <row r="49" spans="1:28" x14ac:dyDescent="0.25">
      <c r="A49" t="s">
        <v>176</v>
      </c>
      <c r="B49" t="s">
        <v>177</v>
      </c>
      <c r="C49" t="s">
        <v>178</v>
      </c>
      <c r="D49" t="s">
        <v>59</v>
      </c>
      <c r="E49" s="1">
        <v>46098</v>
      </c>
      <c r="F49" s="8">
        <f t="shared" si="0"/>
        <v>2026</v>
      </c>
      <c r="G49" s="1" t="str">
        <f t="shared" si="1"/>
        <v>March</v>
      </c>
      <c r="H49" s="1" t="str">
        <f t="shared" si="2"/>
        <v>Tuesday</v>
      </c>
      <c r="I49" s="2">
        <v>0.49640046296296297</v>
      </c>
      <c r="J49" s="8">
        <f t="shared" si="3"/>
        <v>11</v>
      </c>
      <c r="K49" s="8">
        <f t="shared" si="4"/>
        <v>54</v>
      </c>
      <c r="L49" t="s">
        <v>73</v>
      </c>
      <c r="M49" t="s">
        <v>74</v>
      </c>
      <c r="N49">
        <v>7</v>
      </c>
      <c r="O49" s="14">
        <v>172.89</v>
      </c>
      <c r="P49">
        <f>VLOOKUP(L49,'Product-cost'!A:B,2,FALSE)</f>
        <v>50</v>
      </c>
      <c r="Q49" t="s">
        <v>39</v>
      </c>
      <c r="R49" t="s">
        <v>60</v>
      </c>
      <c r="S49" t="s">
        <v>102</v>
      </c>
      <c r="T49" t="s">
        <v>895</v>
      </c>
      <c r="U49" s="14">
        <f t="shared" si="5"/>
        <v>1210.23</v>
      </c>
      <c r="V49" s="14">
        <f t="shared" si="6"/>
        <v>350</v>
      </c>
      <c r="W49" s="10">
        <f>VLOOKUP(Q49,Taxrate!A:B,2,FALSE)</f>
        <v>0.15</v>
      </c>
      <c r="X49" s="14">
        <f t="shared" si="7"/>
        <v>181.53450000000001</v>
      </c>
      <c r="Y49" s="10">
        <f>VLOOKUP(L49,'Discount Rate'!A:B,2,FALSE)</f>
        <v>0.03</v>
      </c>
      <c r="Z49" s="14">
        <f t="shared" si="8"/>
        <v>36.306899999999999</v>
      </c>
      <c r="AA49" s="14">
        <f t="shared" si="9"/>
        <v>992.3886</v>
      </c>
      <c r="AB49" s="14">
        <f t="shared" si="10"/>
        <v>642.3886</v>
      </c>
    </row>
    <row r="50" spans="1:28" x14ac:dyDescent="0.25">
      <c r="A50" t="s">
        <v>179</v>
      </c>
      <c r="B50" t="s">
        <v>180</v>
      </c>
      <c r="C50" t="s">
        <v>83</v>
      </c>
      <c r="D50" t="s">
        <v>38</v>
      </c>
      <c r="E50" s="1">
        <v>45828</v>
      </c>
      <c r="F50" s="8">
        <f t="shared" si="0"/>
        <v>2025</v>
      </c>
      <c r="G50" s="1" t="str">
        <f t="shared" si="1"/>
        <v>June</v>
      </c>
      <c r="H50" s="1" t="str">
        <f t="shared" si="2"/>
        <v>Friday</v>
      </c>
      <c r="I50" s="2">
        <v>0.70728009259259261</v>
      </c>
      <c r="J50" s="8">
        <f t="shared" si="3"/>
        <v>16</v>
      </c>
      <c r="K50" s="8">
        <f t="shared" si="4"/>
        <v>58</v>
      </c>
      <c r="L50" t="s">
        <v>15</v>
      </c>
      <c r="M50" t="s">
        <v>16</v>
      </c>
      <c r="N50">
        <v>7</v>
      </c>
      <c r="O50" s="14">
        <v>1284.98</v>
      </c>
      <c r="P50">
        <f>VLOOKUP(L50,'Product-cost'!A:B,2,FALSE)</f>
        <v>600</v>
      </c>
      <c r="Q50" t="s">
        <v>51</v>
      </c>
      <c r="R50" t="s">
        <v>84</v>
      </c>
      <c r="S50" t="s">
        <v>132</v>
      </c>
      <c r="T50" t="s">
        <v>893</v>
      </c>
      <c r="U50" s="14">
        <f t="shared" si="5"/>
        <v>8994.86</v>
      </c>
      <c r="V50" s="14">
        <f t="shared" si="6"/>
        <v>4200</v>
      </c>
      <c r="W50" s="10">
        <f>VLOOKUP(Q50,Taxrate!A:B,2,FALSE)</f>
        <v>7.0000000000000007E-2</v>
      </c>
      <c r="X50" s="14">
        <f t="shared" si="7"/>
        <v>629.64020000000005</v>
      </c>
      <c r="Y50" s="10">
        <f>VLOOKUP(L50,'Discount Rate'!A:B,2,FALSE)</f>
        <v>0.05</v>
      </c>
      <c r="Z50" s="14">
        <f t="shared" si="8"/>
        <v>449.74300000000005</v>
      </c>
      <c r="AA50" s="14">
        <f t="shared" si="9"/>
        <v>7915.4768000000004</v>
      </c>
      <c r="AB50" s="14">
        <f t="shared" si="10"/>
        <v>3715.4768000000004</v>
      </c>
    </row>
    <row r="51" spans="1:28" x14ac:dyDescent="0.25">
      <c r="A51" t="s">
        <v>181</v>
      </c>
      <c r="B51" t="s">
        <v>182</v>
      </c>
      <c r="C51" t="s">
        <v>63</v>
      </c>
      <c r="D51" t="s">
        <v>14</v>
      </c>
      <c r="E51" s="1">
        <v>45575</v>
      </c>
      <c r="F51" s="8">
        <f t="shared" si="0"/>
        <v>2024</v>
      </c>
      <c r="G51" s="1" t="str">
        <f t="shared" si="1"/>
        <v>October</v>
      </c>
      <c r="H51" s="1" t="str">
        <f t="shared" si="2"/>
        <v>Thursday</v>
      </c>
      <c r="I51" s="2">
        <v>0.89863425925925922</v>
      </c>
      <c r="J51" s="8">
        <f t="shared" si="3"/>
        <v>21</v>
      </c>
      <c r="K51" s="8">
        <f t="shared" si="4"/>
        <v>34</v>
      </c>
      <c r="L51" t="s">
        <v>46</v>
      </c>
      <c r="M51" t="s">
        <v>47</v>
      </c>
      <c r="N51">
        <v>7</v>
      </c>
      <c r="O51" s="14">
        <v>277.3</v>
      </c>
      <c r="P51">
        <f>VLOOKUP(L51,'Product-cost'!A:B,2,FALSE)</f>
        <v>150</v>
      </c>
      <c r="Q51" t="s">
        <v>32</v>
      </c>
      <c r="R51" t="s">
        <v>17</v>
      </c>
      <c r="S51" t="s">
        <v>34</v>
      </c>
      <c r="T51" t="s">
        <v>893</v>
      </c>
      <c r="U51" s="14">
        <f t="shared" si="5"/>
        <v>1941.1000000000001</v>
      </c>
      <c r="V51" s="14">
        <f t="shared" si="6"/>
        <v>1050</v>
      </c>
      <c r="W51" s="10">
        <f>VLOOKUP(Q51,Taxrate!A:B,2,FALSE)</f>
        <v>0.2</v>
      </c>
      <c r="X51" s="14">
        <f t="shared" si="7"/>
        <v>388.22</v>
      </c>
      <c r="Y51" s="10">
        <f>VLOOKUP(L51,'Discount Rate'!A:B,2,FALSE)</f>
        <v>7.0000000000000007E-2</v>
      </c>
      <c r="Z51" s="14">
        <f t="shared" si="8"/>
        <v>135.87700000000001</v>
      </c>
      <c r="AA51" s="14">
        <f t="shared" si="9"/>
        <v>1417.0030000000002</v>
      </c>
      <c r="AB51" s="14">
        <f t="shared" si="10"/>
        <v>367.00300000000016</v>
      </c>
    </row>
    <row r="52" spans="1:28" x14ac:dyDescent="0.25">
      <c r="A52" t="s">
        <v>183</v>
      </c>
      <c r="B52" t="s">
        <v>184</v>
      </c>
      <c r="C52" t="s">
        <v>83</v>
      </c>
      <c r="D52" t="s">
        <v>38</v>
      </c>
      <c r="E52" s="1">
        <v>45527</v>
      </c>
      <c r="F52" s="8">
        <f t="shared" si="0"/>
        <v>2024</v>
      </c>
      <c r="G52" s="1" t="str">
        <f t="shared" si="1"/>
        <v>August</v>
      </c>
      <c r="H52" s="1" t="str">
        <f t="shared" si="2"/>
        <v>Friday</v>
      </c>
      <c r="I52" s="2">
        <v>0.56052083333333336</v>
      </c>
      <c r="J52" s="8">
        <f t="shared" si="3"/>
        <v>13</v>
      </c>
      <c r="K52" s="8">
        <f t="shared" si="4"/>
        <v>27</v>
      </c>
      <c r="L52" t="s">
        <v>23</v>
      </c>
      <c r="M52" t="s">
        <v>24</v>
      </c>
      <c r="N52">
        <v>10</v>
      </c>
      <c r="O52" s="14">
        <v>534.02</v>
      </c>
      <c r="P52">
        <f>VLOOKUP(L52,'Product-cost'!A:B,2,FALSE)</f>
        <v>300</v>
      </c>
      <c r="Q52" t="s">
        <v>32</v>
      </c>
      <c r="R52" t="s">
        <v>84</v>
      </c>
      <c r="S52" t="s">
        <v>41</v>
      </c>
      <c r="T52" t="s">
        <v>893</v>
      </c>
      <c r="U52" s="14">
        <f t="shared" si="5"/>
        <v>5340.2</v>
      </c>
      <c r="V52" s="14">
        <f t="shared" si="6"/>
        <v>3000</v>
      </c>
      <c r="W52" s="10">
        <f>VLOOKUP(Q52,Taxrate!A:B,2,FALSE)</f>
        <v>0.2</v>
      </c>
      <c r="X52" s="14">
        <f t="shared" si="7"/>
        <v>1068.04</v>
      </c>
      <c r="Y52" s="10">
        <f>VLOOKUP(L52,'Discount Rate'!A:B,2,FALSE)</f>
        <v>0.1</v>
      </c>
      <c r="Z52" s="14">
        <f t="shared" si="8"/>
        <v>534.02</v>
      </c>
      <c r="AA52" s="14">
        <f t="shared" si="9"/>
        <v>3738.14</v>
      </c>
      <c r="AB52" s="14">
        <f t="shared" si="10"/>
        <v>738.13999999999987</v>
      </c>
    </row>
    <row r="53" spans="1:28" x14ac:dyDescent="0.25">
      <c r="A53" t="s">
        <v>185</v>
      </c>
      <c r="B53" t="s">
        <v>186</v>
      </c>
      <c r="C53" t="s">
        <v>187</v>
      </c>
      <c r="D53" t="s">
        <v>156</v>
      </c>
      <c r="E53" s="1">
        <v>45449</v>
      </c>
      <c r="F53" s="8">
        <f t="shared" si="0"/>
        <v>2024</v>
      </c>
      <c r="G53" s="1" t="str">
        <f t="shared" si="1"/>
        <v>June</v>
      </c>
      <c r="H53" s="1" t="str">
        <f t="shared" si="2"/>
        <v>Thursday</v>
      </c>
      <c r="I53" s="2">
        <v>0.8541319444444444</v>
      </c>
      <c r="J53" s="8">
        <f t="shared" si="3"/>
        <v>20</v>
      </c>
      <c r="K53" s="8">
        <f t="shared" si="4"/>
        <v>29</v>
      </c>
      <c r="L53" t="s">
        <v>30</v>
      </c>
      <c r="M53" t="s">
        <v>31</v>
      </c>
      <c r="N53">
        <v>3</v>
      </c>
      <c r="O53" s="14">
        <v>500</v>
      </c>
      <c r="P53">
        <f>VLOOKUP(L53,'Product-cost'!A:B,2,FALSE)</f>
        <v>200</v>
      </c>
      <c r="Q53" t="s">
        <v>25</v>
      </c>
      <c r="R53" t="s">
        <v>157</v>
      </c>
      <c r="T53" t="s">
        <v>895</v>
      </c>
      <c r="U53" s="14">
        <f t="shared" si="5"/>
        <v>1500</v>
      </c>
      <c r="V53" s="14">
        <f t="shared" si="6"/>
        <v>600</v>
      </c>
      <c r="W53" s="10">
        <f>VLOOKUP(Q53,Taxrate!A:B,2,FALSE)</f>
        <v>0.1</v>
      </c>
      <c r="X53" s="14">
        <f t="shared" si="7"/>
        <v>150</v>
      </c>
      <c r="Y53" s="10">
        <f>VLOOKUP(L53,'Discount Rate'!A:B,2,FALSE)</f>
        <v>0.08</v>
      </c>
      <c r="Z53" s="14">
        <f t="shared" si="8"/>
        <v>120</v>
      </c>
      <c r="AA53" s="14">
        <f t="shared" si="9"/>
        <v>1230</v>
      </c>
      <c r="AB53" s="14">
        <f t="shared" si="10"/>
        <v>630</v>
      </c>
    </row>
    <row r="54" spans="1:28" x14ac:dyDescent="0.25">
      <c r="A54" t="s">
        <v>188</v>
      </c>
      <c r="B54" t="s">
        <v>189</v>
      </c>
      <c r="C54" t="s">
        <v>72</v>
      </c>
      <c r="D54" t="s">
        <v>59</v>
      </c>
      <c r="E54" s="1">
        <v>45412</v>
      </c>
      <c r="F54" s="8">
        <f t="shared" si="0"/>
        <v>2024</v>
      </c>
      <c r="G54" s="1" t="str">
        <f t="shared" si="1"/>
        <v>April</v>
      </c>
      <c r="H54" s="1" t="str">
        <f t="shared" si="2"/>
        <v>Tuesday</v>
      </c>
      <c r="I54" s="2">
        <v>0.72402777777777783</v>
      </c>
      <c r="J54" s="8">
        <f t="shared" si="3"/>
        <v>17</v>
      </c>
      <c r="K54" s="8">
        <f t="shared" si="4"/>
        <v>22</v>
      </c>
      <c r="L54" t="s">
        <v>30</v>
      </c>
      <c r="M54" t="s">
        <v>31</v>
      </c>
      <c r="N54">
        <v>5</v>
      </c>
      <c r="O54" s="14">
        <v>500</v>
      </c>
      <c r="P54">
        <f>VLOOKUP(L54,'Product-cost'!A:B,2,FALSE)</f>
        <v>200</v>
      </c>
      <c r="Q54" t="s">
        <v>39</v>
      </c>
      <c r="R54" t="s">
        <v>75</v>
      </c>
      <c r="S54" t="s">
        <v>152</v>
      </c>
      <c r="T54" t="s">
        <v>893</v>
      </c>
      <c r="U54" s="14">
        <f t="shared" si="5"/>
        <v>2500</v>
      </c>
      <c r="V54" s="14">
        <f t="shared" si="6"/>
        <v>1000</v>
      </c>
      <c r="W54" s="10">
        <f>VLOOKUP(Q54,Taxrate!A:B,2,FALSE)</f>
        <v>0.15</v>
      </c>
      <c r="X54" s="14">
        <f t="shared" si="7"/>
        <v>375</v>
      </c>
      <c r="Y54" s="10">
        <f>VLOOKUP(L54,'Discount Rate'!A:B,2,FALSE)</f>
        <v>0.08</v>
      </c>
      <c r="Z54" s="14">
        <f t="shared" si="8"/>
        <v>200</v>
      </c>
      <c r="AA54" s="14">
        <f t="shared" si="9"/>
        <v>1925</v>
      </c>
      <c r="AB54" s="14">
        <f t="shared" si="10"/>
        <v>925</v>
      </c>
    </row>
    <row r="55" spans="1:28" x14ac:dyDescent="0.25">
      <c r="A55" t="s">
        <v>190</v>
      </c>
      <c r="B55" t="s">
        <v>191</v>
      </c>
      <c r="C55" t="s">
        <v>21</v>
      </c>
      <c r="D55" t="s">
        <v>22</v>
      </c>
      <c r="E55" s="1">
        <v>45375</v>
      </c>
      <c r="F55" s="8">
        <f t="shared" si="0"/>
        <v>2024</v>
      </c>
      <c r="G55" s="1" t="str">
        <f t="shared" si="1"/>
        <v>March</v>
      </c>
      <c r="H55" s="1" t="str">
        <f t="shared" si="2"/>
        <v>Sunday</v>
      </c>
      <c r="I55" s="2">
        <v>0.71994212962962967</v>
      </c>
      <c r="J55" s="8">
        <f t="shared" si="3"/>
        <v>17</v>
      </c>
      <c r="K55" s="8">
        <f t="shared" si="4"/>
        <v>16</v>
      </c>
      <c r="L55" t="s">
        <v>23</v>
      </c>
      <c r="M55" t="s">
        <v>24</v>
      </c>
      <c r="N55">
        <v>15</v>
      </c>
      <c r="O55" s="14">
        <v>491.83</v>
      </c>
      <c r="P55">
        <f>VLOOKUP(L55,'Product-cost'!A:B,2,FALSE)</f>
        <v>300</v>
      </c>
      <c r="Q55" t="s">
        <v>39</v>
      </c>
      <c r="R55" t="s">
        <v>26</v>
      </c>
      <c r="T55" t="s">
        <v>895</v>
      </c>
      <c r="U55" s="14">
        <f t="shared" si="5"/>
        <v>7377.45</v>
      </c>
      <c r="V55" s="14">
        <f t="shared" si="6"/>
        <v>4500</v>
      </c>
      <c r="W55" s="10">
        <f>VLOOKUP(Q55,Taxrate!A:B,2,FALSE)</f>
        <v>0.15</v>
      </c>
      <c r="X55" s="14">
        <f t="shared" si="7"/>
        <v>1106.6174999999998</v>
      </c>
      <c r="Y55" s="10">
        <f>VLOOKUP(L55,'Discount Rate'!A:B,2,FALSE)</f>
        <v>0.1</v>
      </c>
      <c r="Z55" s="14">
        <f t="shared" si="8"/>
        <v>737.745</v>
      </c>
      <c r="AA55" s="14">
        <f t="shared" si="9"/>
        <v>5533.0875000000005</v>
      </c>
      <c r="AB55" s="14">
        <f t="shared" si="10"/>
        <v>1033.0875000000005</v>
      </c>
    </row>
    <row r="56" spans="1:28" x14ac:dyDescent="0.25">
      <c r="A56" t="s">
        <v>192</v>
      </c>
      <c r="B56" t="s">
        <v>193</v>
      </c>
      <c r="C56" t="s">
        <v>63</v>
      </c>
      <c r="D56" t="s">
        <v>14</v>
      </c>
      <c r="E56" s="1">
        <v>46014</v>
      </c>
      <c r="F56" s="8">
        <f t="shared" si="0"/>
        <v>2025</v>
      </c>
      <c r="G56" s="1" t="str">
        <f t="shared" si="1"/>
        <v>December</v>
      </c>
      <c r="H56" s="1" t="str">
        <f t="shared" si="2"/>
        <v>Tuesday</v>
      </c>
      <c r="I56" s="2">
        <v>0.8821296296296296</v>
      </c>
      <c r="J56" s="8">
        <f t="shared" si="3"/>
        <v>21</v>
      </c>
      <c r="K56" s="8">
        <f t="shared" si="4"/>
        <v>10</v>
      </c>
      <c r="L56" t="s">
        <v>73</v>
      </c>
      <c r="M56" t="s">
        <v>74</v>
      </c>
      <c r="N56">
        <v>5</v>
      </c>
      <c r="O56" s="14">
        <v>145.4</v>
      </c>
      <c r="P56">
        <f>VLOOKUP(L56,'Product-cost'!A:B,2,FALSE)</f>
        <v>50</v>
      </c>
      <c r="Q56" t="s">
        <v>51</v>
      </c>
      <c r="R56" t="s">
        <v>17</v>
      </c>
      <c r="S56" t="s">
        <v>41</v>
      </c>
      <c r="T56" t="s">
        <v>893</v>
      </c>
      <c r="U56" s="14">
        <f t="shared" si="5"/>
        <v>727</v>
      </c>
      <c r="V56" s="14">
        <f t="shared" si="6"/>
        <v>250</v>
      </c>
      <c r="W56" s="10">
        <f>VLOOKUP(Q56,Taxrate!A:B,2,FALSE)</f>
        <v>7.0000000000000007E-2</v>
      </c>
      <c r="X56" s="14">
        <f t="shared" si="7"/>
        <v>50.890000000000008</v>
      </c>
      <c r="Y56" s="10">
        <f>VLOOKUP(L56,'Discount Rate'!A:B,2,FALSE)</f>
        <v>0.03</v>
      </c>
      <c r="Z56" s="14">
        <f t="shared" si="8"/>
        <v>21.81</v>
      </c>
      <c r="AA56" s="14">
        <f t="shared" si="9"/>
        <v>654.30000000000007</v>
      </c>
      <c r="AB56" s="14">
        <f t="shared" si="10"/>
        <v>404.30000000000007</v>
      </c>
    </row>
    <row r="57" spans="1:28" x14ac:dyDescent="0.25">
      <c r="A57" t="s">
        <v>194</v>
      </c>
      <c r="B57" t="s">
        <v>195</v>
      </c>
      <c r="C57" t="s">
        <v>63</v>
      </c>
      <c r="D57" t="s">
        <v>14</v>
      </c>
      <c r="E57" s="1">
        <v>45023</v>
      </c>
      <c r="F57" s="8">
        <f t="shared" si="0"/>
        <v>2023</v>
      </c>
      <c r="G57" s="1" t="str">
        <f t="shared" si="1"/>
        <v>April</v>
      </c>
      <c r="H57" s="1" t="str">
        <f t="shared" si="2"/>
        <v>Friday</v>
      </c>
      <c r="I57" s="2">
        <v>0.34483796296296299</v>
      </c>
      <c r="J57" s="8">
        <f t="shared" si="3"/>
        <v>8</v>
      </c>
      <c r="K57" s="8">
        <f t="shared" si="4"/>
        <v>16</v>
      </c>
      <c r="L57" t="s">
        <v>15</v>
      </c>
      <c r="M57" t="s">
        <v>16</v>
      </c>
      <c r="N57">
        <v>11</v>
      </c>
      <c r="O57" s="14">
        <v>931.08</v>
      </c>
      <c r="P57">
        <f>VLOOKUP(L57,'Product-cost'!A:B,2,FALSE)</f>
        <v>600</v>
      </c>
      <c r="Q57" t="s">
        <v>39</v>
      </c>
      <c r="R57" t="s">
        <v>17</v>
      </c>
      <c r="S57" t="s">
        <v>41</v>
      </c>
      <c r="T57" t="s">
        <v>893</v>
      </c>
      <c r="U57" s="14">
        <f t="shared" si="5"/>
        <v>10241.880000000001</v>
      </c>
      <c r="V57" s="14">
        <f t="shared" si="6"/>
        <v>6600</v>
      </c>
      <c r="W57" s="10">
        <f>VLOOKUP(Q57,Taxrate!A:B,2,FALSE)</f>
        <v>0.15</v>
      </c>
      <c r="X57" s="14">
        <f t="shared" si="7"/>
        <v>1536.2820000000002</v>
      </c>
      <c r="Y57" s="10">
        <f>VLOOKUP(L57,'Discount Rate'!A:B,2,FALSE)</f>
        <v>0.05</v>
      </c>
      <c r="Z57" s="14">
        <f t="shared" si="8"/>
        <v>512.09400000000005</v>
      </c>
      <c r="AA57" s="14">
        <f t="shared" si="9"/>
        <v>8193.5040000000008</v>
      </c>
      <c r="AB57" s="14">
        <f t="shared" si="10"/>
        <v>1593.5040000000008</v>
      </c>
    </row>
    <row r="58" spans="1:28" x14ac:dyDescent="0.25">
      <c r="A58" t="s">
        <v>196</v>
      </c>
      <c r="B58" t="s">
        <v>197</v>
      </c>
      <c r="C58" t="s">
        <v>91</v>
      </c>
      <c r="D58" t="s">
        <v>92</v>
      </c>
      <c r="E58" s="1">
        <v>46253</v>
      </c>
      <c r="F58" s="8">
        <f t="shared" si="0"/>
        <v>2026</v>
      </c>
      <c r="G58" s="1" t="str">
        <f t="shared" si="1"/>
        <v>August</v>
      </c>
      <c r="H58" s="1" t="str">
        <f t="shared" si="2"/>
        <v>Wednesday</v>
      </c>
      <c r="I58" s="2">
        <v>0.78644675925925922</v>
      </c>
      <c r="J58" s="8">
        <f t="shared" si="3"/>
        <v>18</v>
      </c>
      <c r="K58" s="8">
        <f t="shared" si="4"/>
        <v>52</v>
      </c>
      <c r="L58" t="s">
        <v>30</v>
      </c>
      <c r="M58" t="s">
        <v>31</v>
      </c>
      <c r="N58">
        <v>2</v>
      </c>
      <c r="O58" s="14">
        <v>509.25</v>
      </c>
      <c r="P58">
        <f>VLOOKUP(L58,'Product-cost'!A:B,2,FALSE)</f>
        <v>200</v>
      </c>
      <c r="Q58" t="s">
        <v>25</v>
      </c>
      <c r="R58" t="s">
        <v>198</v>
      </c>
      <c r="S58" t="s">
        <v>102</v>
      </c>
      <c r="T58" t="s">
        <v>895</v>
      </c>
      <c r="U58" s="14">
        <f t="shared" si="5"/>
        <v>1018.5</v>
      </c>
      <c r="V58" s="14">
        <f t="shared" si="6"/>
        <v>400</v>
      </c>
      <c r="W58" s="10">
        <f>VLOOKUP(Q58,Taxrate!A:B,2,FALSE)</f>
        <v>0.1</v>
      </c>
      <c r="X58" s="14">
        <f t="shared" si="7"/>
        <v>101.85000000000001</v>
      </c>
      <c r="Y58" s="10">
        <f>VLOOKUP(L58,'Discount Rate'!A:B,2,FALSE)</f>
        <v>0.08</v>
      </c>
      <c r="Z58" s="14">
        <f t="shared" si="8"/>
        <v>81.48</v>
      </c>
      <c r="AA58" s="14">
        <f t="shared" si="9"/>
        <v>835.17</v>
      </c>
      <c r="AB58" s="14">
        <f t="shared" si="10"/>
        <v>435.16999999999996</v>
      </c>
    </row>
    <row r="59" spans="1:28" x14ac:dyDescent="0.25">
      <c r="A59" t="s">
        <v>199</v>
      </c>
      <c r="B59" t="s">
        <v>200</v>
      </c>
      <c r="C59" t="s">
        <v>63</v>
      </c>
      <c r="D59" t="s">
        <v>14</v>
      </c>
      <c r="E59" s="1">
        <v>46129</v>
      </c>
      <c r="F59" s="8">
        <f t="shared" si="0"/>
        <v>2026</v>
      </c>
      <c r="G59" s="1" t="str">
        <f t="shared" si="1"/>
        <v>April</v>
      </c>
      <c r="H59" s="1" t="str">
        <f t="shared" si="2"/>
        <v>Friday</v>
      </c>
      <c r="I59" s="2">
        <v>0.61187499999999995</v>
      </c>
      <c r="J59" s="8">
        <f t="shared" si="3"/>
        <v>14</v>
      </c>
      <c r="K59" s="8">
        <f t="shared" si="4"/>
        <v>41</v>
      </c>
      <c r="L59" t="s">
        <v>73</v>
      </c>
      <c r="M59" t="s">
        <v>74</v>
      </c>
      <c r="N59">
        <v>5</v>
      </c>
      <c r="O59" s="14">
        <v>500</v>
      </c>
      <c r="P59">
        <f>VLOOKUP(L59,'Product-cost'!A:B,2,FALSE)</f>
        <v>50</v>
      </c>
      <c r="Q59" t="s">
        <v>25</v>
      </c>
      <c r="R59" t="s">
        <v>17</v>
      </c>
      <c r="T59" t="s">
        <v>895</v>
      </c>
      <c r="U59" s="14">
        <f t="shared" si="5"/>
        <v>2500</v>
      </c>
      <c r="V59" s="14">
        <f t="shared" si="6"/>
        <v>250</v>
      </c>
      <c r="W59" s="10">
        <f>VLOOKUP(Q59,Taxrate!A:B,2,FALSE)</f>
        <v>0.1</v>
      </c>
      <c r="X59" s="14">
        <f t="shared" si="7"/>
        <v>250</v>
      </c>
      <c r="Y59" s="10">
        <f>VLOOKUP(L59,'Discount Rate'!A:B,2,FALSE)</f>
        <v>0.03</v>
      </c>
      <c r="Z59" s="14">
        <f t="shared" si="8"/>
        <v>75</v>
      </c>
      <c r="AA59" s="14">
        <f t="shared" si="9"/>
        <v>2175</v>
      </c>
      <c r="AB59" s="14">
        <f t="shared" si="10"/>
        <v>1925</v>
      </c>
    </row>
    <row r="60" spans="1:28" x14ac:dyDescent="0.25">
      <c r="A60" t="s">
        <v>201</v>
      </c>
      <c r="B60" t="s">
        <v>202</v>
      </c>
      <c r="C60" t="s">
        <v>37</v>
      </c>
      <c r="D60" t="s">
        <v>38</v>
      </c>
      <c r="E60" s="1">
        <v>45742</v>
      </c>
      <c r="F60" s="8">
        <f t="shared" si="0"/>
        <v>2025</v>
      </c>
      <c r="G60" s="1" t="str">
        <f t="shared" si="1"/>
        <v>March</v>
      </c>
      <c r="H60" s="1" t="str">
        <f t="shared" si="2"/>
        <v>Wednesday</v>
      </c>
      <c r="I60" s="2">
        <v>0.46381944444444445</v>
      </c>
      <c r="J60" s="8">
        <f t="shared" si="3"/>
        <v>11</v>
      </c>
      <c r="K60" s="8">
        <f t="shared" si="4"/>
        <v>7</v>
      </c>
      <c r="L60" t="s">
        <v>73</v>
      </c>
      <c r="M60" t="s">
        <v>74</v>
      </c>
      <c r="N60">
        <v>7</v>
      </c>
      <c r="O60" s="14">
        <v>167.96</v>
      </c>
      <c r="P60">
        <f>VLOOKUP(L60,'Product-cost'!A:B,2,FALSE)</f>
        <v>50</v>
      </c>
      <c r="Q60" t="s">
        <v>51</v>
      </c>
      <c r="R60" t="s">
        <v>84</v>
      </c>
      <c r="T60" t="s">
        <v>895</v>
      </c>
      <c r="U60" s="14">
        <f t="shared" si="5"/>
        <v>1175.72</v>
      </c>
      <c r="V60" s="14">
        <f t="shared" si="6"/>
        <v>350</v>
      </c>
      <c r="W60" s="10">
        <f>VLOOKUP(Q60,Taxrate!A:B,2,FALSE)</f>
        <v>7.0000000000000007E-2</v>
      </c>
      <c r="X60" s="14">
        <f t="shared" si="7"/>
        <v>82.30040000000001</v>
      </c>
      <c r="Y60" s="10">
        <f>VLOOKUP(L60,'Discount Rate'!A:B,2,FALSE)</f>
        <v>0.03</v>
      </c>
      <c r="Z60" s="14">
        <f t="shared" si="8"/>
        <v>35.271599999999999</v>
      </c>
      <c r="AA60" s="14">
        <f t="shared" si="9"/>
        <v>1058.1479999999999</v>
      </c>
      <c r="AB60" s="14">
        <f t="shared" si="10"/>
        <v>708.14799999999991</v>
      </c>
    </row>
    <row r="61" spans="1:28" x14ac:dyDescent="0.25">
      <c r="A61" t="s">
        <v>203</v>
      </c>
      <c r="B61" t="s">
        <v>204</v>
      </c>
      <c r="C61" t="s">
        <v>21</v>
      </c>
      <c r="D61" t="s">
        <v>22</v>
      </c>
      <c r="E61" s="1">
        <v>45229</v>
      </c>
      <c r="F61" s="8">
        <f t="shared" si="0"/>
        <v>2023</v>
      </c>
      <c r="G61" s="1" t="str">
        <f t="shared" si="1"/>
        <v>October</v>
      </c>
      <c r="H61" s="1" t="str">
        <f t="shared" si="2"/>
        <v>Monday</v>
      </c>
      <c r="I61" s="2">
        <v>0.53760416666666666</v>
      </c>
      <c r="J61" s="8">
        <f t="shared" si="3"/>
        <v>12</v>
      </c>
      <c r="K61" s="8">
        <f t="shared" si="4"/>
        <v>54</v>
      </c>
      <c r="L61" t="s">
        <v>23</v>
      </c>
      <c r="M61" t="s">
        <v>24</v>
      </c>
      <c r="N61">
        <v>13</v>
      </c>
      <c r="O61" s="14">
        <v>678.32</v>
      </c>
      <c r="P61">
        <f>VLOOKUP(L61,'Product-cost'!A:B,2,FALSE)</f>
        <v>300</v>
      </c>
      <c r="Q61" t="s">
        <v>51</v>
      </c>
      <c r="R61" t="s">
        <v>26</v>
      </c>
      <c r="T61" t="s">
        <v>895</v>
      </c>
      <c r="U61" s="14">
        <f t="shared" si="5"/>
        <v>8818.16</v>
      </c>
      <c r="V61" s="14">
        <f t="shared" si="6"/>
        <v>3900</v>
      </c>
      <c r="W61" s="10">
        <f>VLOOKUP(Q61,Taxrate!A:B,2,FALSE)</f>
        <v>7.0000000000000007E-2</v>
      </c>
      <c r="X61" s="14">
        <f t="shared" si="7"/>
        <v>617.27120000000002</v>
      </c>
      <c r="Y61" s="10">
        <f>VLOOKUP(L61,'Discount Rate'!A:B,2,FALSE)</f>
        <v>0.1</v>
      </c>
      <c r="Z61" s="14">
        <f t="shared" si="8"/>
        <v>881.81600000000003</v>
      </c>
      <c r="AA61" s="14">
        <f t="shared" si="9"/>
        <v>7319.0728000000008</v>
      </c>
      <c r="AB61" s="14">
        <f t="shared" si="10"/>
        <v>3419.0728000000008</v>
      </c>
    </row>
    <row r="62" spans="1:28" x14ac:dyDescent="0.25">
      <c r="A62" t="s">
        <v>205</v>
      </c>
      <c r="B62" t="s">
        <v>206</v>
      </c>
      <c r="C62" t="s">
        <v>126</v>
      </c>
      <c r="D62" t="s">
        <v>22</v>
      </c>
      <c r="E62" s="1">
        <v>45235</v>
      </c>
      <c r="F62" s="8">
        <f t="shared" si="0"/>
        <v>2023</v>
      </c>
      <c r="G62" s="1" t="str">
        <f t="shared" si="1"/>
        <v>November</v>
      </c>
      <c r="H62" s="1" t="str">
        <f t="shared" si="2"/>
        <v>Sunday</v>
      </c>
      <c r="I62" s="2">
        <v>0.65929398148148144</v>
      </c>
      <c r="J62" s="8">
        <f t="shared" si="3"/>
        <v>15</v>
      </c>
      <c r="K62" s="8">
        <f t="shared" si="4"/>
        <v>49</v>
      </c>
      <c r="L62" t="s">
        <v>46</v>
      </c>
      <c r="M62" t="s">
        <v>47</v>
      </c>
      <c r="N62">
        <v>8</v>
      </c>
      <c r="O62" s="14">
        <v>280</v>
      </c>
      <c r="P62">
        <f>VLOOKUP(L62,'Product-cost'!A:B,2,FALSE)</f>
        <v>150</v>
      </c>
      <c r="Q62" t="s">
        <v>51</v>
      </c>
      <c r="R62" t="s">
        <v>26</v>
      </c>
      <c r="T62" t="s">
        <v>895</v>
      </c>
      <c r="U62" s="14">
        <f t="shared" si="5"/>
        <v>2240</v>
      </c>
      <c r="V62" s="14">
        <f t="shared" si="6"/>
        <v>1200</v>
      </c>
      <c r="W62" s="10">
        <f>VLOOKUP(Q62,Taxrate!A:B,2,FALSE)</f>
        <v>7.0000000000000007E-2</v>
      </c>
      <c r="X62" s="14">
        <f t="shared" si="7"/>
        <v>156.80000000000001</v>
      </c>
      <c r="Y62" s="10">
        <f>VLOOKUP(L62,'Discount Rate'!A:B,2,FALSE)</f>
        <v>7.0000000000000007E-2</v>
      </c>
      <c r="Z62" s="14">
        <f t="shared" si="8"/>
        <v>156.80000000000001</v>
      </c>
      <c r="AA62" s="14">
        <f t="shared" si="9"/>
        <v>1926.3999999999999</v>
      </c>
      <c r="AB62" s="14">
        <f t="shared" si="10"/>
        <v>726.39999999999986</v>
      </c>
    </row>
    <row r="63" spans="1:28" x14ac:dyDescent="0.25">
      <c r="A63" t="s">
        <v>207</v>
      </c>
      <c r="B63" t="s">
        <v>208</v>
      </c>
      <c r="C63" t="s">
        <v>155</v>
      </c>
      <c r="D63" t="s">
        <v>156</v>
      </c>
      <c r="E63" s="1">
        <v>46184</v>
      </c>
      <c r="F63" s="8">
        <f t="shared" si="0"/>
        <v>2026</v>
      </c>
      <c r="G63" s="1" t="str">
        <f t="shared" si="1"/>
        <v>June</v>
      </c>
      <c r="H63" s="1" t="str">
        <f t="shared" si="2"/>
        <v>Thursday</v>
      </c>
      <c r="I63" s="2">
        <v>0.65692129629629625</v>
      </c>
      <c r="J63" s="8">
        <f t="shared" si="3"/>
        <v>15</v>
      </c>
      <c r="K63" s="8">
        <f t="shared" si="4"/>
        <v>45</v>
      </c>
      <c r="L63" t="s">
        <v>73</v>
      </c>
      <c r="M63" t="s">
        <v>74</v>
      </c>
      <c r="N63">
        <v>7</v>
      </c>
      <c r="O63" s="14">
        <v>500</v>
      </c>
      <c r="P63">
        <f>VLOOKUP(L63,'Product-cost'!A:B,2,FALSE)</f>
        <v>50</v>
      </c>
      <c r="Q63" t="s">
        <v>55</v>
      </c>
      <c r="R63" t="s">
        <v>157</v>
      </c>
      <c r="S63" t="s">
        <v>123</v>
      </c>
      <c r="T63" t="s">
        <v>893</v>
      </c>
      <c r="U63" s="14">
        <f t="shared" si="5"/>
        <v>3500</v>
      </c>
      <c r="V63" s="14">
        <f t="shared" si="6"/>
        <v>350</v>
      </c>
      <c r="W63" s="10">
        <f>VLOOKUP(Q63,Taxrate!A:B,2,FALSE)</f>
        <v>0.12</v>
      </c>
      <c r="X63" s="14">
        <f t="shared" si="7"/>
        <v>420</v>
      </c>
      <c r="Y63" s="10">
        <f>VLOOKUP(L63,'Discount Rate'!A:B,2,FALSE)</f>
        <v>0.03</v>
      </c>
      <c r="Z63" s="14">
        <f t="shared" si="8"/>
        <v>105</v>
      </c>
      <c r="AA63" s="14">
        <f t="shared" si="9"/>
        <v>2975</v>
      </c>
      <c r="AB63" s="14">
        <f t="shared" si="10"/>
        <v>2625</v>
      </c>
    </row>
    <row r="64" spans="1:28" x14ac:dyDescent="0.25">
      <c r="A64" t="s">
        <v>209</v>
      </c>
      <c r="B64" t="s">
        <v>210</v>
      </c>
      <c r="C64" t="s">
        <v>91</v>
      </c>
      <c r="D64" t="s">
        <v>92</v>
      </c>
      <c r="E64" s="1">
        <v>45130</v>
      </c>
      <c r="F64" s="8">
        <f t="shared" si="0"/>
        <v>2023</v>
      </c>
      <c r="G64" s="1" t="str">
        <f t="shared" si="1"/>
        <v>July</v>
      </c>
      <c r="H64" s="1" t="str">
        <f t="shared" si="2"/>
        <v>Sunday</v>
      </c>
      <c r="I64" s="2">
        <v>0.90394675925925927</v>
      </c>
      <c r="J64" s="8">
        <f t="shared" si="3"/>
        <v>21</v>
      </c>
      <c r="K64" s="8">
        <f t="shared" si="4"/>
        <v>41</v>
      </c>
      <c r="L64" t="s">
        <v>46</v>
      </c>
      <c r="M64" t="s">
        <v>47</v>
      </c>
      <c r="N64">
        <v>4</v>
      </c>
      <c r="O64" s="14">
        <v>273.69</v>
      </c>
      <c r="P64">
        <f>VLOOKUP(L64,'Product-cost'!A:B,2,FALSE)</f>
        <v>150</v>
      </c>
      <c r="Q64" t="s">
        <v>39</v>
      </c>
      <c r="R64" t="s">
        <v>112</v>
      </c>
      <c r="S64" t="s">
        <v>34</v>
      </c>
      <c r="T64" t="s">
        <v>893</v>
      </c>
      <c r="U64" s="14">
        <f t="shared" si="5"/>
        <v>1094.76</v>
      </c>
      <c r="V64" s="14">
        <f t="shared" si="6"/>
        <v>600</v>
      </c>
      <c r="W64" s="10">
        <f>VLOOKUP(Q64,Taxrate!A:B,2,FALSE)</f>
        <v>0.15</v>
      </c>
      <c r="X64" s="14">
        <f t="shared" si="7"/>
        <v>164.214</v>
      </c>
      <c r="Y64" s="10">
        <f>VLOOKUP(L64,'Discount Rate'!A:B,2,FALSE)</f>
        <v>7.0000000000000007E-2</v>
      </c>
      <c r="Z64" s="14">
        <f t="shared" si="8"/>
        <v>76.633200000000002</v>
      </c>
      <c r="AA64" s="14">
        <f t="shared" si="9"/>
        <v>853.91280000000006</v>
      </c>
      <c r="AB64" s="14">
        <f t="shared" si="10"/>
        <v>253.91280000000006</v>
      </c>
    </row>
    <row r="65" spans="1:28" x14ac:dyDescent="0.25">
      <c r="A65" t="s">
        <v>211</v>
      </c>
      <c r="B65" t="s">
        <v>212</v>
      </c>
      <c r="C65" t="s">
        <v>72</v>
      </c>
      <c r="D65" t="s">
        <v>59</v>
      </c>
      <c r="E65" s="1">
        <v>45084</v>
      </c>
      <c r="F65" s="8">
        <f t="shared" si="0"/>
        <v>2023</v>
      </c>
      <c r="G65" s="1" t="str">
        <f t="shared" si="1"/>
        <v>June</v>
      </c>
      <c r="H65" s="1" t="str">
        <f t="shared" si="2"/>
        <v>Wednesday</v>
      </c>
      <c r="I65" s="2">
        <v>0.39381944444444444</v>
      </c>
      <c r="J65" s="8">
        <f t="shared" si="3"/>
        <v>9</v>
      </c>
      <c r="K65" s="8">
        <f t="shared" si="4"/>
        <v>27</v>
      </c>
      <c r="L65" t="s">
        <v>30</v>
      </c>
      <c r="M65" t="s">
        <v>31</v>
      </c>
      <c r="N65">
        <v>9</v>
      </c>
      <c r="O65" s="14">
        <v>500</v>
      </c>
      <c r="P65">
        <f>VLOOKUP(L65,'Product-cost'!A:B,2,FALSE)</f>
        <v>200</v>
      </c>
      <c r="Q65" t="s">
        <v>55</v>
      </c>
      <c r="R65" t="s">
        <v>75</v>
      </c>
      <c r="S65" t="s">
        <v>213</v>
      </c>
      <c r="T65" t="s">
        <v>894</v>
      </c>
      <c r="U65" s="14">
        <f t="shared" si="5"/>
        <v>4500</v>
      </c>
      <c r="V65" s="14">
        <f t="shared" si="6"/>
        <v>1800</v>
      </c>
      <c r="W65" s="10">
        <f>VLOOKUP(Q65,Taxrate!A:B,2,FALSE)</f>
        <v>0.12</v>
      </c>
      <c r="X65" s="14">
        <f t="shared" si="7"/>
        <v>540</v>
      </c>
      <c r="Y65" s="10">
        <f>VLOOKUP(L65,'Discount Rate'!A:B,2,FALSE)</f>
        <v>0.08</v>
      </c>
      <c r="Z65" s="14">
        <f t="shared" si="8"/>
        <v>360</v>
      </c>
      <c r="AA65" s="14">
        <f t="shared" si="9"/>
        <v>3600</v>
      </c>
      <c r="AB65" s="14">
        <f t="shared" si="10"/>
        <v>1800</v>
      </c>
    </row>
    <row r="66" spans="1:28" x14ac:dyDescent="0.25">
      <c r="A66" t="s">
        <v>214</v>
      </c>
      <c r="B66" t="s">
        <v>215</v>
      </c>
      <c r="C66" t="s">
        <v>118</v>
      </c>
      <c r="D66" t="s">
        <v>59</v>
      </c>
      <c r="E66" s="1">
        <v>44934</v>
      </c>
      <c r="F66" s="8">
        <f t="shared" si="0"/>
        <v>2023</v>
      </c>
      <c r="G66" s="1" t="str">
        <f t="shared" si="1"/>
        <v>January</v>
      </c>
      <c r="H66" s="1" t="str">
        <f t="shared" si="2"/>
        <v>Sunday</v>
      </c>
      <c r="I66" s="2">
        <v>0.44618055555555558</v>
      </c>
      <c r="J66" s="8">
        <f t="shared" si="3"/>
        <v>10</v>
      </c>
      <c r="K66" s="8">
        <f t="shared" si="4"/>
        <v>42</v>
      </c>
      <c r="L66" t="s">
        <v>23</v>
      </c>
      <c r="M66" t="s">
        <v>24</v>
      </c>
      <c r="N66">
        <v>6</v>
      </c>
      <c r="O66" s="14">
        <v>590.27</v>
      </c>
      <c r="P66">
        <f>VLOOKUP(L66,'Product-cost'!A:B,2,FALSE)</f>
        <v>300</v>
      </c>
      <c r="Q66" t="s">
        <v>25</v>
      </c>
      <c r="R66" t="s">
        <v>60</v>
      </c>
      <c r="S66" t="s">
        <v>18</v>
      </c>
      <c r="T66" t="s">
        <v>893</v>
      </c>
      <c r="U66" s="14">
        <f t="shared" si="5"/>
        <v>3541.62</v>
      </c>
      <c r="V66" s="14">
        <f t="shared" si="6"/>
        <v>1800</v>
      </c>
      <c r="W66" s="10">
        <f>VLOOKUP(Q66,Taxrate!A:B,2,FALSE)</f>
        <v>0.1</v>
      </c>
      <c r="X66" s="14">
        <f t="shared" si="7"/>
        <v>354.16200000000003</v>
      </c>
      <c r="Y66" s="10">
        <f>VLOOKUP(L66,'Discount Rate'!A:B,2,FALSE)</f>
        <v>0.1</v>
      </c>
      <c r="Z66" s="14">
        <f t="shared" si="8"/>
        <v>354.16200000000003</v>
      </c>
      <c r="AA66" s="14">
        <f t="shared" si="9"/>
        <v>2833.2959999999994</v>
      </c>
      <c r="AB66" s="14">
        <f t="shared" si="10"/>
        <v>1033.2959999999994</v>
      </c>
    </row>
    <row r="67" spans="1:28" x14ac:dyDescent="0.25">
      <c r="A67" t="s">
        <v>216</v>
      </c>
      <c r="B67" t="s">
        <v>217</v>
      </c>
      <c r="C67" t="s">
        <v>58</v>
      </c>
      <c r="D67" t="s">
        <v>59</v>
      </c>
      <c r="E67" s="1">
        <v>46307</v>
      </c>
      <c r="F67" s="8">
        <f t="shared" ref="F67:F130" si="11">YEAR(E67)</f>
        <v>2026</v>
      </c>
      <c r="G67" s="1" t="str">
        <f t="shared" ref="G67:G130" si="12">TEXT(E67,"mmmm")</f>
        <v>October</v>
      </c>
      <c r="H67" s="1" t="str">
        <f t="shared" ref="H67:H130" si="13">TEXT(E67, "dddd")</f>
        <v>Monday</v>
      </c>
      <c r="I67" s="2">
        <v>0.55694444444444446</v>
      </c>
      <c r="J67" s="8">
        <f t="shared" ref="J67:J130" si="14">HOUR(I67)</f>
        <v>13</v>
      </c>
      <c r="K67" s="8">
        <f t="shared" ref="K67:K130" si="15">MINUTE(I67)</f>
        <v>22</v>
      </c>
      <c r="L67" t="s">
        <v>23</v>
      </c>
      <c r="M67" t="s">
        <v>24</v>
      </c>
      <c r="N67">
        <v>10</v>
      </c>
      <c r="O67" s="14">
        <v>500.88</v>
      </c>
      <c r="P67">
        <f>VLOOKUP(L67,'Product-cost'!A:B,2,FALSE)</f>
        <v>300</v>
      </c>
      <c r="Q67" t="s">
        <v>51</v>
      </c>
      <c r="R67" t="s">
        <v>75</v>
      </c>
      <c r="S67" t="s">
        <v>88</v>
      </c>
      <c r="T67" t="s">
        <v>893</v>
      </c>
      <c r="U67" s="14">
        <f t="shared" ref="U67:U130" si="16">O67*N67</f>
        <v>5008.8</v>
      </c>
      <c r="V67" s="14">
        <f t="shared" ref="V67:V130" si="17">P67*N67</f>
        <v>3000</v>
      </c>
      <c r="W67" s="10">
        <f>VLOOKUP(Q67,Taxrate!A:B,2,FALSE)</f>
        <v>7.0000000000000007E-2</v>
      </c>
      <c r="X67" s="14">
        <f t="shared" ref="X67:X130" si="18">U67*W67</f>
        <v>350.61600000000004</v>
      </c>
      <c r="Y67" s="10">
        <f>VLOOKUP(L67,'Discount Rate'!A:B,2,FALSE)</f>
        <v>0.1</v>
      </c>
      <c r="Z67" s="14">
        <f t="shared" ref="Z67:Z130" si="19">Y67*U67</f>
        <v>500.88000000000005</v>
      </c>
      <c r="AA67" s="14">
        <f t="shared" ref="AA67:AA130" si="20">U67-X67-Z67</f>
        <v>4157.3040000000001</v>
      </c>
      <c r="AB67" s="14">
        <f t="shared" ref="AB67:AB130" si="21">AA67-V67</f>
        <v>1157.3040000000001</v>
      </c>
    </row>
    <row r="68" spans="1:28" x14ac:dyDescent="0.25">
      <c r="A68" t="s">
        <v>218</v>
      </c>
      <c r="B68" t="s">
        <v>219</v>
      </c>
      <c r="C68" t="s">
        <v>165</v>
      </c>
      <c r="D68" t="s">
        <v>38</v>
      </c>
      <c r="E68" s="1">
        <v>45034</v>
      </c>
      <c r="F68" s="8">
        <f t="shared" si="11"/>
        <v>2023</v>
      </c>
      <c r="G68" s="1" t="str">
        <f t="shared" si="12"/>
        <v>April</v>
      </c>
      <c r="H68" s="1" t="str">
        <f t="shared" si="13"/>
        <v>Tuesday</v>
      </c>
      <c r="I68" s="2">
        <v>0.45045138888888892</v>
      </c>
      <c r="J68" s="8">
        <f t="shared" si="14"/>
        <v>10</v>
      </c>
      <c r="K68" s="8">
        <f t="shared" si="15"/>
        <v>48</v>
      </c>
      <c r="L68" t="s">
        <v>15</v>
      </c>
      <c r="M68" t="s">
        <v>16</v>
      </c>
      <c r="N68">
        <v>5</v>
      </c>
      <c r="O68" s="14">
        <v>1012.01</v>
      </c>
      <c r="P68">
        <f>VLOOKUP(L68,'Product-cost'!A:B,2,FALSE)</f>
        <v>600</v>
      </c>
      <c r="Q68" t="s">
        <v>55</v>
      </c>
      <c r="R68" t="s">
        <v>84</v>
      </c>
      <c r="S68" t="s">
        <v>34</v>
      </c>
      <c r="T68" t="s">
        <v>893</v>
      </c>
      <c r="U68" s="14">
        <f t="shared" si="16"/>
        <v>5060.05</v>
      </c>
      <c r="V68" s="14">
        <f t="shared" si="17"/>
        <v>3000</v>
      </c>
      <c r="W68" s="10">
        <f>VLOOKUP(Q68,Taxrate!A:B,2,FALSE)</f>
        <v>0.12</v>
      </c>
      <c r="X68" s="14">
        <f t="shared" si="18"/>
        <v>607.20600000000002</v>
      </c>
      <c r="Y68" s="10">
        <f>VLOOKUP(L68,'Discount Rate'!A:B,2,FALSE)</f>
        <v>0.05</v>
      </c>
      <c r="Z68" s="14">
        <f t="shared" si="19"/>
        <v>253.00250000000003</v>
      </c>
      <c r="AA68" s="14">
        <f t="shared" si="20"/>
        <v>4199.8415000000005</v>
      </c>
      <c r="AB68" s="14">
        <f t="shared" si="21"/>
        <v>1199.8415000000005</v>
      </c>
    </row>
    <row r="69" spans="1:28" x14ac:dyDescent="0.25">
      <c r="A69" t="s">
        <v>220</v>
      </c>
      <c r="B69" t="s">
        <v>221</v>
      </c>
      <c r="C69" t="s">
        <v>72</v>
      </c>
      <c r="D69" t="s">
        <v>59</v>
      </c>
      <c r="E69" s="1">
        <v>45020</v>
      </c>
      <c r="F69" s="8">
        <f t="shared" si="11"/>
        <v>2023</v>
      </c>
      <c r="G69" s="1" t="str">
        <f t="shared" si="12"/>
        <v>April</v>
      </c>
      <c r="H69" s="1" t="str">
        <f t="shared" si="13"/>
        <v>Tuesday</v>
      </c>
      <c r="I69" s="2">
        <v>0.60975694444444439</v>
      </c>
      <c r="J69" s="8">
        <f t="shared" si="14"/>
        <v>14</v>
      </c>
      <c r="K69" s="8">
        <f t="shared" si="15"/>
        <v>38</v>
      </c>
      <c r="L69" t="s">
        <v>15</v>
      </c>
      <c r="M69" t="s">
        <v>16</v>
      </c>
      <c r="N69">
        <v>4</v>
      </c>
      <c r="O69" s="14">
        <v>1182.08</v>
      </c>
      <c r="P69">
        <f>VLOOKUP(L69,'Product-cost'!A:B,2,FALSE)</f>
        <v>600</v>
      </c>
      <c r="Q69" t="s">
        <v>25</v>
      </c>
      <c r="R69" t="s">
        <v>222</v>
      </c>
      <c r="T69" t="s">
        <v>895</v>
      </c>
      <c r="U69" s="14">
        <f t="shared" si="16"/>
        <v>4728.32</v>
      </c>
      <c r="V69" s="14">
        <f t="shared" si="17"/>
        <v>2400</v>
      </c>
      <c r="W69" s="10">
        <f>VLOOKUP(Q69,Taxrate!A:B,2,FALSE)</f>
        <v>0.1</v>
      </c>
      <c r="X69" s="14">
        <f t="shared" si="18"/>
        <v>472.83199999999999</v>
      </c>
      <c r="Y69" s="10">
        <f>VLOOKUP(L69,'Discount Rate'!A:B,2,FALSE)</f>
        <v>0.05</v>
      </c>
      <c r="Z69" s="14">
        <f t="shared" si="19"/>
        <v>236.416</v>
      </c>
      <c r="AA69" s="14">
        <f t="shared" si="20"/>
        <v>4019.0719999999992</v>
      </c>
      <c r="AB69" s="14">
        <f t="shared" si="21"/>
        <v>1619.0719999999992</v>
      </c>
    </row>
    <row r="70" spans="1:28" x14ac:dyDescent="0.25">
      <c r="A70" t="s">
        <v>223</v>
      </c>
      <c r="B70" t="s">
        <v>224</v>
      </c>
      <c r="C70" t="s">
        <v>37</v>
      </c>
      <c r="D70" t="s">
        <v>38</v>
      </c>
      <c r="E70" s="1">
        <v>45740</v>
      </c>
      <c r="F70" s="8">
        <f t="shared" si="11"/>
        <v>2025</v>
      </c>
      <c r="G70" s="1" t="str">
        <f t="shared" si="12"/>
        <v>March</v>
      </c>
      <c r="H70" s="1" t="str">
        <f t="shared" si="13"/>
        <v>Monday</v>
      </c>
      <c r="I70" s="2">
        <v>0.58436342592592594</v>
      </c>
      <c r="J70" s="8">
        <f t="shared" si="14"/>
        <v>14</v>
      </c>
      <c r="K70" s="8">
        <f t="shared" si="15"/>
        <v>1</v>
      </c>
      <c r="L70" t="s">
        <v>15</v>
      </c>
      <c r="M70" t="s">
        <v>16</v>
      </c>
      <c r="N70">
        <v>10</v>
      </c>
      <c r="O70" s="14">
        <v>1002.21</v>
      </c>
      <c r="P70">
        <f>VLOOKUP(L70,'Product-cost'!A:B,2,FALSE)</f>
        <v>600</v>
      </c>
      <c r="Q70" t="s">
        <v>39</v>
      </c>
      <c r="R70" t="s">
        <v>84</v>
      </c>
      <c r="S70" t="s">
        <v>115</v>
      </c>
      <c r="T70" t="s">
        <v>893</v>
      </c>
      <c r="U70" s="14">
        <f t="shared" si="16"/>
        <v>10022.1</v>
      </c>
      <c r="V70" s="14">
        <f t="shared" si="17"/>
        <v>6000</v>
      </c>
      <c r="W70" s="10">
        <f>VLOOKUP(Q70,Taxrate!A:B,2,FALSE)</f>
        <v>0.15</v>
      </c>
      <c r="X70" s="14">
        <f t="shared" si="18"/>
        <v>1503.3150000000001</v>
      </c>
      <c r="Y70" s="10">
        <f>VLOOKUP(L70,'Discount Rate'!A:B,2,FALSE)</f>
        <v>0.05</v>
      </c>
      <c r="Z70" s="14">
        <f t="shared" si="19"/>
        <v>501.10500000000002</v>
      </c>
      <c r="AA70" s="14">
        <f t="shared" si="20"/>
        <v>8017.68</v>
      </c>
      <c r="AB70" s="14">
        <f t="shared" si="21"/>
        <v>2017.6800000000003</v>
      </c>
    </row>
    <row r="71" spans="1:28" x14ac:dyDescent="0.25">
      <c r="A71" t="s">
        <v>225</v>
      </c>
      <c r="B71" t="s">
        <v>50</v>
      </c>
      <c r="C71" t="s">
        <v>66</v>
      </c>
      <c r="D71" t="s">
        <v>67</v>
      </c>
      <c r="E71" s="1">
        <v>45054</v>
      </c>
      <c r="F71" s="8">
        <f t="shared" si="11"/>
        <v>2023</v>
      </c>
      <c r="G71" s="1" t="str">
        <f t="shared" si="12"/>
        <v>May</v>
      </c>
      <c r="H71" s="1" t="str">
        <f t="shared" si="13"/>
        <v>Monday</v>
      </c>
      <c r="I71" s="2">
        <v>0.60931712962962958</v>
      </c>
      <c r="J71" s="8">
        <f t="shared" si="14"/>
        <v>14</v>
      </c>
      <c r="K71" s="8">
        <f t="shared" si="15"/>
        <v>37</v>
      </c>
      <c r="L71" t="s">
        <v>46</v>
      </c>
      <c r="M71" t="s">
        <v>47</v>
      </c>
      <c r="N71">
        <v>7</v>
      </c>
      <c r="O71" s="14">
        <v>258.04000000000002</v>
      </c>
      <c r="P71">
        <f>VLOOKUP(L71,'Product-cost'!A:B,2,FALSE)</f>
        <v>150</v>
      </c>
      <c r="Q71" t="s">
        <v>32</v>
      </c>
      <c r="R71" t="s">
        <v>68</v>
      </c>
      <c r="S71" t="s">
        <v>34</v>
      </c>
      <c r="T71" t="s">
        <v>893</v>
      </c>
      <c r="U71" s="14">
        <f t="shared" si="16"/>
        <v>1806.2800000000002</v>
      </c>
      <c r="V71" s="14">
        <f t="shared" si="17"/>
        <v>1050</v>
      </c>
      <c r="W71" s="10">
        <f>VLOOKUP(Q71,Taxrate!A:B,2,FALSE)</f>
        <v>0.2</v>
      </c>
      <c r="X71" s="14">
        <f t="shared" si="18"/>
        <v>361.25600000000009</v>
      </c>
      <c r="Y71" s="10">
        <f>VLOOKUP(L71,'Discount Rate'!A:B,2,FALSE)</f>
        <v>7.0000000000000007E-2</v>
      </c>
      <c r="Z71" s="14">
        <f t="shared" si="19"/>
        <v>126.43960000000003</v>
      </c>
      <c r="AA71" s="14">
        <f t="shared" si="20"/>
        <v>1318.5844000000002</v>
      </c>
      <c r="AB71" s="14">
        <f t="shared" si="21"/>
        <v>268.58440000000019</v>
      </c>
    </row>
    <row r="72" spans="1:28" x14ac:dyDescent="0.25">
      <c r="A72" t="s">
        <v>226</v>
      </c>
      <c r="B72" t="s">
        <v>227</v>
      </c>
      <c r="C72" t="s">
        <v>129</v>
      </c>
      <c r="D72" t="s">
        <v>22</v>
      </c>
      <c r="E72" s="1">
        <v>45137</v>
      </c>
      <c r="F72" s="8">
        <f t="shared" si="11"/>
        <v>2023</v>
      </c>
      <c r="G72" s="1" t="str">
        <f t="shared" si="12"/>
        <v>July</v>
      </c>
      <c r="H72" s="1" t="str">
        <f t="shared" si="13"/>
        <v>Sunday</v>
      </c>
      <c r="I72" s="2">
        <v>0.50846064814814818</v>
      </c>
      <c r="J72" s="8">
        <f t="shared" si="14"/>
        <v>12</v>
      </c>
      <c r="K72" s="8">
        <f t="shared" si="15"/>
        <v>12</v>
      </c>
      <c r="L72" t="s">
        <v>46</v>
      </c>
      <c r="M72" t="s">
        <v>47</v>
      </c>
      <c r="N72">
        <v>13</v>
      </c>
      <c r="O72" s="14">
        <v>195.49</v>
      </c>
      <c r="P72">
        <f>VLOOKUP(L72,'Product-cost'!A:B,2,FALSE)</f>
        <v>150</v>
      </c>
      <c r="Q72" t="s">
        <v>39</v>
      </c>
      <c r="R72" t="s">
        <v>52</v>
      </c>
      <c r="S72" t="s">
        <v>123</v>
      </c>
      <c r="T72" t="s">
        <v>893</v>
      </c>
      <c r="U72" s="14">
        <f t="shared" si="16"/>
        <v>2541.37</v>
      </c>
      <c r="V72" s="14">
        <f t="shared" si="17"/>
        <v>1950</v>
      </c>
      <c r="W72" s="10">
        <f>VLOOKUP(Q72,Taxrate!A:B,2,FALSE)</f>
        <v>0.15</v>
      </c>
      <c r="X72" s="14">
        <f t="shared" si="18"/>
        <v>381.20549999999997</v>
      </c>
      <c r="Y72" s="10">
        <f>VLOOKUP(L72,'Discount Rate'!A:B,2,FALSE)</f>
        <v>7.0000000000000007E-2</v>
      </c>
      <c r="Z72" s="14">
        <f t="shared" si="19"/>
        <v>177.89590000000001</v>
      </c>
      <c r="AA72" s="14">
        <f t="shared" si="20"/>
        <v>1982.2685999999999</v>
      </c>
      <c r="AB72" s="14">
        <f t="shared" si="21"/>
        <v>32.268599999999878</v>
      </c>
    </row>
    <row r="73" spans="1:28" x14ac:dyDescent="0.25">
      <c r="A73" t="s">
        <v>228</v>
      </c>
      <c r="B73" t="s">
        <v>229</v>
      </c>
      <c r="C73" t="s">
        <v>72</v>
      </c>
      <c r="D73" t="s">
        <v>59</v>
      </c>
      <c r="E73" s="1">
        <v>46220</v>
      </c>
      <c r="F73" s="8">
        <f t="shared" si="11"/>
        <v>2026</v>
      </c>
      <c r="G73" s="1" t="str">
        <f t="shared" si="12"/>
        <v>July</v>
      </c>
      <c r="H73" s="1" t="str">
        <f t="shared" si="13"/>
        <v>Friday</v>
      </c>
      <c r="I73" s="2">
        <v>0.84556712962962965</v>
      </c>
      <c r="J73" s="8">
        <f t="shared" si="14"/>
        <v>20</v>
      </c>
      <c r="K73" s="8">
        <f t="shared" si="15"/>
        <v>17</v>
      </c>
      <c r="L73" t="s">
        <v>15</v>
      </c>
      <c r="M73" t="s">
        <v>16</v>
      </c>
      <c r="N73">
        <v>2</v>
      </c>
      <c r="O73" s="14">
        <v>1025.96</v>
      </c>
      <c r="P73">
        <f>VLOOKUP(L73,'Product-cost'!A:B,2,FALSE)</f>
        <v>600</v>
      </c>
      <c r="Q73" t="s">
        <v>51</v>
      </c>
      <c r="R73" t="s">
        <v>222</v>
      </c>
      <c r="S73" t="s">
        <v>230</v>
      </c>
      <c r="T73" t="s">
        <v>893</v>
      </c>
      <c r="U73" s="14">
        <f t="shared" si="16"/>
        <v>2051.92</v>
      </c>
      <c r="V73" s="14">
        <f t="shared" si="17"/>
        <v>1200</v>
      </c>
      <c r="W73" s="10">
        <f>VLOOKUP(Q73,Taxrate!A:B,2,FALSE)</f>
        <v>7.0000000000000007E-2</v>
      </c>
      <c r="X73" s="14">
        <f t="shared" si="18"/>
        <v>143.63440000000003</v>
      </c>
      <c r="Y73" s="10">
        <f>VLOOKUP(L73,'Discount Rate'!A:B,2,FALSE)</f>
        <v>0.05</v>
      </c>
      <c r="Z73" s="14">
        <f t="shared" si="19"/>
        <v>102.596</v>
      </c>
      <c r="AA73" s="14">
        <f t="shared" si="20"/>
        <v>1805.6896000000002</v>
      </c>
      <c r="AB73" s="14">
        <f t="shared" si="21"/>
        <v>605.68960000000015</v>
      </c>
    </row>
    <row r="74" spans="1:28" x14ac:dyDescent="0.25">
      <c r="A74" t="s">
        <v>231</v>
      </c>
      <c r="B74" t="s">
        <v>232</v>
      </c>
      <c r="C74" t="s">
        <v>44</v>
      </c>
      <c r="D74" t="s">
        <v>45</v>
      </c>
      <c r="E74" s="1">
        <v>46097</v>
      </c>
      <c r="F74" s="8">
        <f t="shared" si="11"/>
        <v>2026</v>
      </c>
      <c r="G74" s="1" t="str">
        <f t="shared" si="12"/>
        <v>March</v>
      </c>
      <c r="H74" s="1" t="str">
        <f t="shared" si="13"/>
        <v>Monday</v>
      </c>
      <c r="I74" s="2">
        <v>0.56840277777777781</v>
      </c>
      <c r="J74" s="8">
        <f t="shared" si="14"/>
        <v>13</v>
      </c>
      <c r="K74" s="8">
        <f t="shared" si="15"/>
        <v>38</v>
      </c>
      <c r="L74" t="s">
        <v>46</v>
      </c>
      <c r="M74" t="s">
        <v>47</v>
      </c>
      <c r="N74">
        <v>1</v>
      </c>
      <c r="O74" s="14">
        <v>265.20999999999998</v>
      </c>
      <c r="P74">
        <f>VLOOKUP(L74,'Product-cost'!A:B,2,FALSE)</f>
        <v>150</v>
      </c>
      <c r="Q74" t="s">
        <v>25</v>
      </c>
      <c r="R74" t="s">
        <v>48</v>
      </c>
      <c r="S74" t="s">
        <v>152</v>
      </c>
      <c r="T74" t="s">
        <v>893</v>
      </c>
      <c r="U74" s="14">
        <f t="shared" si="16"/>
        <v>265.20999999999998</v>
      </c>
      <c r="V74" s="14">
        <f t="shared" si="17"/>
        <v>150</v>
      </c>
      <c r="W74" s="10">
        <f>VLOOKUP(Q74,Taxrate!A:B,2,FALSE)</f>
        <v>0.1</v>
      </c>
      <c r="X74" s="14">
        <f t="shared" si="18"/>
        <v>26.521000000000001</v>
      </c>
      <c r="Y74" s="10">
        <f>VLOOKUP(L74,'Discount Rate'!A:B,2,FALSE)</f>
        <v>7.0000000000000007E-2</v>
      </c>
      <c r="Z74" s="14">
        <f t="shared" si="19"/>
        <v>18.564700000000002</v>
      </c>
      <c r="AA74" s="14">
        <f t="shared" si="20"/>
        <v>220.12429999999995</v>
      </c>
      <c r="AB74" s="14">
        <f t="shared" si="21"/>
        <v>70.124299999999948</v>
      </c>
    </row>
    <row r="75" spans="1:28" x14ac:dyDescent="0.25">
      <c r="A75" t="s">
        <v>233</v>
      </c>
      <c r="B75" t="s">
        <v>234</v>
      </c>
      <c r="C75" t="s">
        <v>91</v>
      </c>
      <c r="D75" t="s">
        <v>92</v>
      </c>
      <c r="E75" s="1">
        <v>45672</v>
      </c>
      <c r="F75" s="8">
        <f t="shared" si="11"/>
        <v>2025</v>
      </c>
      <c r="G75" s="1" t="str">
        <f t="shared" si="12"/>
        <v>January</v>
      </c>
      <c r="H75" s="1" t="str">
        <f t="shared" si="13"/>
        <v>Wednesday</v>
      </c>
      <c r="I75" s="2">
        <v>0.51696759259259262</v>
      </c>
      <c r="J75" s="8">
        <f t="shared" si="14"/>
        <v>12</v>
      </c>
      <c r="K75" s="8">
        <f t="shared" si="15"/>
        <v>24</v>
      </c>
      <c r="L75" t="s">
        <v>30</v>
      </c>
      <c r="M75" t="s">
        <v>31</v>
      </c>
      <c r="N75">
        <v>1</v>
      </c>
      <c r="O75" s="14">
        <v>449.46</v>
      </c>
      <c r="P75">
        <f>VLOOKUP(L75,'Product-cost'!A:B,2,FALSE)</f>
        <v>200</v>
      </c>
      <c r="Q75" t="s">
        <v>51</v>
      </c>
      <c r="R75" t="s">
        <v>198</v>
      </c>
      <c r="T75" t="s">
        <v>895</v>
      </c>
      <c r="U75" s="14">
        <f t="shared" si="16"/>
        <v>449.46</v>
      </c>
      <c r="V75" s="14">
        <f t="shared" si="17"/>
        <v>200</v>
      </c>
      <c r="W75" s="10">
        <f>VLOOKUP(Q75,Taxrate!A:B,2,FALSE)</f>
        <v>7.0000000000000007E-2</v>
      </c>
      <c r="X75" s="14">
        <f t="shared" si="18"/>
        <v>31.462200000000003</v>
      </c>
      <c r="Y75" s="10">
        <f>VLOOKUP(L75,'Discount Rate'!A:B,2,FALSE)</f>
        <v>0.08</v>
      </c>
      <c r="Z75" s="14">
        <f t="shared" si="19"/>
        <v>35.956800000000001</v>
      </c>
      <c r="AA75" s="14">
        <f t="shared" si="20"/>
        <v>382.041</v>
      </c>
      <c r="AB75" s="14">
        <f t="shared" si="21"/>
        <v>182.041</v>
      </c>
    </row>
    <row r="76" spans="1:28" x14ac:dyDescent="0.25">
      <c r="A76" t="s">
        <v>235</v>
      </c>
      <c r="B76" t="s">
        <v>236</v>
      </c>
      <c r="C76" t="s">
        <v>129</v>
      </c>
      <c r="D76" t="s">
        <v>22</v>
      </c>
      <c r="E76" s="1">
        <v>45093</v>
      </c>
      <c r="F76" s="8">
        <f t="shared" si="11"/>
        <v>2023</v>
      </c>
      <c r="G76" s="1" t="str">
        <f t="shared" si="12"/>
        <v>June</v>
      </c>
      <c r="H76" s="1" t="str">
        <f t="shared" si="13"/>
        <v>Friday</v>
      </c>
      <c r="I76" s="2">
        <v>0.55533564814814818</v>
      </c>
      <c r="J76" s="8">
        <f t="shared" si="14"/>
        <v>13</v>
      </c>
      <c r="K76" s="8">
        <f t="shared" si="15"/>
        <v>19</v>
      </c>
      <c r="L76" t="s">
        <v>73</v>
      </c>
      <c r="M76" t="s">
        <v>74</v>
      </c>
      <c r="N76">
        <v>12</v>
      </c>
      <c r="O76" s="14">
        <v>143.22</v>
      </c>
      <c r="P76">
        <f>VLOOKUP(L76,'Product-cost'!A:B,2,FALSE)</f>
        <v>50</v>
      </c>
      <c r="Q76" t="s">
        <v>39</v>
      </c>
      <c r="R76" t="s">
        <v>143</v>
      </c>
      <c r="T76" t="s">
        <v>895</v>
      </c>
      <c r="U76" s="14">
        <f t="shared" si="16"/>
        <v>1718.6399999999999</v>
      </c>
      <c r="V76" s="14">
        <f t="shared" si="17"/>
        <v>600</v>
      </c>
      <c r="W76" s="10">
        <f>VLOOKUP(Q76,Taxrate!A:B,2,FALSE)</f>
        <v>0.15</v>
      </c>
      <c r="X76" s="14">
        <f t="shared" si="18"/>
        <v>257.79599999999999</v>
      </c>
      <c r="Y76" s="10">
        <f>VLOOKUP(L76,'Discount Rate'!A:B,2,FALSE)</f>
        <v>0.03</v>
      </c>
      <c r="Z76" s="14">
        <f t="shared" si="19"/>
        <v>51.559199999999997</v>
      </c>
      <c r="AA76" s="14">
        <f t="shared" si="20"/>
        <v>1409.2847999999999</v>
      </c>
      <c r="AB76" s="14">
        <f t="shared" si="21"/>
        <v>809.2847999999999</v>
      </c>
    </row>
    <row r="77" spans="1:28" x14ac:dyDescent="0.25">
      <c r="A77" t="s">
        <v>237</v>
      </c>
      <c r="B77" t="s">
        <v>238</v>
      </c>
      <c r="C77" t="s">
        <v>37</v>
      </c>
      <c r="D77" t="s">
        <v>38</v>
      </c>
      <c r="E77" s="1">
        <v>45413</v>
      </c>
      <c r="F77" s="8">
        <f t="shared" si="11"/>
        <v>2024</v>
      </c>
      <c r="G77" s="1" t="str">
        <f t="shared" si="12"/>
        <v>May</v>
      </c>
      <c r="H77" s="1" t="str">
        <f t="shared" si="13"/>
        <v>Wednesday</v>
      </c>
      <c r="I77" s="2">
        <v>0.57605324074074071</v>
      </c>
      <c r="J77" s="8">
        <f t="shared" si="14"/>
        <v>13</v>
      </c>
      <c r="K77" s="8">
        <f t="shared" si="15"/>
        <v>49</v>
      </c>
      <c r="L77" t="s">
        <v>23</v>
      </c>
      <c r="M77" t="s">
        <v>24</v>
      </c>
      <c r="N77">
        <v>3</v>
      </c>
      <c r="O77" s="14">
        <v>568.74</v>
      </c>
      <c r="P77">
        <f>VLOOKUP(L77,'Product-cost'!A:B,2,FALSE)</f>
        <v>300</v>
      </c>
      <c r="Q77" t="s">
        <v>51</v>
      </c>
      <c r="R77" t="s">
        <v>40</v>
      </c>
      <c r="T77" t="s">
        <v>895</v>
      </c>
      <c r="U77" s="14">
        <f t="shared" si="16"/>
        <v>1706.22</v>
      </c>
      <c r="V77" s="14">
        <f t="shared" si="17"/>
        <v>900</v>
      </c>
      <c r="W77" s="10">
        <f>VLOOKUP(Q77,Taxrate!A:B,2,FALSE)</f>
        <v>7.0000000000000007E-2</v>
      </c>
      <c r="X77" s="14">
        <f t="shared" si="18"/>
        <v>119.43540000000002</v>
      </c>
      <c r="Y77" s="10">
        <f>VLOOKUP(L77,'Discount Rate'!A:B,2,FALSE)</f>
        <v>0.1</v>
      </c>
      <c r="Z77" s="14">
        <f t="shared" si="19"/>
        <v>170.62200000000001</v>
      </c>
      <c r="AA77" s="14">
        <f t="shared" si="20"/>
        <v>1416.1625999999999</v>
      </c>
      <c r="AB77" s="14">
        <f t="shared" si="21"/>
        <v>516.16259999999988</v>
      </c>
    </row>
    <row r="78" spans="1:28" x14ac:dyDescent="0.25">
      <c r="A78" t="s">
        <v>239</v>
      </c>
      <c r="B78" t="s">
        <v>240</v>
      </c>
      <c r="C78" t="s">
        <v>91</v>
      </c>
      <c r="D78" t="s">
        <v>92</v>
      </c>
      <c r="E78" s="1">
        <v>45271</v>
      </c>
      <c r="F78" s="8">
        <f t="shared" si="11"/>
        <v>2023</v>
      </c>
      <c r="G78" s="1" t="str">
        <f t="shared" si="12"/>
        <v>December</v>
      </c>
      <c r="H78" s="1" t="str">
        <f t="shared" si="13"/>
        <v>Monday</v>
      </c>
      <c r="I78" s="2">
        <v>0.45398148148148149</v>
      </c>
      <c r="J78" s="8">
        <f t="shared" si="14"/>
        <v>10</v>
      </c>
      <c r="K78" s="8">
        <f t="shared" si="15"/>
        <v>53</v>
      </c>
      <c r="L78" t="s">
        <v>46</v>
      </c>
      <c r="M78" t="s">
        <v>47</v>
      </c>
      <c r="N78">
        <v>3</v>
      </c>
      <c r="O78" s="14">
        <v>180.81</v>
      </c>
      <c r="P78">
        <f>VLOOKUP(L78,'Product-cost'!A:B,2,FALSE)</f>
        <v>150</v>
      </c>
      <c r="Q78" t="s">
        <v>25</v>
      </c>
      <c r="R78" t="s">
        <v>112</v>
      </c>
      <c r="T78" t="s">
        <v>895</v>
      </c>
      <c r="U78" s="14">
        <f t="shared" si="16"/>
        <v>542.43000000000006</v>
      </c>
      <c r="V78" s="14">
        <f t="shared" si="17"/>
        <v>450</v>
      </c>
      <c r="W78" s="10">
        <f>VLOOKUP(Q78,Taxrate!A:B,2,FALSE)</f>
        <v>0.1</v>
      </c>
      <c r="X78" s="14">
        <f t="shared" si="18"/>
        <v>54.243000000000009</v>
      </c>
      <c r="Y78" s="10">
        <f>VLOOKUP(L78,'Discount Rate'!A:B,2,FALSE)</f>
        <v>7.0000000000000007E-2</v>
      </c>
      <c r="Z78" s="14">
        <f t="shared" si="19"/>
        <v>37.970100000000009</v>
      </c>
      <c r="AA78" s="14">
        <f t="shared" si="20"/>
        <v>450.21690000000007</v>
      </c>
      <c r="AB78" s="14">
        <f t="shared" si="21"/>
        <v>0.21690000000006648</v>
      </c>
    </row>
    <row r="79" spans="1:28" x14ac:dyDescent="0.25">
      <c r="A79" t="s">
        <v>241</v>
      </c>
      <c r="B79" t="s">
        <v>242</v>
      </c>
      <c r="C79" t="s">
        <v>118</v>
      </c>
      <c r="D79" t="s">
        <v>59</v>
      </c>
      <c r="E79" s="1">
        <v>45324</v>
      </c>
      <c r="F79" s="8">
        <f t="shared" si="11"/>
        <v>2024</v>
      </c>
      <c r="G79" s="1" t="str">
        <f t="shared" si="12"/>
        <v>February</v>
      </c>
      <c r="H79" s="1" t="str">
        <f t="shared" si="13"/>
        <v>Friday</v>
      </c>
      <c r="I79" s="2">
        <v>0.77532407407407411</v>
      </c>
      <c r="J79" s="8">
        <f t="shared" si="14"/>
        <v>18</v>
      </c>
      <c r="K79" s="8">
        <f t="shared" si="15"/>
        <v>36</v>
      </c>
      <c r="L79" t="s">
        <v>73</v>
      </c>
      <c r="M79" t="s">
        <v>74</v>
      </c>
      <c r="N79">
        <v>13</v>
      </c>
      <c r="O79" s="14">
        <v>159.56</v>
      </c>
      <c r="P79">
        <f>VLOOKUP(L79,'Product-cost'!A:B,2,FALSE)</f>
        <v>50</v>
      </c>
      <c r="Q79" t="s">
        <v>32</v>
      </c>
      <c r="R79" t="s">
        <v>60</v>
      </c>
      <c r="T79" t="s">
        <v>895</v>
      </c>
      <c r="U79" s="14">
        <f t="shared" si="16"/>
        <v>2074.2800000000002</v>
      </c>
      <c r="V79" s="14">
        <f t="shared" si="17"/>
        <v>650</v>
      </c>
      <c r="W79" s="10">
        <f>VLOOKUP(Q79,Taxrate!A:B,2,FALSE)</f>
        <v>0.2</v>
      </c>
      <c r="X79" s="14">
        <f t="shared" si="18"/>
        <v>414.85600000000005</v>
      </c>
      <c r="Y79" s="10">
        <f>VLOOKUP(L79,'Discount Rate'!A:B,2,FALSE)</f>
        <v>0.03</v>
      </c>
      <c r="Z79" s="14">
        <f t="shared" si="19"/>
        <v>62.228400000000001</v>
      </c>
      <c r="AA79" s="14">
        <f t="shared" si="20"/>
        <v>1597.1956000000002</v>
      </c>
      <c r="AB79" s="14">
        <f t="shared" si="21"/>
        <v>947.19560000000024</v>
      </c>
    </row>
    <row r="80" spans="1:28" x14ac:dyDescent="0.25">
      <c r="A80" t="s">
        <v>243</v>
      </c>
      <c r="B80" t="s">
        <v>244</v>
      </c>
      <c r="C80" t="s">
        <v>126</v>
      </c>
      <c r="D80" t="s">
        <v>22</v>
      </c>
      <c r="E80" s="1">
        <v>45451</v>
      </c>
      <c r="F80" s="8">
        <f t="shared" si="11"/>
        <v>2024</v>
      </c>
      <c r="G80" s="1" t="str">
        <f t="shared" si="12"/>
        <v>June</v>
      </c>
      <c r="H80" s="1" t="str">
        <f t="shared" si="13"/>
        <v>Saturday</v>
      </c>
      <c r="I80" s="2">
        <v>0.84047453703703701</v>
      </c>
      <c r="J80" s="8">
        <f t="shared" si="14"/>
        <v>20</v>
      </c>
      <c r="K80" s="8">
        <f t="shared" si="15"/>
        <v>10</v>
      </c>
      <c r="L80" t="s">
        <v>73</v>
      </c>
      <c r="M80" t="s">
        <v>74</v>
      </c>
      <c r="N80">
        <v>3</v>
      </c>
      <c r="O80" s="14">
        <v>126.88</v>
      </c>
      <c r="P80">
        <f>VLOOKUP(L80,'Product-cost'!A:B,2,FALSE)</f>
        <v>50</v>
      </c>
      <c r="Q80" t="s">
        <v>32</v>
      </c>
      <c r="R80" t="s">
        <v>26</v>
      </c>
      <c r="T80" t="s">
        <v>895</v>
      </c>
      <c r="U80" s="14">
        <f t="shared" si="16"/>
        <v>380.64</v>
      </c>
      <c r="V80" s="14">
        <f t="shared" si="17"/>
        <v>150</v>
      </c>
      <c r="W80" s="10">
        <f>VLOOKUP(Q80,Taxrate!A:B,2,FALSE)</f>
        <v>0.2</v>
      </c>
      <c r="X80" s="14">
        <f t="shared" si="18"/>
        <v>76.128</v>
      </c>
      <c r="Y80" s="10">
        <f>VLOOKUP(L80,'Discount Rate'!A:B,2,FALSE)</f>
        <v>0.03</v>
      </c>
      <c r="Z80" s="14">
        <f t="shared" si="19"/>
        <v>11.4192</v>
      </c>
      <c r="AA80" s="14">
        <f t="shared" si="20"/>
        <v>293.09280000000001</v>
      </c>
      <c r="AB80" s="14">
        <f t="shared" si="21"/>
        <v>143.09280000000001</v>
      </c>
    </row>
    <row r="81" spans="1:28" x14ac:dyDescent="0.25">
      <c r="A81" t="s">
        <v>245</v>
      </c>
      <c r="B81" t="s">
        <v>246</v>
      </c>
      <c r="C81" t="s">
        <v>37</v>
      </c>
      <c r="D81" t="s">
        <v>38</v>
      </c>
      <c r="E81" s="1">
        <v>44984</v>
      </c>
      <c r="F81" s="8">
        <f t="shared" si="11"/>
        <v>2023</v>
      </c>
      <c r="G81" s="1" t="str">
        <f t="shared" si="12"/>
        <v>February</v>
      </c>
      <c r="H81" s="1" t="str">
        <f t="shared" si="13"/>
        <v>Monday</v>
      </c>
      <c r="I81" s="2">
        <v>0.4123263888888889</v>
      </c>
      <c r="J81" s="8">
        <f t="shared" si="14"/>
        <v>9</v>
      </c>
      <c r="K81" s="8">
        <f t="shared" si="15"/>
        <v>53</v>
      </c>
      <c r="L81" t="s">
        <v>30</v>
      </c>
      <c r="M81" t="s">
        <v>31</v>
      </c>
      <c r="N81">
        <v>3</v>
      </c>
      <c r="O81" s="14">
        <v>500</v>
      </c>
      <c r="P81">
        <f>VLOOKUP(L81,'Product-cost'!A:B,2,FALSE)</f>
        <v>200</v>
      </c>
      <c r="Q81" t="s">
        <v>39</v>
      </c>
      <c r="R81" t="s">
        <v>84</v>
      </c>
      <c r="S81" t="s">
        <v>88</v>
      </c>
      <c r="T81" t="s">
        <v>893</v>
      </c>
      <c r="U81" s="14">
        <f t="shared" si="16"/>
        <v>1500</v>
      </c>
      <c r="V81" s="14">
        <f t="shared" si="17"/>
        <v>600</v>
      </c>
      <c r="W81" s="10">
        <f>VLOOKUP(Q81,Taxrate!A:B,2,FALSE)</f>
        <v>0.15</v>
      </c>
      <c r="X81" s="14">
        <f t="shared" si="18"/>
        <v>225</v>
      </c>
      <c r="Y81" s="10">
        <f>VLOOKUP(L81,'Discount Rate'!A:B,2,FALSE)</f>
        <v>0.08</v>
      </c>
      <c r="Z81" s="14">
        <f t="shared" si="19"/>
        <v>120</v>
      </c>
      <c r="AA81" s="14">
        <f t="shared" si="20"/>
        <v>1155</v>
      </c>
      <c r="AB81" s="14">
        <f t="shared" si="21"/>
        <v>555</v>
      </c>
    </row>
    <row r="82" spans="1:28" x14ac:dyDescent="0.25">
      <c r="A82" t="s">
        <v>247</v>
      </c>
      <c r="B82" t="s">
        <v>248</v>
      </c>
      <c r="C82" t="s">
        <v>129</v>
      </c>
      <c r="D82" t="s">
        <v>22</v>
      </c>
      <c r="E82" s="1">
        <v>46173</v>
      </c>
      <c r="F82" s="8">
        <f t="shared" si="11"/>
        <v>2026</v>
      </c>
      <c r="G82" s="1" t="str">
        <f t="shared" si="12"/>
        <v>May</v>
      </c>
      <c r="H82" s="1" t="str">
        <f t="shared" si="13"/>
        <v>Sunday</v>
      </c>
      <c r="I82" s="2">
        <v>0.40923611111111113</v>
      </c>
      <c r="J82" s="8">
        <f t="shared" si="14"/>
        <v>9</v>
      </c>
      <c r="K82" s="8">
        <f t="shared" si="15"/>
        <v>49</v>
      </c>
      <c r="L82" t="s">
        <v>23</v>
      </c>
      <c r="M82" t="s">
        <v>24</v>
      </c>
      <c r="N82">
        <v>1</v>
      </c>
      <c r="O82" s="14">
        <v>671.69</v>
      </c>
      <c r="P82">
        <f>VLOOKUP(L82,'Product-cost'!A:B,2,FALSE)</f>
        <v>300</v>
      </c>
      <c r="Q82" t="s">
        <v>55</v>
      </c>
      <c r="R82" t="s">
        <v>26</v>
      </c>
      <c r="S82" t="s">
        <v>18</v>
      </c>
      <c r="T82" t="s">
        <v>893</v>
      </c>
      <c r="U82" s="14">
        <f t="shared" si="16"/>
        <v>671.69</v>
      </c>
      <c r="V82" s="14">
        <f t="shared" si="17"/>
        <v>300</v>
      </c>
      <c r="W82" s="10">
        <f>VLOOKUP(Q82,Taxrate!A:B,2,FALSE)</f>
        <v>0.12</v>
      </c>
      <c r="X82" s="14">
        <f t="shared" si="18"/>
        <v>80.602800000000002</v>
      </c>
      <c r="Y82" s="10">
        <f>VLOOKUP(L82,'Discount Rate'!A:B,2,FALSE)</f>
        <v>0.1</v>
      </c>
      <c r="Z82" s="14">
        <f t="shared" si="19"/>
        <v>67.169000000000011</v>
      </c>
      <c r="AA82" s="14">
        <f t="shared" si="20"/>
        <v>523.91820000000007</v>
      </c>
      <c r="AB82" s="14">
        <f t="shared" si="21"/>
        <v>223.91820000000007</v>
      </c>
    </row>
    <row r="83" spans="1:28" x14ac:dyDescent="0.25">
      <c r="A83" t="s">
        <v>249</v>
      </c>
      <c r="B83" t="s">
        <v>250</v>
      </c>
      <c r="C83" t="s">
        <v>99</v>
      </c>
      <c r="D83" t="s">
        <v>100</v>
      </c>
      <c r="E83" s="1">
        <v>46186</v>
      </c>
      <c r="F83" s="8">
        <f t="shared" si="11"/>
        <v>2026</v>
      </c>
      <c r="G83" s="1" t="str">
        <f t="shared" si="12"/>
        <v>June</v>
      </c>
      <c r="H83" s="1" t="str">
        <f t="shared" si="13"/>
        <v>Saturday</v>
      </c>
      <c r="I83" s="2">
        <v>0.48363425925925924</v>
      </c>
      <c r="J83" s="8">
        <f t="shared" si="14"/>
        <v>11</v>
      </c>
      <c r="K83" s="8">
        <f t="shared" si="15"/>
        <v>36</v>
      </c>
      <c r="L83" t="s">
        <v>23</v>
      </c>
      <c r="M83" t="s">
        <v>24</v>
      </c>
      <c r="N83">
        <v>2</v>
      </c>
      <c r="O83" s="14">
        <v>588.17999999999995</v>
      </c>
      <c r="P83">
        <f>VLOOKUP(L83,'Product-cost'!A:B,2,FALSE)</f>
        <v>300</v>
      </c>
      <c r="Q83" t="s">
        <v>55</v>
      </c>
      <c r="R83" t="s">
        <v>105</v>
      </c>
      <c r="S83" t="s">
        <v>18</v>
      </c>
      <c r="T83" t="s">
        <v>893</v>
      </c>
      <c r="U83" s="14">
        <f t="shared" si="16"/>
        <v>1176.3599999999999</v>
      </c>
      <c r="V83" s="14">
        <f t="shared" si="17"/>
        <v>600</v>
      </c>
      <c r="W83" s="10">
        <f>VLOOKUP(Q83,Taxrate!A:B,2,FALSE)</f>
        <v>0.12</v>
      </c>
      <c r="X83" s="14">
        <f t="shared" si="18"/>
        <v>141.16319999999999</v>
      </c>
      <c r="Y83" s="10">
        <f>VLOOKUP(L83,'Discount Rate'!A:B,2,FALSE)</f>
        <v>0.1</v>
      </c>
      <c r="Z83" s="14">
        <f t="shared" si="19"/>
        <v>117.636</v>
      </c>
      <c r="AA83" s="14">
        <f t="shared" si="20"/>
        <v>917.56079999999997</v>
      </c>
      <c r="AB83" s="14">
        <f t="shared" si="21"/>
        <v>317.56079999999997</v>
      </c>
    </row>
    <row r="84" spans="1:28" x14ac:dyDescent="0.25">
      <c r="A84" t="s">
        <v>251</v>
      </c>
      <c r="B84" t="s">
        <v>57</v>
      </c>
      <c r="C84" t="s">
        <v>187</v>
      </c>
      <c r="D84" t="s">
        <v>156</v>
      </c>
      <c r="E84" s="1">
        <v>45658</v>
      </c>
      <c r="F84" s="8">
        <f t="shared" si="11"/>
        <v>2025</v>
      </c>
      <c r="G84" s="1" t="str">
        <f t="shared" si="12"/>
        <v>January</v>
      </c>
      <c r="H84" s="1" t="str">
        <f t="shared" si="13"/>
        <v>Wednesday</v>
      </c>
      <c r="I84" s="2">
        <v>0.55261574074074071</v>
      </c>
      <c r="J84" s="8">
        <f t="shared" si="14"/>
        <v>13</v>
      </c>
      <c r="K84" s="8">
        <f t="shared" si="15"/>
        <v>15</v>
      </c>
      <c r="L84" t="s">
        <v>15</v>
      </c>
      <c r="M84" t="s">
        <v>16</v>
      </c>
      <c r="N84">
        <v>12</v>
      </c>
      <c r="O84" s="14">
        <v>866.7</v>
      </c>
      <c r="P84">
        <f>VLOOKUP(L84,'Product-cost'!A:B,2,FALSE)</f>
        <v>600</v>
      </c>
      <c r="Q84" t="s">
        <v>25</v>
      </c>
      <c r="R84" t="s">
        <v>252</v>
      </c>
      <c r="S84" t="s">
        <v>88</v>
      </c>
      <c r="T84" t="s">
        <v>893</v>
      </c>
      <c r="U84" s="14">
        <f t="shared" si="16"/>
        <v>10400.400000000001</v>
      </c>
      <c r="V84" s="14">
        <f t="shared" si="17"/>
        <v>7200</v>
      </c>
      <c r="W84" s="10">
        <f>VLOOKUP(Q84,Taxrate!A:B,2,FALSE)</f>
        <v>0.1</v>
      </c>
      <c r="X84" s="14">
        <f t="shared" si="18"/>
        <v>1040.0400000000002</v>
      </c>
      <c r="Y84" s="10">
        <f>VLOOKUP(L84,'Discount Rate'!A:B,2,FALSE)</f>
        <v>0.05</v>
      </c>
      <c r="Z84" s="14">
        <f t="shared" si="19"/>
        <v>520.0200000000001</v>
      </c>
      <c r="AA84" s="14">
        <f t="shared" si="20"/>
        <v>8840.34</v>
      </c>
      <c r="AB84" s="14">
        <f t="shared" si="21"/>
        <v>1640.3400000000001</v>
      </c>
    </row>
    <row r="85" spans="1:28" x14ac:dyDescent="0.25">
      <c r="A85" t="s">
        <v>253</v>
      </c>
      <c r="B85" t="s">
        <v>254</v>
      </c>
      <c r="C85" t="s">
        <v>66</v>
      </c>
      <c r="D85" t="s">
        <v>67</v>
      </c>
      <c r="E85" s="1">
        <v>45002</v>
      </c>
      <c r="F85" s="8">
        <f t="shared" si="11"/>
        <v>2023</v>
      </c>
      <c r="G85" s="1" t="str">
        <f t="shared" si="12"/>
        <v>March</v>
      </c>
      <c r="H85" s="1" t="str">
        <f t="shared" si="13"/>
        <v>Friday</v>
      </c>
      <c r="I85" s="2">
        <v>0.46030092592592592</v>
      </c>
      <c r="J85" s="8">
        <f t="shared" si="14"/>
        <v>11</v>
      </c>
      <c r="K85" s="8">
        <f t="shared" si="15"/>
        <v>2</v>
      </c>
      <c r="L85" t="s">
        <v>23</v>
      </c>
      <c r="M85" t="s">
        <v>24</v>
      </c>
      <c r="N85">
        <v>6</v>
      </c>
      <c r="O85" s="14">
        <v>634.62</v>
      </c>
      <c r="P85">
        <f>VLOOKUP(L85,'Product-cost'!A:B,2,FALSE)</f>
        <v>300</v>
      </c>
      <c r="Q85" t="s">
        <v>55</v>
      </c>
      <c r="R85" t="s">
        <v>68</v>
      </c>
      <c r="T85" t="s">
        <v>895</v>
      </c>
      <c r="U85" s="14">
        <f t="shared" si="16"/>
        <v>3807.7200000000003</v>
      </c>
      <c r="V85" s="14">
        <f t="shared" si="17"/>
        <v>1800</v>
      </c>
      <c r="W85" s="10">
        <f>VLOOKUP(Q85,Taxrate!A:B,2,FALSE)</f>
        <v>0.12</v>
      </c>
      <c r="X85" s="14">
        <f t="shared" si="18"/>
        <v>456.9264</v>
      </c>
      <c r="Y85" s="10">
        <f>VLOOKUP(L85,'Discount Rate'!A:B,2,FALSE)</f>
        <v>0.1</v>
      </c>
      <c r="Z85" s="14">
        <f t="shared" si="19"/>
        <v>380.77200000000005</v>
      </c>
      <c r="AA85" s="14">
        <f t="shared" si="20"/>
        <v>2970.0216000000005</v>
      </c>
      <c r="AB85" s="14">
        <f t="shared" si="21"/>
        <v>1170.0216000000005</v>
      </c>
    </row>
    <row r="86" spans="1:28" x14ac:dyDescent="0.25">
      <c r="A86" t="s">
        <v>255</v>
      </c>
      <c r="B86" t="s">
        <v>256</v>
      </c>
      <c r="C86" t="s">
        <v>187</v>
      </c>
      <c r="D86" t="s">
        <v>156</v>
      </c>
      <c r="E86" s="1">
        <v>45680</v>
      </c>
      <c r="F86" s="8">
        <f t="shared" si="11"/>
        <v>2025</v>
      </c>
      <c r="G86" s="1" t="str">
        <f t="shared" si="12"/>
        <v>January</v>
      </c>
      <c r="H86" s="1" t="str">
        <f t="shared" si="13"/>
        <v>Thursday</v>
      </c>
      <c r="I86" s="2">
        <v>0.61629629629629634</v>
      </c>
      <c r="J86" s="8">
        <f t="shared" si="14"/>
        <v>14</v>
      </c>
      <c r="K86" s="8">
        <f t="shared" si="15"/>
        <v>47</v>
      </c>
      <c r="L86" t="s">
        <v>73</v>
      </c>
      <c r="M86" t="s">
        <v>74</v>
      </c>
      <c r="N86">
        <v>3</v>
      </c>
      <c r="O86" s="14">
        <v>157.31</v>
      </c>
      <c r="P86">
        <f>VLOOKUP(L86,'Product-cost'!A:B,2,FALSE)</f>
        <v>50</v>
      </c>
      <c r="Q86" t="s">
        <v>55</v>
      </c>
      <c r="R86" t="s">
        <v>252</v>
      </c>
      <c r="S86" t="s">
        <v>213</v>
      </c>
      <c r="T86" t="s">
        <v>894</v>
      </c>
      <c r="U86" s="14">
        <f t="shared" si="16"/>
        <v>471.93</v>
      </c>
      <c r="V86" s="14">
        <f t="shared" si="17"/>
        <v>150</v>
      </c>
      <c r="W86" s="10">
        <f>VLOOKUP(Q86,Taxrate!A:B,2,FALSE)</f>
        <v>0.12</v>
      </c>
      <c r="X86" s="14">
        <f t="shared" si="18"/>
        <v>56.631599999999999</v>
      </c>
      <c r="Y86" s="10">
        <f>VLOOKUP(L86,'Discount Rate'!A:B,2,FALSE)</f>
        <v>0.03</v>
      </c>
      <c r="Z86" s="14">
        <f t="shared" si="19"/>
        <v>14.1579</v>
      </c>
      <c r="AA86" s="14">
        <f t="shared" si="20"/>
        <v>401.14050000000003</v>
      </c>
      <c r="AB86" s="14">
        <f t="shared" si="21"/>
        <v>251.14050000000003</v>
      </c>
    </row>
    <row r="87" spans="1:28" x14ac:dyDescent="0.25">
      <c r="A87" t="s">
        <v>257</v>
      </c>
      <c r="B87" t="s">
        <v>258</v>
      </c>
      <c r="C87" t="s">
        <v>13</v>
      </c>
      <c r="D87" t="s">
        <v>14</v>
      </c>
      <c r="E87" s="1">
        <v>45333</v>
      </c>
      <c r="F87" s="8">
        <f t="shared" si="11"/>
        <v>2024</v>
      </c>
      <c r="G87" s="1" t="str">
        <f t="shared" si="12"/>
        <v>February</v>
      </c>
      <c r="H87" s="1" t="str">
        <f t="shared" si="13"/>
        <v>Sunday</v>
      </c>
      <c r="I87" s="2">
        <v>0.5198842592592593</v>
      </c>
      <c r="J87" s="8">
        <f t="shared" si="14"/>
        <v>12</v>
      </c>
      <c r="K87" s="8">
        <f t="shared" si="15"/>
        <v>28</v>
      </c>
      <c r="L87" t="s">
        <v>73</v>
      </c>
      <c r="M87" t="s">
        <v>74</v>
      </c>
      <c r="N87">
        <v>8</v>
      </c>
      <c r="O87" s="14">
        <v>123.18</v>
      </c>
      <c r="P87">
        <f>VLOOKUP(L87,'Product-cost'!A:B,2,FALSE)</f>
        <v>50</v>
      </c>
      <c r="Q87" t="s">
        <v>25</v>
      </c>
      <c r="R87" t="s">
        <v>17</v>
      </c>
      <c r="T87" t="s">
        <v>895</v>
      </c>
      <c r="U87" s="14">
        <f t="shared" si="16"/>
        <v>985.44</v>
      </c>
      <c r="V87" s="14">
        <f t="shared" si="17"/>
        <v>400</v>
      </c>
      <c r="W87" s="10">
        <f>VLOOKUP(Q87,Taxrate!A:B,2,FALSE)</f>
        <v>0.1</v>
      </c>
      <c r="X87" s="14">
        <f t="shared" si="18"/>
        <v>98.544000000000011</v>
      </c>
      <c r="Y87" s="10">
        <f>VLOOKUP(L87,'Discount Rate'!A:B,2,FALSE)</f>
        <v>0.03</v>
      </c>
      <c r="Z87" s="14">
        <f t="shared" si="19"/>
        <v>29.563200000000002</v>
      </c>
      <c r="AA87" s="14">
        <f t="shared" si="20"/>
        <v>857.33280000000002</v>
      </c>
      <c r="AB87" s="14">
        <f t="shared" si="21"/>
        <v>457.33280000000002</v>
      </c>
    </row>
    <row r="88" spans="1:28" x14ac:dyDescent="0.25">
      <c r="A88" t="s">
        <v>259</v>
      </c>
      <c r="B88" t="s">
        <v>260</v>
      </c>
      <c r="C88" t="s">
        <v>58</v>
      </c>
      <c r="D88" t="s">
        <v>59</v>
      </c>
      <c r="E88" s="1">
        <v>45219</v>
      </c>
      <c r="F88" s="8">
        <f t="shared" si="11"/>
        <v>2023</v>
      </c>
      <c r="G88" s="1" t="str">
        <f t="shared" si="12"/>
        <v>October</v>
      </c>
      <c r="H88" s="1" t="str">
        <f t="shared" si="13"/>
        <v>Friday</v>
      </c>
      <c r="I88" s="2">
        <v>0.33893518518518517</v>
      </c>
      <c r="J88" s="8">
        <f t="shared" si="14"/>
        <v>8</v>
      </c>
      <c r="K88" s="8">
        <f t="shared" si="15"/>
        <v>8</v>
      </c>
      <c r="L88" t="s">
        <v>23</v>
      </c>
      <c r="M88" t="s">
        <v>24</v>
      </c>
      <c r="N88">
        <v>6</v>
      </c>
      <c r="O88" s="14">
        <v>764.84</v>
      </c>
      <c r="P88">
        <f>VLOOKUP(L88,'Product-cost'!A:B,2,FALSE)</f>
        <v>300</v>
      </c>
      <c r="Q88" t="s">
        <v>51</v>
      </c>
      <c r="R88" t="s">
        <v>222</v>
      </c>
      <c r="S88" t="s">
        <v>27</v>
      </c>
      <c r="T88" t="s">
        <v>893</v>
      </c>
      <c r="U88" s="14">
        <f t="shared" si="16"/>
        <v>4589.04</v>
      </c>
      <c r="V88" s="14">
        <f t="shared" si="17"/>
        <v>1800</v>
      </c>
      <c r="W88" s="10">
        <f>VLOOKUP(Q88,Taxrate!A:B,2,FALSE)</f>
        <v>7.0000000000000007E-2</v>
      </c>
      <c r="X88" s="14">
        <f t="shared" si="18"/>
        <v>321.23280000000005</v>
      </c>
      <c r="Y88" s="10">
        <f>VLOOKUP(L88,'Discount Rate'!A:B,2,FALSE)</f>
        <v>0.1</v>
      </c>
      <c r="Z88" s="14">
        <f t="shared" si="19"/>
        <v>458.904</v>
      </c>
      <c r="AA88" s="14">
        <f t="shared" si="20"/>
        <v>3808.9032000000002</v>
      </c>
      <c r="AB88" s="14">
        <f t="shared" si="21"/>
        <v>2008.9032000000002</v>
      </c>
    </row>
    <row r="89" spans="1:28" x14ac:dyDescent="0.25">
      <c r="A89" t="s">
        <v>261</v>
      </c>
      <c r="B89" t="s">
        <v>262</v>
      </c>
      <c r="C89" t="s">
        <v>155</v>
      </c>
      <c r="D89" t="s">
        <v>156</v>
      </c>
      <c r="E89" s="1">
        <v>46257</v>
      </c>
      <c r="F89" s="8">
        <f t="shared" si="11"/>
        <v>2026</v>
      </c>
      <c r="G89" s="1" t="str">
        <f t="shared" si="12"/>
        <v>August</v>
      </c>
      <c r="H89" s="1" t="str">
        <f t="shared" si="13"/>
        <v>Sunday</v>
      </c>
      <c r="I89" s="2">
        <v>0.4632060185185185</v>
      </c>
      <c r="J89" s="8">
        <f t="shared" si="14"/>
        <v>11</v>
      </c>
      <c r="K89" s="8">
        <f t="shared" si="15"/>
        <v>7</v>
      </c>
      <c r="L89" t="s">
        <v>23</v>
      </c>
      <c r="M89" t="s">
        <v>24</v>
      </c>
      <c r="N89">
        <v>7</v>
      </c>
      <c r="O89" s="14">
        <v>515.33000000000004</v>
      </c>
      <c r="P89">
        <f>VLOOKUP(L89,'Product-cost'!A:B,2,FALSE)</f>
        <v>300</v>
      </c>
      <c r="Q89" t="s">
        <v>25</v>
      </c>
      <c r="R89" t="s">
        <v>157</v>
      </c>
      <c r="S89" t="s">
        <v>96</v>
      </c>
      <c r="T89" t="s">
        <v>893</v>
      </c>
      <c r="U89" s="14">
        <f t="shared" si="16"/>
        <v>3607.3100000000004</v>
      </c>
      <c r="V89" s="14">
        <f t="shared" si="17"/>
        <v>2100</v>
      </c>
      <c r="W89" s="10">
        <f>VLOOKUP(Q89,Taxrate!A:B,2,FALSE)</f>
        <v>0.1</v>
      </c>
      <c r="X89" s="14">
        <f t="shared" si="18"/>
        <v>360.73100000000005</v>
      </c>
      <c r="Y89" s="10">
        <f>VLOOKUP(L89,'Discount Rate'!A:B,2,FALSE)</f>
        <v>0.1</v>
      </c>
      <c r="Z89" s="14">
        <f t="shared" si="19"/>
        <v>360.73100000000005</v>
      </c>
      <c r="AA89" s="14">
        <f t="shared" si="20"/>
        <v>2885.848</v>
      </c>
      <c r="AB89" s="14">
        <f t="shared" si="21"/>
        <v>785.84799999999996</v>
      </c>
    </row>
    <row r="90" spans="1:28" x14ac:dyDescent="0.25">
      <c r="A90" t="s">
        <v>263</v>
      </c>
      <c r="B90" t="s">
        <v>264</v>
      </c>
      <c r="C90" t="s">
        <v>139</v>
      </c>
      <c r="D90" t="s">
        <v>22</v>
      </c>
      <c r="E90" s="1">
        <v>46323</v>
      </c>
      <c r="F90" s="8">
        <f t="shared" si="11"/>
        <v>2026</v>
      </c>
      <c r="G90" s="1" t="str">
        <f t="shared" si="12"/>
        <v>October</v>
      </c>
      <c r="H90" s="1" t="str">
        <f t="shared" si="13"/>
        <v>Wednesday</v>
      </c>
      <c r="I90" s="2">
        <v>0.76579861111111114</v>
      </c>
      <c r="J90" s="8">
        <f t="shared" si="14"/>
        <v>18</v>
      </c>
      <c r="K90" s="8">
        <f t="shared" si="15"/>
        <v>22</v>
      </c>
      <c r="L90" t="s">
        <v>15</v>
      </c>
      <c r="M90" t="s">
        <v>16</v>
      </c>
      <c r="N90">
        <v>5</v>
      </c>
      <c r="O90" s="14">
        <v>1225.68</v>
      </c>
      <c r="P90">
        <f>VLOOKUP(L90,'Product-cost'!A:B,2,FALSE)</f>
        <v>600</v>
      </c>
      <c r="Q90" t="s">
        <v>32</v>
      </c>
      <c r="R90" t="s">
        <v>143</v>
      </c>
      <c r="S90" t="s">
        <v>69</v>
      </c>
      <c r="T90" t="s">
        <v>894</v>
      </c>
      <c r="U90" s="14">
        <f t="shared" si="16"/>
        <v>6128.4000000000005</v>
      </c>
      <c r="V90" s="14">
        <f t="shared" si="17"/>
        <v>3000</v>
      </c>
      <c r="W90" s="10">
        <f>VLOOKUP(Q90,Taxrate!A:B,2,FALSE)</f>
        <v>0.2</v>
      </c>
      <c r="X90" s="14">
        <f t="shared" si="18"/>
        <v>1225.68</v>
      </c>
      <c r="Y90" s="10">
        <f>VLOOKUP(L90,'Discount Rate'!A:B,2,FALSE)</f>
        <v>0.05</v>
      </c>
      <c r="Z90" s="14">
        <f t="shared" si="19"/>
        <v>306.42</v>
      </c>
      <c r="AA90" s="14">
        <f t="shared" si="20"/>
        <v>4596.3</v>
      </c>
      <c r="AB90" s="14">
        <f t="shared" si="21"/>
        <v>1596.3000000000002</v>
      </c>
    </row>
    <row r="91" spans="1:28" x14ac:dyDescent="0.25">
      <c r="A91" t="s">
        <v>265</v>
      </c>
      <c r="B91" t="s">
        <v>266</v>
      </c>
      <c r="C91" t="s">
        <v>63</v>
      </c>
      <c r="D91" t="s">
        <v>14</v>
      </c>
      <c r="E91" s="1">
        <v>45884</v>
      </c>
      <c r="F91" s="8">
        <f t="shared" si="11"/>
        <v>2025</v>
      </c>
      <c r="G91" s="1" t="str">
        <f t="shared" si="12"/>
        <v>August</v>
      </c>
      <c r="H91" s="1" t="str">
        <f t="shared" si="13"/>
        <v>Friday</v>
      </c>
      <c r="I91" s="2">
        <v>0.74728009259259254</v>
      </c>
      <c r="J91" s="8">
        <f t="shared" si="14"/>
        <v>17</v>
      </c>
      <c r="K91" s="8">
        <f t="shared" si="15"/>
        <v>56</v>
      </c>
      <c r="L91" t="s">
        <v>15</v>
      </c>
      <c r="M91" t="s">
        <v>16</v>
      </c>
      <c r="N91">
        <v>12</v>
      </c>
      <c r="O91" s="14">
        <v>1062.8499999999999</v>
      </c>
      <c r="P91">
        <f>VLOOKUP(L91,'Product-cost'!A:B,2,FALSE)</f>
        <v>600</v>
      </c>
      <c r="Q91" t="s">
        <v>39</v>
      </c>
      <c r="R91" t="s">
        <v>17</v>
      </c>
      <c r="S91" t="s">
        <v>230</v>
      </c>
      <c r="T91" t="s">
        <v>893</v>
      </c>
      <c r="U91" s="14">
        <f t="shared" si="16"/>
        <v>12754.199999999999</v>
      </c>
      <c r="V91" s="14">
        <f t="shared" si="17"/>
        <v>7200</v>
      </c>
      <c r="W91" s="10">
        <f>VLOOKUP(Q91,Taxrate!A:B,2,FALSE)</f>
        <v>0.15</v>
      </c>
      <c r="X91" s="14">
        <f t="shared" si="18"/>
        <v>1913.1299999999997</v>
      </c>
      <c r="Y91" s="10">
        <f>VLOOKUP(L91,'Discount Rate'!A:B,2,FALSE)</f>
        <v>0.05</v>
      </c>
      <c r="Z91" s="14">
        <f t="shared" si="19"/>
        <v>637.71</v>
      </c>
      <c r="AA91" s="14">
        <f t="shared" si="20"/>
        <v>10203.36</v>
      </c>
      <c r="AB91" s="14">
        <f t="shared" si="21"/>
        <v>3003.3600000000006</v>
      </c>
    </row>
    <row r="92" spans="1:28" x14ac:dyDescent="0.25">
      <c r="A92" t="s">
        <v>267</v>
      </c>
      <c r="B92" t="s">
        <v>268</v>
      </c>
      <c r="C92" t="s">
        <v>63</v>
      </c>
      <c r="D92" t="s">
        <v>14</v>
      </c>
      <c r="E92" s="1">
        <v>45191</v>
      </c>
      <c r="F92" s="8">
        <f t="shared" si="11"/>
        <v>2023</v>
      </c>
      <c r="G92" s="1" t="str">
        <f t="shared" si="12"/>
        <v>September</v>
      </c>
      <c r="H92" s="1" t="str">
        <f t="shared" si="13"/>
        <v>Friday</v>
      </c>
      <c r="I92" s="2">
        <v>0.70758101851851851</v>
      </c>
      <c r="J92" s="8">
        <f t="shared" si="14"/>
        <v>16</v>
      </c>
      <c r="K92" s="8">
        <f t="shared" si="15"/>
        <v>58</v>
      </c>
      <c r="L92" t="s">
        <v>15</v>
      </c>
      <c r="M92" t="s">
        <v>16</v>
      </c>
      <c r="N92">
        <v>9</v>
      </c>
      <c r="O92" s="14">
        <v>882.33</v>
      </c>
      <c r="P92">
        <f>VLOOKUP(L92,'Product-cost'!A:B,2,FALSE)</f>
        <v>600</v>
      </c>
      <c r="Q92" t="s">
        <v>25</v>
      </c>
      <c r="R92" t="s">
        <v>33</v>
      </c>
      <c r="S92" t="s">
        <v>158</v>
      </c>
      <c r="T92" t="s">
        <v>893</v>
      </c>
      <c r="U92" s="14">
        <f t="shared" si="16"/>
        <v>7940.97</v>
      </c>
      <c r="V92" s="14">
        <f t="shared" si="17"/>
        <v>5400</v>
      </c>
      <c r="W92" s="10">
        <f>VLOOKUP(Q92,Taxrate!A:B,2,FALSE)</f>
        <v>0.1</v>
      </c>
      <c r="X92" s="14">
        <f t="shared" si="18"/>
        <v>794.09700000000009</v>
      </c>
      <c r="Y92" s="10">
        <f>VLOOKUP(L92,'Discount Rate'!A:B,2,FALSE)</f>
        <v>0.05</v>
      </c>
      <c r="Z92" s="14">
        <f t="shared" si="19"/>
        <v>397.04850000000005</v>
      </c>
      <c r="AA92" s="14">
        <f t="shared" si="20"/>
        <v>6749.8245000000006</v>
      </c>
      <c r="AB92" s="14">
        <f t="shared" si="21"/>
        <v>1349.8245000000006</v>
      </c>
    </row>
    <row r="93" spans="1:28" x14ac:dyDescent="0.25">
      <c r="A93" t="s">
        <v>269</v>
      </c>
      <c r="B93" t="s">
        <v>270</v>
      </c>
      <c r="C93" t="s">
        <v>63</v>
      </c>
      <c r="D93" t="s">
        <v>14</v>
      </c>
      <c r="E93" s="1">
        <v>45183</v>
      </c>
      <c r="F93" s="8">
        <f t="shared" si="11"/>
        <v>2023</v>
      </c>
      <c r="G93" s="1" t="str">
        <f t="shared" si="12"/>
        <v>September</v>
      </c>
      <c r="H93" s="1" t="str">
        <f t="shared" si="13"/>
        <v>Thursday</v>
      </c>
      <c r="I93" s="2">
        <v>0.73200231481481481</v>
      </c>
      <c r="J93" s="8">
        <f t="shared" si="14"/>
        <v>17</v>
      </c>
      <c r="K93" s="8">
        <f t="shared" si="15"/>
        <v>34</v>
      </c>
      <c r="L93" t="s">
        <v>46</v>
      </c>
      <c r="M93" t="s">
        <v>47</v>
      </c>
      <c r="N93">
        <v>10</v>
      </c>
      <c r="O93" s="14">
        <v>192.96</v>
      </c>
      <c r="P93">
        <f>VLOOKUP(L93,'Product-cost'!A:B,2,FALSE)</f>
        <v>150</v>
      </c>
      <c r="Q93" t="s">
        <v>55</v>
      </c>
      <c r="R93" t="s">
        <v>17</v>
      </c>
      <c r="S93" t="s">
        <v>152</v>
      </c>
      <c r="T93" t="s">
        <v>893</v>
      </c>
      <c r="U93" s="14">
        <f t="shared" si="16"/>
        <v>1929.6000000000001</v>
      </c>
      <c r="V93" s="14">
        <f t="shared" si="17"/>
        <v>1500</v>
      </c>
      <c r="W93" s="10">
        <f>VLOOKUP(Q93,Taxrate!A:B,2,FALSE)</f>
        <v>0.12</v>
      </c>
      <c r="X93" s="14">
        <f t="shared" si="18"/>
        <v>231.55200000000002</v>
      </c>
      <c r="Y93" s="10">
        <f>VLOOKUP(L93,'Discount Rate'!A:B,2,FALSE)</f>
        <v>7.0000000000000007E-2</v>
      </c>
      <c r="Z93" s="14">
        <f t="shared" si="19"/>
        <v>135.07200000000003</v>
      </c>
      <c r="AA93" s="14">
        <f t="shared" si="20"/>
        <v>1562.9760000000001</v>
      </c>
      <c r="AB93" s="14">
        <f t="shared" si="21"/>
        <v>62.976000000000113</v>
      </c>
    </row>
    <row r="94" spans="1:28" x14ac:dyDescent="0.25">
      <c r="A94" t="s">
        <v>271</v>
      </c>
      <c r="B94" t="s">
        <v>272</v>
      </c>
      <c r="C94" t="s">
        <v>165</v>
      </c>
      <c r="D94" t="s">
        <v>38</v>
      </c>
      <c r="E94" s="1">
        <v>46260</v>
      </c>
      <c r="F94" s="8">
        <f t="shared" si="11"/>
        <v>2026</v>
      </c>
      <c r="G94" s="1" t="str">
        <f t="shared" si="12"/>
        <v>August</v>
      </c>
      <c r="H94" s="1" t="str">
        <f t="shared" si="13"/>
        <v>Wednesday</v>
      </c>
      <c r="I94" s="2">
        <v>0.85863425925925929</v>
      </c>
      <c r="J94" s="8">
        <f t="shared" si="14"/>
        <v>20</v>
      </c>
      <c r="K94" s="8">
        <f t="shared" si="15"/>
        <v>36</v>
      </c>
      <c r="L94" t="s">
        <v>46</v>
      </c>
      <c r="M94" t="s">
        <v>47</v>
      </c>
      <c r="N94">
        <v>8</v>
      </c>
      <c r="O94" s="14">
        <v>236.01</v>
      </c>
      <c r="P94">
        <f>VLOOKUP(L94,'Product-cost'!A:B,2,FALSE)</f>
        <v>150</v>
      </c>
      <c r="Q94" t="s">
        <v>25</v>
      </c>
      <c r="R94" t="s">
        <v>40</v>
      </c>
      <c r="T94" t="s">
        <v>895</v>
      </c>
      <c r="U94" s="14">
        <f t="shared" si="16"/>
        <v>1888.08</v>
      </c>
      <c r="V94" s="14">
        <f t="shared" si="17"/>
        <v>1200</v>
      </c>
      <c r="W94" s="10">
        <f>VLOOKUP(Q94,Taxrate!A:B,2,FALSE)</f>
        <v>0.1</v>
      </c>
      <c r="X94" s="14">
        <f t="shared" si="18"/>
        <v>188.80799999999999</v>
      </c>
      <c r="Y94" s="10">
        <f>VLOOKUP(L94,'Discount Rate'!A:B,2,FALSE)</f>
        <v>7.0000000000000007E-2</v>
      </c>
      <c r="Z94" s="14">
        <f t="shared" si="19"/>
        <v>132.16560000000001</v>
      </c>
      <c r="AA94" s="14">
        <f t="shared" si="20"/>
        <v>1567.1063999999999</v>
      </c>
      <c r="AB94" s="14">
        <f t="shared" si="21"/>
        <v>367.10639999999989</v>
      </c>
    </row>
    <row r="95" spans="1:28" x14ac:dyDescent="0.25">
      <c r="A95" t="s">
        <v>273</v>
      </c>
      <c r="B95" t="s">
        <v>274</v>
      </c>
      <c r="C95" t="s">
        <v>72</v>
      </c>
      <c r="D95" t="s">
        <v>59</v>
      </c>
      <c r="E95" s="1">
        <v>45344</v>
      </c>
      <c r="F95" s="8">
        <f t="shared" si="11"/>
        <v>2024</v>
      </c>
      <c r="G95" s="1" t="str">
        <f t="shared" si="12"/>
        <v>February</v>
      </c>
      <c r="H95" s="1" t="str">
        <f t="shared" si="13"/>
        <v>Thursday</v>
      </c>
      <c r="I95" s="2">
        <v>0.71481481481481479</v>
      </c>
      <c r="J95" s="8">
        <f t="shared" si="14"/>
        <v>17</v>
      </c>
      <c r="K95" s="8">
        <f t="shared" si="15"/>
        <v>9</v>
      </c>
      <c r="L95" t="s">
        <v>30</v>
      </c>
      <c r="M95" t="s">
        <v>31</v>
      </c>
      <c r="N95">
        <v>14</v>
      </c>
      <c r="O95" s="14">
        <v>399.74</v>
      </c>
      <c r="P95">
        <f>VLOOKUP(L95,'Product-cost'!A:B,2,FALSE)</f>
        <v>200</v>
      </c>
      <c r="Q95" t="s">
        <v>25</v>
      </c>
      <c r="R95" t="s">
        <v>222</v>
      </c>
      <c r="S95" t="s">
        <v>34</v>
      </c>
      <c r="T95" t="s">
        <v>893</v>
      </c>
      <c r="U95" s="14">
        <f t="shared" si="16"/>
        <v>5596.3600000000006</v>
      </c>
      <c r="V95" s="14">
        <f t="shared" si="17"/>
        <v>2800</v>
      </c>
      <c r="W95" s="10">
        <f>VLOOKUP(Q95,Taxrate!A:B,2,FALSE)</f>
        <v>0.1</v>
      </c>
      <c r="X95" s="14">
        <f t="shared" si="18"/>
        <v>559.63600000000008</v>
      </c>
      <c r="Y95" s="10">
        <f>VLOOKUP(L95,'Discount Rate'!A:B,2,FALSE)</f>
        <v>0.08</v>
      </c>
      <c r="Z95" s="14">
        <f t="shared" si="19"/>
        <v>447.70880000000005</v>
      </c>
      <c r="AA95" s="14">
        <f t="shared" si="20"/>
        <v>4589.0151999999998</v>
      </c>
      <c r="AB95" s="14">
        <f t="shared" si="21"/>
        <v>1789.0151999999998</v>
      </c>
    </row>
    <row r="96" spans="1:28" x14ac:dyDescent="0.25">
      <c r="A96" t="s">
        <v>275</v>
      </c>
      <c r="B96" t="s">
        <v>276</v>
      </c>
      <c r="C96" t="s">
        <v>155</v>
      </c>
      <c r="D96" t="s">
        <v>156</v>
      </c>
      <c r="E96" s="1">
        <v>45435</v>
      </c>
      <c r="F96" s="8">
        <f t="shared" si="11"/>
        <v>2024</v>
      </c>
      <c r="G96" s="1" t="str">
        <f t="shared" si="12"/>
        <v>May</v>
      </c>
      <c r="H96" s="1" t="str">
        <f t="shared" si="13"/>
        <v>Thursday</v>
      </c>
      <c r="I96" s="2">
        <v>0.88957175925925924</v>
      </c>
      <c r="J96" s="8">
        <f t="shared" si="14"/>
        <v>21</v>
      </c>
      <c r="K96" s="8">
        <f t="shared" si="15"/>
        <v>20</v>
      </c>
      <c r="L96" t="s">
        <v>46</v>
      </c>
      <c r="M96" t="s">
        <v>47</v>
      </c>
      <c r="N96">
        <v>4</v>
      </c>
      <c r="O96" s="14">
        <v>230.81</v>
      </c>
      <c r="P96">
        <f>VLOOKUP(L96,'Product-cost'!A:B,2,FALSE)</f>
        <v>150</v>
      </c>
      <c r="Q96" t="s">
        <v>55</v>
      </c>
      <c r="R96" t="s">
        <v>157</v>
      </c>
      <c r="S96" t="s">
        <v>230</v>
      </c>
      <c r="T96" t="s">
        <v>893</v>
      </c>
      <c r="U96" s="14">
        <f t="shared" si="16"/>
        <v>923.24</v>
      </c>
      <c r="V96" s="14">
        <f t="shared" si="17"/>
        <v>600</v>
      </c>
      <c r="W96" s="10">
        <f>VLOOKUP(Q96,Taxrate!A:B,2,FALSE)</f>
        <v>0.12</v>
      </c>
      <c r="X96" s="14">
        <f t="shared" si="18"/>
        <v>110.78879999999999</v>
      </c>
      <c r="Y96" s="10">
        <f>VLOOKUP(L96,'Discount Rate'!A:B,2,FALSE)</f>
        <v>7.0000000000000007E-2</v>
      </c>
      <c r="Z96" s="14">
        <f t="shared" si="19"/>
        <v>64.626800000000003</v>
      </c>
      <c r="AA96" s="14">
        <f t="shared" si="20"/>
        <v>747.82439999999997</v>
      </c>
      <c r="AB96" s="14">
        <f t="shared" si="21"/>
        <v>147.82439999999997</v>
      </c>
    </row>
    <row r="97" spans="1:28" x14ac:dyDescent="0.25">
      <c r="A97" t="s">
        <v>277</v>
      </c>
      <c r="B97" t="s">
        <v>248</v>
      </c>
      <c r="C97" t="s">
        <v>165</v>
      </c>
      <c r="D97" t="s">
        <v>38</v>
      </c>
      <c r="E97" s="1">
        <v>45203</v>
      </c>
      <c r="F97" s="8">
        <f t="shared" si="11"/>
        <v>2023</v>
      </c>
      <c r="G97" s="1" t="str">
        <f t="shared" si="12"/>
        <v>October</v>
      </c>
      <c r="H97" s="1" t="str">
        <f t="shared" si="13"/>
        <v>Wednesday</v>
      </c>
      <c r="I97" s="2">
        <v>0.52196759259259262</v>
      </c>
      <c r="J97" s="8">
        <f t="shared" si="14"/>
        <v>12</v>
      </c>
      <c r="K97" s="8">
        <f t="shared" si="15"/>
        <v>31</v>
      </c>
      <c r="L97" t="s">
        <v>73</v>
      </c>
      <c r="M97" t="s">
        <v>74</v>
      </c>
      <c r="N97">
        <v>1</v>
      </c>
      <c r="O97" s="14">
        <v>152.32</v>
      </c>
      <c r="P97">
        <f>VLOOKUP(L97,'Product-cost'!A:B,2,FALSE)</f>
        <v>50</v>
      </c>
      <c r="Q97" t="s">
        <v>25</v>
      </c>
      <c r="R97" t="s">
        <v>40</v>
      </c>
      <c r="T97" t="s">
        <v>895</v>
      </c>
      <c r="U97" s="14">
        <f t="shared" si="16"/>
        <v>152.32</v>
      </c>
      <c r="V97" s="14">
        <f t="shared" si="17"/>
        <v>50</v>
      </c>
      <c r="W97" s="10">
        <f>VLOOKUP(Q97,Taxrate!A:B,2,FALSE)</f>
        <v>0.1</v>
      </c>
      <c r="X97" s="14">
        <f t="shared" si="18"/>
        <v>15.231999999999999</v>
      </c>
      <c r="Y97" s="10">
        <f>VLOOKUP(L97,'Discount Rate'!A:B,2,FALSE)</f>
        <v>0.03</v>
      </c>
      <c r="Z97" s="14">
        <f t="shared" si="19"/>
        <v>4.5695999999999994</v>
      </c>
      <c r="AA97" s="14">
        <f t="shared" si="20"/>
        <v>132.51839999999999</v>
      </c>
      <c r="AB97" s="14">
        <f t="shared" si="21"/>
        <v>82.518399999999986</v>
      </c>
    </row>
    <row r="98" spans="1:28" x14ac:dyDescent="0.25">
      <c r="A98" t="s">
        <v>278</v>
      </c>
      <c r="B98" t="s">
        <v>279</v>
      </c>
      <c r="C98" t="s">
        <v>66</v>
      </c>
      <c r="D98" t="s">
        <v>67</v>
      </c>
      <c r="E98" s="1">
        <v>45959</v>
      </c>
      <c r="F98" s="8">
        <f t="shared" si="11"/>
        <v>2025</v>
      </c>
      <c r="G98" s="1" t="str">
        <f t="shared" si="12"/>
        <v>October</v>
      </c>
      <c r="H98" s="1" t="str">
        <f t="shared" si="13"/>
        <v>Wednesday</v>
      </c>
      <c r="I98" s="2">
        <v>0.85783564814814817</v>
      </c>
      <c r="J98" s="8">
        <f t="shared" si="14"/>
        <v>20</v>
      </c>
      <c r="K98" s="8">
        <f t="shared" si="15"/>
        <v>35</v>
      </c>
      <c r="L98" t="s">
        <v>46</v>
      </c>
      <c r="M98" t="s">
        <v>47</v>
      </c>
      <c r="N98">
        <v>2</v>
      </c>
      <c r="O98" s="14">
        <v>186.63</v>
      </c>
      <c r="P98">
        <f>VLOOKUP(L98,'Product-cost'!A:B,2,FALSE)</f>
        <v>150</v>
      </c>
      <c r="Q98" t="s">
        <v>25</v>
      </c>
      <c r="R98" t="s">
        <v>68</v>
      </c>
      <c r="S98" t="s">
        <v>102</v>
      </c>
      <c r="T98" t="s">
        <v>895</v>
      </c>
      <c r="U98" s="14">
        <f t="shared" si="16"/>
        <v>373.26</v>
      </c>
      <c r="V98" s="14">
        <f t="shared" si="17"/>
        <v>300</v>
      </c>
      <c r="W98" s="10">
        <f>VLOOKUP(Q98,Taxrate!A:B,2,FALSE)</f>
        <v>0.1</v>
      </c>
      <c r="X98" s="14">
        <f t="shared" si="18"/>
        <v>37.326000000000001</v>
      </c>
      <c r="Y98" s="10">
        <f>VLOOKUP(L98,'Discount Rate'!A:B,2,FALSE)</f>
        <v>7.0000000000000007E-2</v>
      </c>
      <c r="Z98" s="14">
        <f t="shared" si="19"/>
        <v>26.128200000000003</v>
      </c>
      <c r="AA98" s="14">
        <f t="shared" si="20"/>
        <v>309.80579999999998</v>
      </c>
      <c r="AB98" s="14">
        <f t="shared" si="21"/>
        <v>9.8057999999999765</v>
      </c>
    </row>
    <row r="99" spans="1:28" x14ac:dyDescent="0.25">
      <c r="A99" t="s">
        <v>280</v>
      </c>
      <c r="B99" t="s">
        <v>281</v>
      </c>
      <c r="C99" t="s">
        <v>44</v>
      </c>
      <c r="D99" t="s">
        <v>45</v>
      </c>
      <c r="E99" s="1">
        <v>45609</v>
      </c>
      <c r="F99" s="8">
        <f t="shared" si="11"/>
        <v>2024</v>
      </c>
      <c r="G99" s="1" t="str">
        <f t="shared" si="12"/>
        <v>November</v>
      </c>
      <c r="H99" s="1" t="str">
        <f t="shared" si="13"/>
        <v>Wednesday</v>
      </c>
      <c r="I99" s="2">
        <v>0.68690972222222224</v>
      </c>
      <c r="J99" s="8">
        <f t="shared" si="14"/>
        <v>16</v>
      </c>
      <c r="K99" s="8">
        <f t="shared" si="15"/>
        <v>29</v>
      </c>
      <c r="L99" t="s">
        <v>46</v>
      </c>
      <c r="M99" t="s">
        <v>47</v>
      </c>
      <c r="N99">
        <v>3</v>
      </c>
      <c r="O99" s="14">
        <v>243.44</v>
      </c>
      <c r="P99">
        <f>VLOOKUP(L99,'Product-cost'!A:B,2,FALSE)</f>
        <v>150</v>
      </c>
      <c r="Q99" t="s">
        <v>32</v>
      </c>
      <c r="R99" t="s">
        <v>80</v>
      </c>
      <c r="S99" t="s">
        <v>123</v>
      </c>
      <c r="T99" t="s">
        <v>893</v>
      </c>
      <c r="U99" s="14">
        <f t="shared" si="16"/>
        <v>730.31999999999994</v>
      </c>
      <c r="V99" s="14">
        <f t="shared" si="17"/>
        <v>450</v>
      </c>
      <c r="W99" s="10">
        <f>VLOOKUP(Q99,Taxrate!A:B,2,FALSE)</f>
        <v>0.2</v>
      </c>
      <c r="X99" s="14">
        <f t="shared" si="18"/>
        <v>146.06399999999999</v>
      </c>
      <c r="Y99" s="10">
        <f>VLOOKUP(L99,'Discount Rate'!A:B,2,FALSE)</f>
        <v>7.0000000000000007E-2</v>
      </c>
      <c r="Z99" s="14">
        <f t="shared" si="19"/>
        <v>51.122399999999999</v>
      </c>
      <c r="AA99" s="14">
        <f t="shared" si="20"/>
        <v>533.1336</v>
      </c>
      <c r="AB99" s="14">
        <f t="shared" si="21"/>
        <v>83.133600000000001</v>
      </c>
    </row>
    <row r="100" spans="1:28" x14ac:dyDescent="0.25">
      <c r="A100" t="s">
        <v>282</v>
      </c>
      <c r="B100" t="s">
        <v>283</v>
      </c>
      <c r="C100" t="s">
        <v>118</v>
      </c>
      <c r="D100" t="s">
        <v>59</v>
      </c>
      <c r="E100" s="1">
        <v>45018</v>
      </c>
      <c r="F100" s="8">
        <f t="shared" si="11"/>
        <v>2023</v>
      </c>
      <c r="G100" s="1" t="str">
        <f t="shared" si="12"/>
        <v>April</v>
      </c>
      <c r="H100" s="1" t="str">
        <f t="shared" si="13"/>
        <v>Sunday</v>
      </c>
      <c r="I100" s="2">
        <v>0.57160879629629635</v>
      </c>
      <c r="J100" s="8">
        <f t="shared" si="14"/>
        <v>13</v>
      </c>
      <c r="K100" s="8">
        <f t="shared" si="15"/>
        <v>43</v>
      </c>
      <c r="L100" t="s">
        <v>73</v>
      </c>
      <c r="M100" t="s">
        <v>74</v>
      </c>
      <c r="N100">
        <v>13</v>
      </c>
      <c r="O100" s="14">
        <v>185.41</v>
      </c>
      <c r="P100">
        <f>VLOOKUP(L100,'Product-cost'!A:B,2,FALSE)</f>
        <v>50</v>
      </c>
      <c r="Q100" t="s">
        <v>51</v>
      </c>
      <c r="R100" t="s">
        <v>60</v>
      </c>
      <c r="S100" t="s">
        <v>41</v>
      </c>
      <c r="T100" t="s">
        <v>893</v>
      </c>
      <c r="U100" s="14">
        <f t="shared" si="16"/>
        <v>2410.33</v>
      </c>
      <c r="V100" s="14">
        <f t="shared" si="17"/>
        <v>650</v>
      </c>
      <c r="W100" s="10">
        <f>VLOOKUP(Q100,Taxrate!A:B,2,FALSE)</f>
        <v>7.0000000000000007E-2</v>
      </c>
      <c r="X100" s="14">
        <f t="shared" si="18"/>
        <v>168.72310000000002</v>
      </c>
      <c r="Y100" s="10">
        <f>VLOOKUP(L100,'Discount Rate'!A:B,2,FALSE)</f>
        <v>0.03</v>
      </c>
      <c r="Z100" s="14">
        <f t="shared" si="19"/>
        <v>72.309899999999999</v>
      </c>
      <c r="AA100" s="14">
        <f t="shared" si="20"/>
        <v>2169.2969999999996</v>
      </c>
      <c r="AB100" s="14">
        <f t="shared" si="21"/>
        <v>1519.2969999999996</v>
      </c>
    </row>
    <row r="101" spans="1:28" x14ac:dyDescent="0.25">
      <c r="A101" t="s">
        <v>284</v>
      </c>
      <c r="B101" t="s">
        <v>285</v>
      </c>
      <c r="C101" t="s">
        <v>91</v>
      </c>
      <c r="D101" t="s">
        <v>92</v>
      </c>
      <c r="E101" s="1">
        <v>45229</v>
      </c>
      <c r="F101" s="8">
        <f t="shared" si="11"/>
        <v>2023</v>
      </c>
      <c r="G101" s="1" t="str">
        <f t="shared" si="12"/>
        <v>October</v>
      </c>
      <c r="H101" s="1" t="str">
        <f t="shared" si="13"/>
        <v>Monday</v>
      </c>
      <c r="I101" s="2">
        <v>0.3588425925925926</v>
      </c>
      <c r="J101" s="8">
        <f t="shared" si="14"/>
        <v>8</v>
      </c>
      <c r="K101" s="8">
        <f t="shared" si="15"/>
        <v>36</v>
      </c>
      <c r="L101" t="s">
        <v>15</v>
      </c>
      <c r="M101" t="s">
        <v>16</v>
      </c>
      <c r="N101">
        <v>8</v>
      </c>
      <c r="O101" s="14">
        <v>875.72</v>
      </c>
      <c r="P101">
        <f>VLOOKUP(L101,'Product-cost'!A:B,2,FALSE)</f>
        <v>600</v>
      </c>
      <c r="Q101" t="s">
        <v>32</v>
      </c>
      <c r="R101" t="s">
        <v>112</v>
      </c>
      <c r="S101" t="s">
        <v>152</v>
      </c>
      <c r="T101" t="s">
        <v>893</v>
      </c>
      <c r="U101" s="14">
        <f t="shared" si="16"/>
        <v>7005.76</v>
      </c>
      <c r="V101" s="14">
        <f t="shared" si="17"/>
        <v>4800</v>
      </c>
      <c r="W101" s="10">
        <f>VLOOKUP(Q101,Taxrate!A:B,2,FALSE)</f>
        <v>0.2</v>
      </c>
      <c r="X101" s="14">
        <f t="shared" si="18"/>
        <v>1401.152</v>
      </c>
      <c r="Y101" s="10">
        <f>VLOOKUP(L101,'Discount Rate'!A:B,2,FALSE)</f>
        <v>0.05</v>
      </c>
      <c r="Z101" s="14">
        <f t="shared" si="19"/>
        <v>350.28800000000001</v>
      </c>
      <c r="AA101" s="14">
        <f t="shared" si="20"/>
        <v>5254.32</v>
      </c>
      <c r="AB101" s="14">
        <f t="shared" si="21"/>
        <v>454.31999999999971</v>
      </c>
    </row>
    <row r="102" spans="1:28" x14ac:dyDescent="0.25">
      <c r="A102" t="s">
        <v>286</v>
      </c>
      <c r="B102" t="s">
        <v>287</v>
      </c>
      <c r="C102" t="s">
        <v>72</v>
      </c>
      <c r="D102" t="s">
        <v>59</v>
      </c>
      <c r="E102" s="1">
        <v>45392</v>
      </c>
      <c r="F102" s="8">
        <f t="shared" si="11"/>
        <v>2024</v>
      </c>
      <c r="G102" s="1" t="str">
        <f t="shared" si="12"/>
        <v>April</v>
      </c>
      <c r="H102" s="1" t="str">
        <f t="shared" si="13"/>
        <v>Wednesday</v>
      </c>
      <c r="I102" s="2">
        <v>0.66567129629629629</v>
      </c>
      <c r="J102" s="8">
        <f t="shared" si="14"/>
        <v>15</v>
      </c>
      <c r="K102" s="8">
        <f t="shared" si="15"/>
        <v>58</v>
      </c>
      <c r="L102" t="s">
        <v>30</v>
      </c>
      <c r="M102" t="s">
        <v>31</v>
      </c>
      <c r="N102">
        <v>11</v>
      </c>
      <c r="O102" s="14">
        <v>464.18</v>
      </c>
      <c r="P102">
        <f>VLOOKUP(L102,'Product-cost'!A:B,2,FALSE)</f>
        <v>200</v>
      </c>
      <c r="Q102" t="s">
        <v>25</v>
      </c>
      <c r="R102" t="s">
        <v>222</v>
      </c>
      <c r="T102" t="s">
        <v>895</v>
      </c>
      <c r="U102" s="14">
        <f t="shared" si="16"/>
        <v>5105.9800000000005</v>
      </c>
      <c r="V102" s="14">
        <f t="shared" si="17"/>
        <v>2200</v>
      </c>
      <c r="W102" s="10">
        <f>VLOOKUP(Q102,Taxrate!A:B,2,FALSE)</f>
        <v>0.1</v>
      </c>
      <c r="X102" s="14">
        <f t="shared" si="18"/>
        <v>510.59800000000007</v>
      </c>
      <c r="Y102" s="10">
        <f>VLOOKUP(L102,'Discount Rate'!A:B,2,FALSE)</f>
        <v>0.08</v>
      </c>
      <c r="Z102" s="14">
        <f t="shared" si="19"/>
        <v>408.47840000000002</v>
      </c>
      <c r="AA102" s="14">
        <f t="shared" si="20"/>
        <v>4186.9036000000006</v>
      </c>
      <c r="AB102" s="14">
        <f t="shared" si="21"/>
        <v>1986.9036000000006</v>
      </c>
    </row>
    <row r="103" spans="1:28" x14ac:dyDescent="0.25">
      <c r="A103" t="s">
        <v>288</v>
      </c>
      <c r="B103" t="s">
        <v>279</v>
      </c>
      <c r="C103" t="s">
        <v>178</v>
      </c>
      <c r="D103" t="s">
        <v>59</v>
      </c>
      <c r="E103" s="1">
        <v>45606</v>
      </c>
      <c r="F103" s="8">
        <f t="shared" si="11"/>
        <v>2024</v>
      </c>
      <c r="G103" s="1" t="str">
        <f t="shared" si="12"/>
        <v>November</v>
      </c>
      <c r="H103" s="1" t="str">
        <f t="shared" si="13"/>
        <v>Sunday</v>
      </c>
      <c r="I103" s="2">
        <v>0.56665509259259261</v>
      </c>
      <c r="J103" s="8">
        <f t="shared" si="14"/>
        <v>13</v>
      </c>
      <c r="K103" s="8">
        <f t="shared" si="15"/>
        <v>35</v>
      </c>
      <c r="L103" t="s">
        <v>30</v>
      </c>
      <c r="M103" t="s">
        <v>31</v>
      </c>
      <c r="N103">
        <v>10</v>
      </c>
      <c r="O103" s="14">
        <v>395.94</v>
      </c>
      <c r="P103">
        <f>VLOOKUP(L103,'Product-cost'!A:B,2,FALSE)</f>
        <v>200</v>
      </c>
      <c r="Q103" t="s">
        <v>39</v>
      </c>
      <c r="R103" t="s">
        <v>222</v>
      </c>
      <c r="T103" t="s">
        <v>895</v>
      </c>
      <c r="U103" s="14">
        <f t="shared" si="16"/>
        <v>3959.4</v>
      </c>
      <c r="V103" s="14">
        <f t="shared" si="17"/>
        <v>2000</v>
      </c>
      <c r="W103" s="10">
        <f>VLOOKUP(Q103,Taxrate!A:B,2,FALSE)</f>
        <v>0.15</v>
      </c>
      <c r="X103" s="14">
        <f t="shared" si="18"/>
        <v>593.91</v>
      </c>
      <c r="Y103" s="10">
        <f>VLOOKUP(L103,'Discount Rate'!A:B,2,FALSE)</f>
        <v>0.08</v>
      </c>
      <c r="Z103" s="14">
        <f t="shared" si="19"/>
        <v>316.75200000000001</v>
      </c>
      <c r="AA103" s="14">
        <f t="shared" si="20"/>
        <v>3048.7380000000003</v>
      </c>
      <c r="AB103" s="14">
        <f t="shared" si="21"/>
        <v>1048.7380000000003</v>
      </c>
    </row>
    <row r="104" spans="1:28" x14ac:dyDescent="0.25">
      <c r="A104" t="s">
        <v>289</v>
      </c>
      <c r="B104" t="s">
        <v>290</v>
      </c>
      <c r="C104" t="s">
        <v>187</v>
      </c>
      <c r="D104" t="s">
        <v>156</v>
      </c>
      <c r="E104" s="1">
        <v>45365</v>
      </c>
      <c r="F104" s="8">
        <f t="shared" si="11"/>
        <v>2024</v>
      </c>
      <c r="G104" s="1" t="str">
        <f t="shared" si="12"/>
        <v>March</v>
      </c>
      <c r="H104" s="1" t="str">
        <f t="shared" si="13"/>
        <v>Thursday</v>
      </c>
      <c r="I104" s="2">
        <v>0.89880787037037035</v>
      </c>
      <c r="J104" s="8">
        <f t="shared" si="14"/>
        <v>21</v>
      </c>
      <c r="K104" s="8">
        <f t="shared" si="15"/>
        <v>34</v>
      </c>
      <c r="L104" t="s">
        <v>46</v>
      </c>
      <c r="M104" t="s">
        <v>47</v>
      </c>
      <c r="N104">
        <v>3</v>
      </c>
      <c r="O104" s="14">
        <v>500</v>
      </c>
      <c r="P104">
        <f>VLOOKUP(L104,'Product-cost'!A:B,2,FALSE)</f>
        <v>150</v>
      </c>
      <c r="Q104" t="s">
        <v>55</v>
      </c>
      <c r="R104" t="s">
        <v>157</v>
      </c>
      <c r="S104" t="s">
        <v>41</v>
      </c>
      <c r="T104" t="s">
        <v>893</v>
      </c>
      <c r="U104" s="14">
        <f t="shared" si="16"/>
        <v>1500</v>
      </c>
      <c r="V104" s="14">
        <f t="shared" si="17"/>
        <v>450</v>
      </c>
      <c r="W104" s="10">
        <f>VLOOKUP(Q104,Taxrate!A:B,2,FALSE)</f>
        <v>0.12</v>
      </c>
      <c r="X104" s="14">
        <f t="shared" si="18"/>
        <v>180</v>
      </c>
      <c r="Y104" s="10">
        <f>VLOOKUP(L104,'Discount Rate'!A:B,2,FALSE)</f>
        <v>7.0000000000000007E-2</v>
      </c>
      <c r="Z104" s="14">
        <f t="shared" si="19"/>
        <v>105.00000000000001</v>
      </c>
      <c r="AA104" s="14">
        <f t="shared" si="20"/>
        <v>1215</v>
      </c>
      <c r="AB104" s="14">
        <f t="shared" si="21"/>
        <v>765</v>
      </c>
    </row>
    <row r="105" spans="1:28" x14ac:dyDescent="0.25">
      <c r="A105" t="s">
        <v>291</v>
      </c>
      <c r="B105" t="s">
        <v>292</v>
      </c>
      <c r="C105" t="s">
        <v>72</v>
      </c>
      <c r="D105" t="s">
        <v>59</v>
      </c>
      <c r="E105" s="1">
        <v>46322</v>
      </c>
      <c r="F105" s="8">
        <f t="shared" si="11"/>
        <v>2026</v>
      </c>
      <c r="G105" s="1" t="str">
        <f t="shared" si="12"/>
        <v>October</v>
      </c>
      <c r="H105" s="1" t="str">
        <f t="shared" si="13"/>
        <v>Tuesday</v>
      </c>
      <c r="I105" s="2">
        <v>0.35832175925925924</v>
      </c>
      <c r="J105" s="8">
        <f t="shared" si="14"/>
        <v>8</v>
      </c>
      <c r="K105" s="8">
        <f t="shared" si="15"/>
        <v>35</v>
      </c>
      <c r="L105" t="s">
        <v>23</v>
      </c>
      <c r="M105" t="s">
        <v>24</v>
      </c>
      <c r="N105">
        <v>15</v>
      </c>
      <c r="O105" s="14">
        <v>622.71</v>
      </c>
      <c r="P105">
        <f>VLOOKUP(L105,'Product-cost'!A:B,2,FALSE)</f>
        <v>300</v>
      </c>
      <c r="Q105" t="s">
        <v>32</v>
      </c>
      <c r="R105" t="s">
        <v>75</v>
      </c>
      <c r="S105" t="s">
        <v>152</v>
      </c>
      <c r="T105" t="s">
        <v>893</v>
      </c>
      <c r="U105" s="14">
        <f t="shared" si="16"/>
        <v>9340.6500000000015</v>
      </c>
      <c r="V105" s="14">
        <f t="shared" si="17"/>
        <v>4500</v>
      </c>
      <c r="W105" s="10">
        <f>VLOOKUP(Q105,Taxrate!A:B,2,FALSE)</f>
        <v>0.2</v>
      </c>
      <c r="X105" s="14">
        <f t="shared" si="18"/>
        <v>1868.1300000000003</v>
      </c>
      <c r="Y105" s="10">
        <f>VLOOKUP(L105,'Discount Rate'!A:B,2,FALSE)</f>
        <v>0.1</v>
      </c>
      <c r="Z105" s="14">
        <f t="shared" si="19"/>
        <v>934.06500000000017</v>
      </c>
      <c r="AA105" s="14">
        <f t="shared" si="20"/>
        <v>6538.4550000000008</v>
      </c>
      <c r="AB105" s="14">
        <f t="shared" si="21"/>
        <v>2038.4550000000008</v>
      </c>
    </row>
    <row r="106" spans="1:28" x14ac:dyDescent="0.25">
      <c r="A106" t="s">
        <v>293</v>
      </c>
      <c r="B106" t="s">
        <v>294</v>
      </c>
      <c r="C106" t="s">
        <v>44</v>
      </c>
      <c r="D106" t="s">
        <v>45</v>
      </c>
      <c r="E106" s="1">
        <v>45782</v>
      </c>
      <c r="F106" s="8">
        <f t="shared" si="11"/>
        <v>2025</v>
      </c>
      <c r="G106" s="1" t="str">
        <f t="shared" si="12"/>
        <v>May</v>
      </c>
      <c r="H106" s="1" t="str">
        <f t="shared" si="13"/>
        <v>Monday</v>
      </c>
      <c r="I106" s="2">
        <v>0.37042824074074077</v>
      </c>
      <c r="J106" s="8">
        <f t="shared" si="14"/>
        <v>8</v>
      </c>
      <c r="K106" s="8">
        <f t="shared" si="15"/>
        <v>53</v>
      </c>
      <c r="L106" t="s">
        <v>73</v>
      </c>
      <c r="M106" t="s">
        <v>74</v>
      </c>
      <c r="N106">
        <v>12</v>
      </c>
      <c r="O106" s="14">
        <v>189.45</v>
      </c>
      <c r="P106">
        <f>VLOOKUP(L106,'Product-cost'!A:B,2,FALSE)</f>
        <v>50</v>
      </c>
      <c r="Q106" t="s">
        <v>51</v>
      </c>
      <c r="R106" t="s">
        <v>80</v>
      </c>
      <c r="S106" t="s">
        <v>123</v>
      </c>
      <c r="T106" t="s">
        <v>893</v>
      </c>
      <c r="U106" s="14">
        <f t="shared" si="16"/>
        <v>2273.3999999999996</v>
      </c>
      <c r="V106" s="14">
        <f t="shared" si="17"/>
        <v>600</v>
      </c>
      <c r="W106" s="10">
        <f>VLOOKUP(Q106,Taxrate!A:B,2,FALSE)</f>
        <v>7.0000000000000007E-2</v>
      </c>
      <c r="X106" s="14">
        <f t="shared" si="18"/>
        <v>159.13799999999998</v>
      </c>
      <c r="Y106" s="10">
        <f>VLOOKUP(L106,'Discount Rate'!A:B,2,FALSE)</f>
        <v>0.03</v>
      </c>
      <c r="Z106" s="14">
        <f t="shared" si="19"/>
        <v>68.201999999999984</v>
      </c>
      <c r="AA106" s="14">
        <f t="shared" si="20"/>
        <v>2046.0599999999997</v>
      </c>
      <c r="AB106" s="14">
        <f t="shared" si="21"/>
        <v>1446.0599999999997</v>
      </c>
    </row>
    <row r="107" spans="1:28" x14ac:dyDescent="0.25">
      <c r="A107" t="s">
        <v>295</v>
      </c>
      <c r="B107" t="s">
        <v>296</v>
      </c>
      <c r="C107" t="s">
        <v>129</v>
      </c>
      <c r="D107" t="s">
        <v>22</v>
      </c>
      <c r="E107" s="1">
        <v>45885</v>
      </c>
      <c r="F107" s="8">
        <f t="shared" si="11"/>
        <v>2025</v>
      </c>
      <c r="G107" s="1" t="str">
        <f t="shared" si="12"/>
        <v>August</v>
      </c>
      <c r="H107" s="1" t="str">
        <f t="shared" si="13"/>
        <v>Saturday</v>
      </c>
      <c r="I107" s="2">
        <v>0.49383101851851852</v>
      </c>
      <c r="J107" s="8">
        <f t="shared" si="14"/>
        <v>11</v>
      </c>
      <c r="K107" s="8">
        <f t="shared" si="15"/>
        <v>51</v>
      </c>
      <c r="L107" t="s">
        <v>30</v>
      </c>
      <c r="M107" t="s">
        <v>31</v>
      </c>
      <c r="N107">
        <v>8</v>
      </c>
      <c r="O107" s="14">
        <v>463.72</v>
      </c>
      <c r="P107">
        <f>VLOOKUP(L107,'Product-cost'!A:B,2,FALSE)</f>
        <v>200</v>
      </c>
      <c r="Q107" t="s">
        <v>51</v>
      </c>
      <c r="R107" t="s">
        <v>26</v>
      </c>
      <c r="S107" t="s">
        <v>69</v>
      </c>
      <c r="T107" t="s">
        <v>894</v>
      </c>
      <c r="U107" s="14">
        <f t="shared" si="16"/>
        <v>3709.76</v>
      </c>
      <c r="V107" s="14">
        <f t="shared" si="17"/>
        <v>1600</v>
      </c>
      <c r="W107" s="10">
        <f>VLOOKUP(Q107,Taxrate!A:B,2,FALSE)</f>
        <v>7.0000000000000007E-2</v>
      </c>
      <c r="X107" s="14">
        <f t="shared" si="18"/>
        <v>259.68320000000006</v>
      </c>
      <c r="Y107" s="10">
        <f>VLOOKUP(L107,'Discount Rate'!A:B,2,FALSE)</f>
        <v>0.08</v>
      </c>
      <c r="Z107" s="14">
        <f t="shared" si="19"/>
        <v>296.7808</v>
      </c>
      <c r="AA107" s="14">
        <f t="shared" si="20"/>
        <v>3153.2960000000003</v>
      </c>
      <c r="AB107" s="14">
        <f t="shared" si="21"/>
        <v>1553.2960000000003</v>
      </c>
    </row>
    <row r="108" spans="1:28" x14ac:dyDescent="0.25">
      <c r="A108" t="s">
        <v>297</v>
      </c>
      <c r="B108" t="s">
        <v>298</v>
      </c>
      <c r="C108" t="s">
        <v>99</v>
      </c>
      <c r="D108" t="s">
        <v>100</v>
      </c>
      <c r="E108" s="1">
        <v>45104</v>
      </c>
      <c r="F108" s="8">
        <f t="shared" si="11"/>
        <v>2023</v>
      </c>
      <c r="G108" s="1" t="str">
        <f t="shared" si="12"/>
        <v>June</v>
      </c>
      <c r="H108" s="1" t="str">
        <f t="shared" si="13"/>
        <v>Tuesday</v>
      </c>
      <c r="I108" s="2">
        <v>0.75429398148148152</v>
      </c>
      <c r="J108" s="8">
        <f t="shared" si="14"/>
        <v>18</v>
      </c>
      <c r="K108" s="8">
        <f t="shared" si="15"/>
        <v>6</v>
      </c>
      <c r="L108" t="s">
        <v>23</v>
      </c>
      <c r="M108" t="s">
        <v>24</v>
      </c>
      <c r="N108">
        <v>15</v>
      </c>
      <c r="O108" s="14">
        <v>558.24</v>
      </c>
      <c r="P108">
        <f>VLOOKUP(L108,'Product-cost'!A:B,2,FALSE)</f>
        <v>300</v>
      </c>
      <c r="Q108" t="s">
        <v>32</v>
      </c>
      <c r="R108" t="s">
        <v>101</v>
      </c>
      <c r="S108" t="s">
        <v>18</v>
      </c>
      <c r="T108" t="s">
        <v>893</v>
      </c>
      <c r="U108" s="14">
        <f t="shared" si="16"/>
        <v>8373.6</v>
      </c>
      <c r="V108" s="14">
        <f t="shared" si="17"/>
        <v>4500</v>
      </c>
      <c r="W108" s="10">
        <f>VLOOKUP(Q108,Taxrate!A:B,2,FALSE)</f>
        <v>0.2</v>
      </c>
      <c r="X108" s="14">
        <f t="shared" si="18"/>
        <v>1674.7200000000003</v>
      </c>
      <c r="Y108" s="10">
        <f>VLOOKUP(L108,'Discount Rate'!A:B,2,FALSE)</f>
        <v>0.1</v>
      </c>
      <c r="Z108" s="14">
        <f t="shared" si="19"/>
        <v>837.36000000000013</v>
      </c>
      <c r="AA108" s="14">
        <f t="shared" si="20"/>
        <v>5861.52</v>
      </c>
      <c r="AB108" s="14">
        <f t="shared" si="21"/>
        <v>1361.5200000000004</v>
      </c>
    </row>
    <row r="109" spans="1:28" x14ac:dyDescent="0.25">
      <c r="A109" t="s">
        <v>299</v>
      </c>
      <c r="B109" t="s">
        <v>300</v>
      </c>
      <c r="C109" t="s">
        <v>13</v>
      </c>
      <c r="D109" t="s">
        <v>14</v>
      </c>
      <c r="E109" s="1">
        <v>45555</v>
      </c>
      <c r="F109" s="8">
        <f t="shared" si="11"/>
        <v>2024</v>
      </c>
      <c r="G109" s="1" t="str">
        <f t="shared" si="12"/>
        <v>September</v>
      </c>
      <c r="H109" s="1" t="str">
        <f t="shared" si="13"/>
        <v>Friday</v>
      </c>
      <c r="I109" s="2">
        <v>0.61356481481481484</v>
      </c>
      <c r="J109" s="8">
        <f t="shared" si="14"/>
        <v>14</v>
      </c>
      <c r="K109" s="8">
        <f t="shared" si="15"/>
        <v>43</v>
      </c>
      <c r="L109" t="s">
        <v>30</v>
      </c>
      <c r="M109" t="s">
        <v>31</v>
      </c>
      <c r="N109">
        <v>11</v>
      </c>
      <c r="O109" s="14">
        <v>379.01</v>
      </c>
      <c r="P109">
        <f>VLOOKUP(L109,'Product-cost'!A:B,2,FALSE)</f>
        <v>200</v>
      </c>
      <c r="Q109" t="s">
        <v>55</v>
      </c>
      <c r="R109" t="s">
        <v>33</v>
      </c>
      <c r="S109" t="s">
        <v>88</v>
      </c>
      <c r="T109" t="s">
        <v>893</v>
      </c>
      <c r="U109" s="14">
        <f t="shared" si="16"/>
        <v>4169.1099999999997</v>
      </c>
      <c r="V109" s="14">
        <f t="shared" si="17"/>
        <v>2200</v>
      </c>
      <c r="W109" s="10">
        <f>VLOOKUP(Q109,Taxrate!A:B,2,FALSE)</f>
        <v>0.12</v>
      </c>
      <c r="X109" s="14">
        <f t="shared" si="18"/>
        <v>500.29319999999996</v>
      </c>
      <c r="Y109" s="10">
        <f>VLOOKUP(L109,'Discount Rate'!A:B,2,FALSE)</f>
        <v>0.08</v>
      </c>
      <c r="Z109" s="14">
        <f t="shared" si="19"/>
        <v>333.52879999999999</v>
      </c>
      <c r="AA109" s="14">
        <f t="shared" si="20"/>
        <v>3335.2879999999996</v>
      </c>
      <c r="AB109" s="14">
        <f t="shared" si="21"/>
        <v>1135.2879999999996</v>
      </c>
    </row>
    <row r="110" spans="1:28" x14ac:dyDescent="0.25">
      <c r="A110" t="s">
        <v>301</v>
      </c>
      <c r="B110" t="s">
        <v>302</v>
      </c>
      <c r="C110" t="s">
        <v>72</v>
      </c>
      <c r="D110" t="s">
        <v>59</v>
      </c>
      <c r="E110" s="1">
        <v>45433</v>
      </c>
      <c r="F110" s="8">
        <f t="shared" si="11"/>
        <v>2024</v>
      </c>
      <c r="G110" s="1" t="str">
        <f t="shared" si="12"/>
        <v>May</v>
      </c>
      <c r="H110" s="1" t="str">
        <f t="shared" si="13"/>
        <v>Tuesday</v>
      </c>
      <c r="I110" s="2">
        <v>0.68649305555555551</v>
      </c>
      <c r="J110" s="8">
        <f t="shared" si="14"/>
        <v>16</v>
      </c>
      <c r="K110" s="8">
        <f t="shared" si="15"/>
        <v>28</v>
      </c>
      <c r="L110" t="s">
        <v>30</v>
      </c>
      <c r="M110" t="s">
        <v>31</v>
      </c>
      <c r="N110">
        <v>7</v>
      </c>
      <c r="O110" s="14">
        <v>332.35</v>
      </c>
      <c r="P110">
        <f>VLOOKUP(L110,'Product-cost'!A:B,2,FALSE)</f>
        <v>200</v>
      </c>
      <c r="Q110" t="s">
        <v>55</v>
      </c>
      <c r="R110" t="s">
        <v>75</v>
      </c>
      <c r="S110" t="s">
        <v>115</v>
      </c>
      <c r="T110" t="s">
        <v>893</v>
      </c>
      <c r="U110" s="14">
        <f t="shared" si="16"/>
        <v>2326.4500000000003</v>
      </c>
      <c r="V110" s="14">
        <f t="shared" si="17"/>
        <v>1400</v>
      </c>
      <c r="W110" s="10">
        <f>VLOOKUP(Q110,Taxrate!A:B,2,FALSE)</f>
        <v>0.12</v>
      </c>
      <c r="X110" s="14">
        <f t="shared" si="18"/>
        <v>279.17400000000004</v>
      </c>
      <c r="Y110" s="10">
        <f>VLOOKUP(L110,'Discount Rate'!A:B,2,FALSE)</f>
        <v>0.08</v>
      </c>
      <c r="Z110" s="14">
        <f t="shared" si="19"/>
        <v>186.11600000000001</v>
      </c>
      <c r="AA110" s="14">
        <f t="shared" si="20"/>
        <v>1861.1600000000003</v>
      </c>
      <c r="AB110" s="14">
        <f t="shared" si="21"/>
        <v>461.16000000000031</v>
      </c>
    </row>
    <row r="111" spans="1:28" x14ac:dyDescent="0.25">
      <c r="A111" t="s">
        <v>303</v>
      </c>
      <c r="B111" t="s">
        <v>304</v>
      </c>
      <c r="C111" t="s">
        <v>165</v>
      </c>
      <c r="D111" t="s">
        <v>38</v>
      </c>
      <c r="E111" s="1">
        <v>45084</v>
      </c>
      <c r="F111" s="8">
        <f t="shared" si="11"/>
        <v>2023</v>
      </c>
      <c r="G111" s="1" t="str">
        <f t="shared" si="12"/>
        <v>June</v>
      </c>
      <c r="H111" s="1" t="str">
        <f t="shared" si="13"/>
        <v>Wednesday</v>
      </c>
      <c r="I111" s="2">
        <v>0.83575231481481482</v>
      </c>
      <c r="J111" s="8">
        <f t="shared" si="14"/>
        <v>20</v>
      </c>
      <c r="K111" s="8">
        <f t="shared" si="15"/>
        <v>3</v>
      </c>
      <c r="L111" t="s">
        <v>23</v>
      </c>
      <c r="M111" t="s">
        <v>24</v>
      </c>
      <c r="N111">
        <v>8</v>
      </c>
      <c r="O111" s="14">
        <v>647.64</v>
      </c>
      <c r="P111">
        <f>VLOOKUP(L111,'Product-cost'!A:B,2,FALSE)</f>
        <v>300</v>
      </c>
      <c r="Q111" t="s">
        <v>25</v>
      </c>
      <c r="R111" t="s">
        <v>40</v>
      </c>
      <c r="S111" t="s">
        <v>69</v>
      </c>
      <c r="T111" t="s">
        <v>894</v>
      </c>
      <c r="U111" s="14">
        <f t="shared" si="16"/>
        <v>5181.12</v>
      </c>
      <c r="V111" s="14">
        <f t="shared" si="17"/>
        <v>2400</v>
      </c>
      <c r="W111" s="10">
        <f>VLOOKUP(Q111,Taxrate!A:B,2,FALSE)</f>
        <v>0.1</v>
      </c>
      <c r="X111" s="14">
        <f t="shared" si="18"/>
        <v>518.11199999999997</v>
      </c>
      <c r="Y111" s="10">
        <f>VLOOKUP(L111,'Discount Rate'!A:B,2,FALSE)</f>
        <v>0.1</v>
      </c>
      <c r="Z111" s="14">
        <f t="shared" si="19"/>
        <v>518.11199999999997</v>
      </c>
      <c r="AA111" s="14">
        <f t="shared" si="20"/>
        <v>4144.8959999999997</v>
      </c>
      <c r="AB111" s="14">
        <f t="shared" si="21"/>
        <v>1744.8959999999997</v>
      </c>
    </row>
    <row r="112" spans="1:28" x14ac:dyDescent="0.25">
      <c r="A112" t="s">
        <v>305</v>
      </c>
      <c r="B112" t="s">
        <v>306</v>
      </c>
      <c r="C112" t="s">
        <v>63</v>
      </c>
      <c r="D112" t="s">
        <v>14</v>
      </c>
      <c r="E112" s="1">
        <v>45068</v>
      </c>
      <c r="F112" s="8">
        <f t="shared" si="11"/>
        <v>2023</v>
      </c>
      <c r="G112" s="1" t="str">
        <f t="shared" si="12"/>
        <v>May</v>
      </c>
      <c r="H112" s="1" t="str">
        <f t="shared" si="13"/>
        <v>Monday</v>
      </c>
      <c r="I112" s="2">
        <v>0.34613425925925928</v>
      </c>
      <c r="J112" s="8">
        <f t="shared" si="14"/>
        <v>8</v>
      </c>
      <c r="K112" s="8">
        <f t="shared" si="15"/>
        <v>18</v>
      </c>
      <c r="L112" t="s">
        <v>23</v>
      </c>
      <c r="M112" t="s">
        <v>24</v>
      </c>
      <c r="N112">
        <v>13</v>
      </c>
      <c r="O112" s="14">
        <v>698.79</v>
      </c>
      <c r="P112">
        <f>VLOOKUP(L112,'Product-cost'!A:B,2,FALSE)</f>
        <v>300</v>
      </c>
      <c r="Q112" t="s">
        <v>39</v>
      </c>
      <c r="R112" t="s">
        <v>33</v>
      </c>
      <c r="S112" t="s">
        <v>132</v>
      </c>
      <c r="T112" t="s">
        <v>893</v>
      </c>
      <c r="U112" s="14">
        <f t="shared" si="16"/>
        <v>9084.27</v>
      </c>
      <c r="V112" s="14">
        <f t="shared" si="17"/>
        <v>3900</v>
      </c>
      <c r="W112" s="10">
        <f>VLOOKUP(Q112,Taxrate!A:B,2,FALSE)</f>
        <v>0.15</v>
      </c>
      <c r="X112" s="14">
        <f t="shared" si="18"/>
        <v>1362.6405</v>
      </c>
      <c r="Y112" s="10">
        <f>VLOOKUP(L112,'Discount Rate'!A:B,2,FALSE)</f>
        <v>0.1</v>
      </c>
      <c r="Z112" s="14">
        <f t="shared" si="19"/>
        <v>908.42700000000013</v>
      </c>
      <c r="AA112" s="14">
        <f t="shared" si="20"/>
        <v>6813.2025000000012</v>
      </c>
      <c r="AB112" s="14">
        <f t="shared" si="21"/>
        <v>2913.2025000000012</v>
      </c>
    </row>
    <row r="113" spans="1:28" x14ac:dyDescent="0.25">
      <c r="A113" t="s">
        <v>307</v>
      </c>
      <c r="B113" t="s">
        <v>308</v>
      </c>
      <c r="C113" t="s">
        <v>129</v>
      </c>
      <c r="D113" t="s">
        <v>22</v>
      </c>
      <c r="E113" s="1">
        <v>45639</v>
      </c>
      <c r="F113" s="8">
        <f t="shared" si="11"/>
        <v>2024</v>
      </c>
      <c r="G113" s="1" t="str">
        <f t="shared" si="12"/>
        <v>December</v>
      </c>
      <c r="H113" s="1" t="str">
        <f t="shared" si="13"/>
        <v>Friday</v>
      </c>
      <c r="I113" s="2">
        <v>0.44056712962962963</v>
      </c>
      <c r="J113" s="8">
        <f t="shared" si="14"/>
        <v>10</v>
      </c>
      <c r="K113" s="8">
        <f t="shared" si="15"/>
        <v>34</v>
      </c>
      <c r="L113" t="s">
        <v>46</v>
      </c>
      <c r="M113" t="s">
        <v>47</v>
      </c>
      <c r="N113">
        <v>4</v>
      </c>
      <c r="O113" s="14">
        <v>259.18</v>
      </c>
      <c r="P113">
        <f>VLOOKUP(L113,'Product-cost'!A:B,2,FALSE)</f>
        <v>150</v>
      </c>
      <c r="Q113" t="s">
        <v>25</v>
      </c>
      <c r="R113" t="s">
        <v>26</v>
      </c>
      <c r="S113" t="s">
        <v>132</v>
      </c>
      <c r="T113" t="s">
        <v>893</v>
      </c>
      <c r="U113" s="14">
        <f t="shared" si="16"/>
        <v>1036.72</v>
      </c>
      <c r="V113" s="14">
        <f t="shared" si="17"/>
        <v>600</v>
      </c>
      <c r="W113" s="10">
        <f>VLOOKUP(Q113,Taxrate!A:B,2,FALSE)</f>
        <v>0.1</v>
      </c>
      <c r="X113" s="14">
        <f t="shared" si="18"/>
        <v>103.67200000000001</v>
      </c>
      <c r="Y113" s="10">
        <f>VLOOKUP(L113,'Discount Rate'!A:B,2,FALSE)</f>
        <v>7.0000000000000007E-2</v>
      </c>
      <c r="Z113" s="14">
        <f t="shared" si="19"/>
        <v>72.570400000000006</v>
      </c>
      <c r="AA113" s="14">
        <f t="shared" si="20"/>
        <v>860.47759999999994</v>
      </c>
      <c r="AB113" s="14">
        <f t="shared" si="21"/>
        <v>260.47759999999994</v>
      </c>
    </row>
    <row r="114" spans="1:28" x14ac:dyDescent="0.25">
      <c r="A114" t="s">
        <v>309</v>
      </c>
      <c r="B114" t="s">
        <v>310</v>
      </c>
      <c r="C114" t="s">
        <v>178</v>
      </c>
      <c r="D114" t="s">
        <v>59</v>
      </c>
      <c r="E114" s="1">
        <v>45110</v>
      </c>
      <c r="F114" s="8">
        <f t="shared" si="11"/>
        <v>2023</v>
      </c>
      <c r="G114" s="1" t="str">
        <f t="shared" si="12"/>
        <v>July</v>
      </c>
      <c r="H114" s="1" t="str">
        <f t="shared" si="13"/>
        <v>Monday</v>
      </c>
      <c r="I114" s="2">
        <v>0.74304398148148143</v>
      </c>
      <c r="J114" s="8">
        <f t="shared" si="14"/>
        <v>17</v>
      </c>
      <c r="K114" s="8">
        <f t="shared" si="15"/>
        <v>49</v>
      </c>
      <c r="L114" t="s">
        <v>15</v>
      </c>
      <c r="M114" t="s">
        <v>16</v>
      </c>
      <c r="N114">
        <v>2</v>
      </c>
      <c r="O114" s="14">
        <v>500</v>
      </c>
      <c r="P114">
        <f>VLOOKUP(L114,'Product-cost'!A:B,2,FALSE)</f>
        <v>600</v>
      </c>
      <c r="Q114" t="s">
        <v>51</v>
      </c>
      <c r="R114" t="s">
        <v>60</v>
      </c>
      <c r="S114" t="s">
        <v>41</v>
      </c>
      <c r="T114" t="s">
        <v>893</v>
      </c>
      <c r="U114" s="14">
        <f t="shared" si="16"/>
        <v>1000</v>
      </c>
      <c r="V114" s="14">
        <f t="shared" si="17"/>
        <v>1200</v>
      </c>
      <c r="W114" s="10">
        <f>VLOOKUP(Q114,Taxrate!A:B,2,FALSE)</f>
        <v>7.0000000000000007E-2</v>
      </c>
      <c r="X114" s="14">
        <f t="shared" si="18"/>
        <v>70</v>
      </c>
      <c r="Y114" s="10">
        <f>VLOOKUP(L114,'Discount Rate'!A:B,2,FALSE)</f>
        <v>0.05</v>
      </c>
      <c r="Z114" s="14">
        <f t="shared" si="19"/>
        <v>50</v>
      </c>
      <c r="AA114" s="14">
        <f t="shared" si="20"/>
        <v>880</v>
      </c>
      <c r="AB114" s="14">
        <f t="shared" si="21"/>
        <v>-320</v>
      </c>
    </row>
    <row r="115" spans="1:28" x14ac:dyDescent="0.25">
      <c r="A115" t="s">
        <v>311</v>
      </c>
      <c r="B115" t="s">
        <v>312</v>
      </c>
      <c r="C115" t="s">
        <v>44</v>
      </c>
      <c r="D115" t="s">
        <v>45</v>
      </c>
      <c r="E115" s="1">
        <v>45958</v>
      </c>
      <c r="F115" s="8">
        <f t="shared" si="11"/>
        <v>2025</v>
      </c>
      <c r="G115" s="1" t="str">
        <f t="shared" si="12"/>
        <v>October</v>
      </c>
      <c r="H115" s="1" t="str">
        <f t="shared" si="13"/>
        <v>Tuesday</v>
      </c>
      <c r="I115" s="2">
        <v>0.49511574074074072</v>
      </c>
      <c r="J115" s="8">
        <f t="shared" si="14"/>
        <v>11</v>
      </c>
      <c r="K115" s="8">
        <f t="shared" si="15"/>
        <v>52</v>
      </c>
      <c r="L115" t="s">
        <v>46</v>
      </c>
      <c r="M115" t="s">
        <v>47</v>
      </c>
      <c r="N115">
        <v>10</v>
      </c>
      <c r="O115" s="14">
        <v>266.02</v>
      </c>
      <c r="P115">
        <f>VLOOKUP(L115,'Product-cost'!A:B,2,FALSE)</f>
        <v>150</v>
      </c>
      <c r="Q115" t="s">
        <v>32</v>
      </c>
      <c r="R115" t="s">
        <v>80</v>
      </c>
      <c r="S115" t="s">
        <v>41</v>
      </c>
      <c r="T115" t="s">
        <v>893</v>
      </c>
      <c r="U115" s="14">
        <f t="shared" si="16"/>
        <v>2660.2</v>
      </c>
      <c r="V115" s="14">
        <f t="shared" si="17"/>
        <v>1500</v>
      </c>
      <c r="W115" s="10">
        <f>VLOOKUP(Q115,Taxrate!A:B,2,FALSE)</f>
        <v>0.2</v>
      </c>
      <c r="X115" s="14">
        <f t="shared" si="18"/>
        <v>532.04</v>
      </c>
      <c r="Y115" s="10">
        <f>VLOOKUP(L115,'Discount Rate'!A:B,2,FALSE)</f>
        <v>7.0000000000000007E-2</v>
      </c>
      <c r="Z115" s="14">
        <f t="shared" si="19"/>
        <v>186.214</v>
      </c>
      <c r="AA115" s="14">
        <f t="shared" si="20"/>
        <v>1941.9459999999999</v>
      </c>
      <c r="AB115" s="14">
        <f t="shared" si="21"/>
        <v>441.94599999999991</v>
      </c>
    </row>
    <row r="116" spans="1:28" x14ac:dyDescent="0.25">
      <c r="A116" t="s">
        <v>313</v>
      </c>
      <c r="B116" t="s">
        <v>314</v>
      </c>
      <c r="C116" t="s">
        <v>58</v>
      </c>
      <c r="D116" t="s">
        <v>59</v>
      </c>
      <c r="E116" s="1">
        <v>46317</v>
      </c>
      <c r="F116" s="8">
        <f t="shared" si="11"/>
        <v>2026</v>
      </c>
      <c r="G116" s="1" t="str">
        <f t="shared" si="12"/>
        <v>October</v>
      </c>
      <c r="H116" s="1" t="str">
        <f t="shared" si="13"/>
        <v>Thursday</v>
      </c>
      <c r="I116" s="2">
        <v>0.68822916666666667</v>
      </c>
      <c r="J116" s="8">
        <f t="shared" si="14"/>
        <v>16</v>
      </c>
      <c r="K116" s="8">
        <f t="shared" si="15"/>
        <v>31</v>
      </c>
      <c r="L116" t="s">
        <v>30</v>
      </c>
      <c r="M116" t="s">
        <v>31</v>
      </c>
      <c r="N116">
        <v>11</v>
      </c>
      <c r="O116" s="14">
        <v>424.89</v>
      </c>
      <c r="P116">
        <f>VLOOKUP(L116,'Product-cost'!A:B,2,FALSE)</f>
        <v>200</v>
      </c>
      <c r="Q116" t="s">
        <v>39</v>
      </c>
      <c r="R116" t="s">
        <v>60</v>
      </c>
      <c r="S116" t="s">
        <v>96</v>
      </c>
      <c r="T116" t="s">
        <v>893</v>
      </c>
      <c r="U116" s="14">
        <f t="shared" si="16"/>
        <v>4673.79</v>
      </c>
      <c r="V116" s="14">
        <f t="shared" si="17"/>
        <v>2200</v>
      </c>
      <c r="W116" s="10">
        <f>VLOOKUP(Q116,Taxrate!A:B,2,FALSE)</f>
        <v>0.15</v>
      </c>
      <c r="X116" s="14">
        <f t="shared" si="18"/>
        <v>701.06849999999997</v>
      </c>
      <c r="Y116" s="10">
        <f>VLOOKUP(L116,'Discount Rate'!A:B,2,FALSE)</f>
        <v>0.08</v>
      </c>
      <c r="Z116" s="14">
        <f t="shared" si="19"/>
        <v>373.90320000000003</v>
      </c>
      <c r="AA116" s="14">
        <f t="shared" si="20"/>
        <v>3598.8182999999999</v>
      </c>
      <c r="AB116" s="14">
        <f t="shared" si="21"/>
        <v>1398.8182999999999</v>
      </c>
    </row>
    <row r="117" spans="1:28" x14ac:dyDescent="0.25">
      <c r="A117" t="s">
        <v>315</v>
      </c>
      <c r="B117" t="s">
        <v>316</v>
      </c>
      <c r="C117" t="s">
        <v>139</v>
      </c>
      <c r="D117" t="s">
        <v>22</v>
      </c>
      <c r="E117" s="1">
        <v>46078</v>
      </c>
      <c r="F117" s="8">
        <f t="shared" si="11"/>
        <v>2026</v>
      </c>
      <c r="G117" s="1" t="str">
        <f t="shared" si="12"/>
        <v>February</v>
      </c>
      <c r="H117" s="1" t="str">
        <f t="shared" si="13"/>
        <v>Wednesday</v>
      </c>
      <c r="I117" s="2">
        <v>0.60802083333333334</v>
      </c>
      <c r="J117" s="8">
        <f t="shared" si="14"/>
        <v>14</v>
      </c>
      <c r="K117" s="8">
        <f t="shared" si="15"/>
        <v>35</v>
      </c>
      <c r="L117" t="s">
        <v>23</v>
      </c>
      <c r="M117" t="s">
        <v>24</v>
      </c>
      <c r="N117">
        <v>5</v>
      </c>
      <c r="O117" s="14">
        <v>674.01</v>
      </c>
      <c r="P117">
        <f>VLOOKUP(L117,'Product-cost'!A:B,2,FALSE)</f>
        <v>300</v>
      </c>
      <c r="Q117" t="s">
        <v>39</v>
      </c>
      <c r="R117" t="s">
        <v>143</v>
      </c>
      <c r="T117" t="s">
        <v>895</v>
      </c>
      <c r="U117" s="14">
        <f t="shared" si="16"/>
        <v>3370.05</v>
      </c>
      <c r="V117" s="14">
        <f t="shared" si="17"/>
        <v>1500</v>
      </c>
      <c r="W117" s="10">
        <f>VLOOKUP(Q117,Taxrate!A:B,2,FALSE)</f>
        <v>0.15</v>
      </c>
      <c r="X117" s="14">
        <f t="shared" si="18"/>
        <v>505.50749999999999</v>
      </c>
      <c r="Y117" s="10">
        <f>VLOOKUP(L117,'Discount Rate'!A:B,2,FALSE)</f>
        <v>0.1</v>
      </c>
      <c r="Z117" s="14">
        <f t="shared" si="19"/>
        <v>337.00500000000005</v>
      </c>
      <c r="AA117" s="14">
        <f t="shared" si="20"/>
        <v>2527.5374999999999</v>
      </c>
      <c r="AB117" s="14">
        <f t="shared" si="21"/>
        <v>1027.5374999999999</v>
      </c>
    </row>
    <row r="118" spans="1:28" x14ac:dyDescent="0.25">
      <c r="A118" t="s">
        <v>317</v>
      </c>
      <c r="B118" t="s">
        <v>318</v>
      </c>
      <c r="C118" t="s">
        <v>66</v>
      </c>
      <c r="D118" t="s">
        <v>67</v>
      </c>
      <c r="E118" s="1">
        <v>46130</v>
      </c>
      <c r="F118" s="8">
        <f t="shared" si="11"/>
        <v>2026</v>
      </c>
      <c r="G118" s="1" t="str">
        <f t="shared" si="12"/>
        <v>April</v>
      </c>
      <c r="H118" s="1" t="str">
        <f t="shared" si="13"/>
        <v>Saturday</v>
      </c>
      <c r="I118" s="2">
        <v>0.63466435185185188</v>
      </c>
      <c r="J118" s="8">
        <f t="shared" si="14"/>
        <v>15</v>
      </c>
      <c r="K118" s="8">
        <f t="shared" si="15"/>
        <v>13</v>
      </c>
      <c r="L118" t="s">
        <v>30</v>
      </c>
      <c r="M118" t="s">
        <v>31</v>
      </c>
      <c r="N118">
        <v>15</v>
      </c>
      <c r="O118" s="14">
        <v>500</v>
      </c>
      <c r="P118">
        <f>VLOOKUP(L118,'Product-cost'!A:B,2,FALSE)</f>
        <v>200</v>
      </c>
      <c r="Q118" t="s">
        <v>32</v>
      </c>
      <c r="R118" t="s">
        <v>173</v>
      </c>
      <c r="S118" t="s">
        <v>96</v>
      </c>
      <c r="T118" t="s">
        <v>893</v>
      </c>
      <c r="U118" s="14">
        <f t="shared" si="16"/>
        <v>7500</v>
      </c>
      <c r="V118" s="14">
        <f t="shared" si="17"/>
        <v>3000</v>
      </c>
      <c r="W118" s="10">
        <f>VLOOKUP(Q118,Taxrate!A:B,2,FALSE)</f>
        <v>0.2</v>
      </c>
      <c r="X118" s="14">
        <f t="shared" si="18"/>
        <v>1500</v>
      </c>
      <c r="Y118" s="10">
        <f>VLOOKUP(L118,'Discount Rate'!A:B,2,FALSE)</f>
        <v>0.08</v>
      </c>
      <c r="Z118" s="14">
        <f t="shared" si="19"/>
        <v>600</v>
      </c>
      <c r="AA118" s="14">
        <f t="shared" si="20"/>
        <v>5400</v>
      </c>
      <c r="AB118" s="14">
        <f t="shared" si="21"/>
        <v>2400</v>
      </c>
    </row>
    <row r="119" spans="1:28" x14ac:dyDescent="0.25">
      <c r="A119" t="s">
        <v>319</v>
      </c>
      <c r="B119" t="s">
        <v>320</v>
      </c>
      <c r="C119" t="s">
        <v>21</v>
      </c>
      <c r="D119" t="s">
        <v>22</v>
      </c>
      <c r="E119" s="1">
        <v>45330</v>
      </c>
      <c r="F119" s="8">
        <f t="shared" si="11"/>
        <v>2024</v>
      </c>
      <c r="G119" s="1" t="str">
        <f t="shared" si="12"/>
        <v>February</v>
      </c>
      <c r="H119" s="1" t="str">
        <f t="shared" si="13"/>
        <v>Thursday</v>
      </c>
      <c r="I119" s="2">
        <v>0.64908564814814818</v>
      </c>
      <c r="J119" s="8">
        <f t="shared" si="14"/>
        <v>15</v>
      </c>
      <c r="K119" s="8">
        <f t="shared" si="15"/>
        <v>34</v>
      </c>
      <c r="L119" t="s">
        <v>30</v>
      </c>
      <c r="M119" t="s">
        <v>31</v>
      </c>
      <c r="N119">
        <v>6</v>
      </c>
      <c r="O119" s="14">
        <v>419.46</v>
      </c>
      <c r="P119">
        <f>VLOOKUP(L119,'Product-cost'!A:B,2,FALSE)</f>
        <v>200</v>
      </c>
      <c r="Q119" t="s">
        <v>51</v>
      </c>
      <c r="R119" t="s">
        <v>26</v>
      </c>
      <c r="S119" t="s">
        <v>123</v>
      </c>
      <c r="T119" t="s">
        <v>893</v>
      </c>
      <c r="U119" s="14">
        <f t="shared" si="16"/>
        <v>2516.7599999999998</v>
      </c>
      <c r="V119" s="14">
        <f t="shared" si="17"/>
        <v>1200</v>
      </c>
      <c r="W119" s="10">
        <f>VLOOKUP(Q119,Taxrate!A:B,2,FALSE)</f>
        <v>7.0000000000000007E-2</v>
      </c>
      <c r="X119" s="14">
        <f t="shared" si="18"/>
        <v>176.17320000000001</v>
      </c>
      <c r="Y119" s="10">
        <f>VLOOKUP(L119,'Discount Rate'!A:B,2,FALSE)</f>
        <v>0.08</v>
      </c>
      <c r="Z119" s="14">
        <f t="shared" si="19"/>
        <v>201.34079999999997</v>
      </c>
      <c r="AA119" s="14">
        <f t="shared" si="20"/>
        <v>2139.2459999999996</v>
      </c>
      <c r="AB119" s="14">
        <f t="shared" si="21"/>
        <v>939.24599999999964</v>
      </c>
    </row>
    <row r="120" spans="1:28" x14ac:dyDescent="0.25">
      <c r="A120" t="s">
        <v>321</v>
      </c>
      <c r="B120" t="s">
        <v>283</v>
      </c>
      <c r="C120" t="s">
        <v>21</v>
      </c>
      <c r="D120" t="s">
        <v>22</v>
      </c>
      <c r="E120" s="1">
        <v>44987</v>
      </c>
      <c r="F120" s="8">
        <f t="shared" si="11"/>
        <v>2023</v>
      </c>
      <c r="G120" s="1" t="str">
        <f t="shared" si="12"/>
        <v>March</v>
      </c>
      <c r="H120" s="1" t="str">
        <f t="shared" si="13"/>
        <v>Thursday</v>
      </c>
      <c r="I120" s="2">
        <v>0.70806712962962959</v>
      </c>
      <c r="J120" s="8">
        <f t="shared" si="14"/>
        <v>16</v>
      </c>
      <c r="K120" s="8">
        <f t="shared" si="15"/>
        <v>59</v>
      </c>
      <c r="L120" t="s">
        <v>46</v>
      </c>
      <c r="M120" t="s">
        <v>47</v>
      </c>
      <c r="N120">
        <v>5</v>
      </c>
      <c r="O120" s="14">
        <v>212.29</v>
      </c>
      <c r="P120">
        <f>VLOOKUP(L120,'Product-cost'!A:B,2,FALSE)</f>
        <v>150</v>
      </c>
      <c r="Q120" t="s">
        <v>39</v>
      </c>
      <c r="R120" t="s">
        <v>52</v>
      </c>
      <c r="S120" t="s">
        <v>123</v>
      </c>
      <c r="T120" t="s">
        <v>893</v>
      </c>
      <c r="U120" s="14">
        <f t="shared" si="16"/>
        <v>1061.45</v>
      </c>
      <c r="V120" s="14">
        <f t="shared" si="17"/>
        <v>750</v>
      </c>
      <c r="W120" s="10">
        <f>VLOOKUP(Q120,Taxrate!A:B,2,FALSE)</f>
        <v>0.15</v>
      </c>
      <c r="X120" s="14">
        <f t="shared" si="18"/>
        <v>159.2175</v>
      </c>
      <c r="Y120" s="10">
        <f>VLOOKUP(L120,'Discount Rate'!A:B,2,FALSE)</f>
        <v>7.0000000000000007E-2</v>
      </c>
      <c r="Z120" s="14">
        <f t="shared" si="19"/>
        <v>74.301500000000004</v>
      </c>
      <c r="AA120" s="14">
        <f t="shared" si="20"/>
        <v>827.93100000000004</v>
      </c>
      <c r="AB120" s="14">
        <f t="shared" si="21"/>
        <v>77.93100000000004</v>
      </c>
    </row>
    <row r="121" spans="1:28" x14ac:dyDescent="0.25">
      <c r="A121" t="s">
        <v>322</v>
      </c>
      <c r="B121" t="s">
        <v>323</v>
      </c>
      <c r="C121" t="s">
        <v>72</v>
      </c>
      <c r="D121" t="s">
        <v>59</v>
      </c>
      <c r="E121" s="1">
        <v>45242</v>
      </c>
      <c r="F121" s="8">
        <f t="shared" si="11"/>
        <v>2023</v>
      </c>
      <c r="G121" s="1" t="str">
        <f t="shared" si="12"/>
        <v>November</v>
      </c>
      <c r="H121" s="1" t="str">
        <f t="shared" si="13"/>
        <v>Sunday</v>
      </c>
      <c r="I121" s="2">
        <v>0.42275462962962962</v>
      </c>
      <c r="J121" s="8">
        <f t="shared" si="14"/>
        <v>10</v>
      </c>
      <c r="K121" s="8">
        <f t="shared" si="15"/>
        <v>8</v>
      </c>
      <c r="L121" t="s">
        <v>46</v>
      </c>
      <c r="M121" t="s">
        <v>47</v>
      </c>
      <c r="N121">
        <v>15</v>
      </c>
      <c r="O121" s="14">
        <v>284.94</v>
      </c>
      <c r="P121">
        <f>VLOOKUP(L121,'Product-cost'!A:B,2,FALSE)</f>
        <v>150</v>
      </c>
      <c r="Q121" t="s">
        <v>51</v>
      </c>
      <c r="R121" t="s">
        <v>222</v>
      </c>
      <c r="S121" t="s">
        <v>152</v>
      </c>
      <c r="T121" t="s">
        <v>893</v>
      </c>
      <c r="U121" s="14">
        <f t="shared" si="16"/>
        <v>4274.1000000000004</v>
      </c>
      <c r="V121" s="14">
        <f t="shared" si="17"/>
        <v>2250</v>
      </c>
      <c r="W121" s="10">
        <f>VLOOKUP(Q121,Taxrate!A:B,2,FALSE)</f>
        <v>7.0000000000000007E-2</v>
      </c>
      <c r="X121" s="14">
        <f t="shared" si="18"/>
        <v>299.18700000000007</v>
      </c>
      <c r="Y121" s="10">
        <f>VLOOKUP(L121,'Discount Rate'!A:B,2,FALSE)</f>
        <v>7.0000000000000007E-2</v>
      </c>
      <c r="Z121" s="14">
        <f t="shared" si="19"/>
        <v>299.18700000000007</v>
      </c>
      <c r="AA121" s="14">
        <f t="shared" si="20"/>
        <v>3675.7260000000006</v>
      </c>
      <c r="AB121" s="14">
        <f t="shared" si="21"/>
        <v>1425.7260000000006</v>
      </c>
    </row>
    <row r="122" spans="1:28" x14ac:dyDescent="0.25">
      <c r="A122" t="s">
        <v>324</v>
      </c>
      <c r="B122" t="s">
        <v>149</v>
      </c>
      <c r="C122" t="s">
        <v>66</v>
      </c>
      <c r="D122" t="s">
        <v>67</v>
      </c>
      <c r="E122" s="1">
        <v>44945</v>
      </c>
      <c r="F122" s="8">
        <f t="shared" si="11"/>
        <v>2023</v>
      </c>
      <c r="G122" s="1" t="str">
        <f t="shared" si="12"/>
        <v>January</v>
      </c>
      <c r="H122" s="1" t="str">
        <f t="shared" si="13"/>
        <v>Thursday</v>
      </c>
      <c r="I122" s="2">
        <v>0.68707175925925923</v>
      </c>
      <c r="J122" s="8">
        <f t="shared" si="14"/>
        <v>16</v>
      </c>
      <c r="K122" s="8">
        <f t="shared" si="15"/>
        <v>29</v>
      </c>
      <c r="L122" t="s">
        <v>15</v>
      </c>
      <c r="M122" t="s">
        <v>16</v>
      </c>
      <c r="N122">
        <v>11</v>
      </c>
      <c r="O122" s="14">
        <v>1256.3800000000001</v>
      </c>
      <c r="P122">
        <f>VLOOKUP(L122,'Product-cost'!A:B,2,FALSE)</f>
        <v>600</v>
      </c>
      <c r="Q122" t="s">
        <v>39</v>
      </c>
      <c r="R122" t="s">
        <v>173</v>
      </c>
      <c r="S122" t="s">
        <v>18</v>
      </c>
      <c r="T122" t="s">
        <v>893</v>
      </c>
      <c r="U122" s="14">
        <f t="shared" si="16"/>
        <v>13820.18</v>
      </c>
      <c r="V122" s="14">
        <f t="shared" si="17"/>
        <v>6600</v>
      </c>
      <c r="W122" s="10">
        <f>VLOOKUP(Q122,Taxrate!A:B,2,FALSE)</f>
        <v>0.15</v>
      </c>
      <c r="X122" s="14">
        <f t="shared" si="18"/>
        <v>2073.027</v>
      </c>
      <c r="Y122" s="10">
        <f>VLOOKUP(L122,'Discount Rate'!A:B,2,FALSE)</f>
        <v>0.05</v>
      </c>
      <c r="Z122" s="14">
        <f t="shared" si="19"/>
        <v>691.00900000000001</v>
      </c>
      <c r="AA122" s="14">
        <f t="shared" si="20"/>
        <v>11056.144</v>
      </c>
      <c r="AB122" s="14">
        <f t="shared" si="21"/>
        <v>4456.1440000000002</v>
      </c>
    </row>
    <row r="123" spans="1:28" x14ac:dyDescent="0.25">
      <c r="A123" t="s">
        <v>325</v>
      </c>
      <c r="B123" t="s">
        <v>326</v>
      </c>
      <c r="C123" t="s">
        <v>126</v>
      </c>
      <c r="D123" t="s">
        <v>22</v>
      </c>
      <c r="E123" s="1">
        <v>45352</v>
      </c>
      <c r="F123" s="8">
        <f t="shared" si="11"/>
        <v>2024</v>
      </c>
      <c r="G123" s="1" t="str">
        <f t="shared" si="12"/>
        <v>March</v>
      </c>
      <c r="H123" s="1" t="str">
        <f t="shared" si="13"/>
        <v>Friday</v>
      </c>
      <c r="I123" s="2">
        <v>0.39802083333333332</v>
      </c>
      <c r="J123" s="8">
        <f t="shared" si="14"/>
        <v>9</v>
      </c>
      <c r="K123" s="8">
        <f t="shared" si="15"/>
        <v>33</v>
      </c>
      <c r="L123" t="s">
        <v>23</v>
      </c>
      <c r="M123" t="s">
        <v>24</v>
      </c>
      <c r="N123">
        <v>9</v>
      </c>
      <c r="O123" s="14">
        <v>586.33000000000004</v>
      </c>
      <c r="P123">
        <f>VLOOKUP(L123,'Product-cost'!A:B,2,FALSE)</f>
        <v>300</v>
      </c>
      <c r="Q123" t="s">
        <v>39</v>
      </c>
      <c r="R123" t="s">
        <v>52</v>
      </c>
      <c r="S123" t="s">
        <v>41</v>
      </c>
      <c r="T123" t="s">
        <v>893</v>
      </c>
      <c r="U123" s="14">
        <f t="shared" si="16"/>
        <v>5276.97</v>
      </c>
      <c r="V123" s="14">
        <f t="shared" si="17"/>
        <v>2700</v>
      </c>
      <c r="W123" s="10">
        <f>VLOOKUP(Q123,Taxrate!A:B,2,FALSE)</f>
        <v>0.15</v>
      </c>
      <c r="X123" s="14">
        <f t="shared" si="18"/>
        <v>791.54550000000006</v>
      </c>
      <c r="Y123" s="10">
        <f>VLOOKUP(L123,'Discount Rate'!A:B,2,FALSE)</f>
        <v>0.1</v>
      </c>
      <c r="Z123" s="14">
        <f t="shared" si="19"/>
        <v>527.697</v>
      </c>
      <c r="AA123" s="14">
        <f t="shared" si="20"/>
        <v>3957.7275</v>
      </c>
      <c r="AB123" s="14">
        <f t="shared" si="21"/>
        <v>1257.7275</v>
      </c>
    </row>
    <row r="124" spans="1:28" x14ac:dyDescent="0.25">
      <c r="A124" t="s">
        <v>327</v>
      </c>
      <c r="B124" t="s">
        <v>328</v>
      </c>
      <c r="C124" t="s">
        <v>66</v>
      </c>
      <c r="D124" t="s">
        <v>67</v>
      </c>
      <c r="E124" s="1">
        <v>45237</v>
      </c>
      <c r="F124" s="8">
        <f t="shared" si="11"/>
        <v>2023</v>
      </c>
      <c r="G124" s="1" t="str">
        <f t="shared" si="12"/>
        <v>November</v>
      </c>
      <c r="H124" s="1" t="str">
        <f t="shared" si="13"/>
        <v>Tuesday</v>
      </c>
      <c r="I124" s="2">
        <v>0.60040509259259256</v>
      </c>
      <c r="J124" s="8">
        <f t="shared" si="14"/>
        <v>14</v>
      </c>
      <c r="K124" s="8">
        <f t="shared" si="15"/>
        <v>24</v>
      </c>
      <c r="L124" t="s">
        <v>73</v>
      </c>
      <c r="M124" t="s">
        <v>74</v>
      </c>
      <c r="N124">
        <v>7</v>
      </c>
      <c r="O124" s="14">
        <v>500</v>
      </c>
      <c r="P124">
        <f>VLOOKUP(L124,'Product-cost'!A:B,2,FALSE)</f>
        <v>50</v>
      </c>
      <c r="Q124" t="s">
        <v>32</v>
      </c>
      <c r="R124" t="s">
        <v>173</v>
      </c>
      <c r="S124" t="s">
        <v>123</v>
      </c>
      <c r="T124" t="s">
        <v>893</v>
      </c>
      <c r="U124" s="14">
        <f t="shared" si="16"/>
        <v>3500</v>
      </c>
      <c r="V124" s="14">
        <f t="shared" si="17"/>
        <v>350</v>
      </c>
      <c r="W124" s="10">
        <f>VLOOKUP(Q124,Taxrate!A:B,2,FALSE)</f>
        <v>0.2</v>
      </c>
      <c r="X124" s="14">
        <f t="shared" si="18"/>
        <v>700</v>
      </c>
      <c r="Y124" s="10">
        <f>VLOOKUP(L124,'Discount Rate'!A:B,2,FALSE)</f>
        <v>0.03</v>
      </c>
      <c r="Z124" s="14">
        <f t="shared" si="19"/>
        <v>105</v>
      </c>
      <c r="AA124" s="14">
        <f t="shared" si="20"/>
        <v>2695</v>
      </c>
      <c r="AB124" s="14">
        <f t="shared" si="21"/>
        <v>2345</v>
      </c>
    </row>
    <row r="125" spans="1:28" x14ac:dyDescent="0.25">
      <c r="A125" t="s">
        <v>329</v>
      </c>
      <c r="B125" t="s">
        <v>330</v>
      </c>
      <c r="C125" t="s">
        <v>44</v>
      </c>
      <c r="D125" t="s">
        <v>45</v>
      </c>
      <c r="E125" s="1">
        <v>45507</v>
      </c>
      <c r="F125" s="8">
        <f t="shared" si="11"/>
        <v>2024</v>
      </c>
      <c r="G125" s="1" t="str">
        <f t="shared" si="12"/>
        <v>August</v>
      </c>
      <c r="H125" s="1" t="str">
        <f t="shared" si="13"/>
        <v>Saturday</v>
      </c>
      <c r="I125" s="2">
        <v>0.50207175925925929</v>
      </c>
      <c r="J125" s="8">
        <f t="shared" si="14"/>
        <v>12</v>
      </c>
      <c r="K125" s="8">
        <f t="shared" si="15"/>
        <v>2</v>
      </c>
      <c r="L125" t="s">
        <v>15</v>
      </c>
      <c r="M125" t="s">
        <v>16</v>
      </c>
      <c r="N125">
        <v>5</v>
      </c>
      <c r="O125" s="14">
        <v>1081.75</v>
      </c>
      <c r="P125">
        <f>VLOOKUP(L125,'Product-cost'!A:B,2,FALSE)</f>
        <v>600</v>
      </c>
      <c r="Q125" t="s">
        <v>51</v>
      </c>
      <c r="R125" t="s">
        <v>80</v>
      </c>
      <c r="S125" t="s">
        <v>69</v>
      </c>
      <c r="T125" t="s">
        <v>894</v>
      </c>
      <c r="U125" s="14">
        <f t="shared" si="16"/>
        <v>5408.75</v>
      </c>
      <c r="V125" s="14">
        <f t="shared" si="17"/>
        <v>3000</v>
      </c>
      <c r="W125" s="10">
        <f>VLOOKUP(Q125,Taxrate!A:B,2,FALSE)</f>
        <v>7.0000000000000007E-2</v>
      </c>
      <c r="X125" s="14">
        <f t="shared" si="18"/>
        <v>378.61250000000001</v>
      </c>
      <c r="Y125" s="10">
        <f>VLOOKUP(L125,'Discount Rate'!A:B,2,FALSE)</f>
        <v>0.05</v>
      </c>
      <c r="Z125" s="14">
        <f t="shared" si="19"/>
        <v>270.4375</v>
      </c>
      <c r="AA125" s="14">
        <f t="shared" si="20"/>
        <v>4759.7</v>
      </c>
      <c r="AB125" s="14">
        <f t="shared" si="21"/>
        <v>1759.6999999999998</v>
      </c>
    </row>
    <row r="126" spans="1:28" x14ac:dyDescent="0.25">
      <c r="A126" t="s">
        <v>331</v>
      </c>
      <c r="B126" t="s">
        <v>332</v>
      </c>
      <c r="C126" t="s">
        <v>66</v>
      </c>
      <c r="D126" t="s">
        <v>67</v>
      </c>
      <c r="E126" s="1">
        <v>45259</v>
      </c>
      <c r="F126" s="8">
        <f t="shared" si="11"/>
        <v>2023</v>
      </c>
      <c r="G126" s="1" t="str">
        <f t="shared" si="12"/>
        <v>November</v>
      </c>
      <c r="H126" s="1" t="str">
        <f t="shared" si="13"/>
        <v>Wednesday</v>
      </c>
      <c r="I126" s="2">
        <v>0.74576388888888889</v>
      </c>
      <c r="J126" s="8">
        <f t="shared" si="14"/>
        <v>17</v>
      </c>
      <c r="K126" s="8">
        <f t="shared" si="15"/>
        <v>53</v>
      </c>
      <c r="L126" t="s">
        <v>73</v>
      </c>
      <c r="M126" t="s">
        <v>74</v>
      </c>
      <c r="N126">
        <v>9</v>
      </c>
      <c r="O126" s="14">
        <v>176.67</v>
      </c>
      <c r="P126">
        <f>VLOOKUP(L126,'Product-cost'!A:B,2,FALSE)</f>
        <v>50</v>
      </c>
      <c r="Q126" t="s">
        <v>32</v>
      </c>
      <c r="R126" t="s">
        <v>68</v>
      </c>
      <c r="T126" t="s">
        <v>895</v>
      </c>
      <c r="U126" s="14">
        <f t="shared" si="16"/>
        <v>1590.03</v>
      </c>
      <c r="V126" s="14">
        <f t="shared" si="17"/>
        <v>450</v>
      </c>
      <c r="W126" s="10">
        <f>VLOOKUP(Q126,Taxrate!A:B,2,FALSE)</f>
        <v>0.2</v>
      </c>
      <c r="X126" s="14">
        <f t="shared" si="18"/>
        <v>318.00600000000003</v>
      </c>
      <c r="Y126" s="10">
        <f>VLOOKUP(L126,'Discount Rate'!A:B,2,FALSE)</f>
        <v>0.03</v>
      </c>
      <c r="Z126" s="14">
        <f t="shared" si="19"/>
        <v>47.700899999999997</v>
      </c>
      <c r="AA126" s="14">
        <f t="shared" si="20"/>
        <v>1224.3230999999998</v>
      </c>
      <c r="AB126" s="14">
        <f t="shared" si="21"/>
        <v>774.32309999999984</v>
      </c>
    </row>
    <row r="127" spans="1:28" x14ac:dyDescent="0.25">
      <c r="A127" t="s">
        <v>333</v>
      </c>
      <c r="B127" t="s">
        <v>334</v>
      </c>
      <c r="C127" t="s">
        <v>91</v>
      </c>
      <c r="D127" t="s">
        <v>92</v>
      </c>
      <c r="E127" s="1">
        <v>46117</v>
      </c>
      <c r="F127" s="8">
        <f t="shared" si="11"/>
        <v>2026</v>
      </c>
      <c r="G127" s="1" t="str">
        <f t="shared" si="12"/>
        <v>April</v>
      </c>
      <c r="H127" s="1" t="str">
        <f t="shared" si="13"/>
        <v>Sunday</v>
      </c>
      <c r="I127" s="2">
        <v>0.84723379629629625</v>
      </c>
      <c r="J127" s="8">
        <f t="shared" si="14"/>
        <v>20</v>
      </c>
      <c r="K127" s="8">
        <f t="shared" si="15"/>
        <v>20</v>
      </c>
      <c r="L127" t="s">
        <v>30</v>
      </c>
      <c r="M127" t="s">
        <v>31</v>
      </c>
      <c r="N127">
        <v>8</v>
      </c>
      <c r="O127" s="14">
        <v>391.16</v>
      </c>
      <c r="P127">
        <f>VLOOKUP(L127,'Product-cost'!A:B,2,FALSE)</f>
        <v>200</v>
      </c>
      <c r="Q127" t="s">
        <v>39</v>
      </c>
      <c r="R127" t="s">
        <v>93</v>
      </c>
      <c r="S127" t="s">
        <v>230</v>
      </c>
      <c r="T127" t="s">
        <v>893</v>
      </c>
      <c r="U127" s="14">
        <f t="shared" si="16"/>
        <v>3129.28</v>
      </c>
      <c r="V127" s="14">
        <f t="shared" si="17"/>
        <v>1600</v>
      </c>
      <c r="W127" s="10">
        <f>VLOOKUP(Q127,Taxrate!A:B,2,FALSE)</f>
        <v>0.15</v>
      </c>
      <c r="X127" s="14">
        <f t="shared" si="18"/>
        <v>469.392</v>
      </c>
      <c r="Y127" s="10">
        <f>VLOOKUP(L127,'Discount Rate'!A:B,2,FALSE)</f>
        <v>0.08</v>
      </c>
      <c r="Z127" s="14">
        <f t="shared" si="19"/>
        <v>250.34240000000003</v>
      </c>
      <c r="AA127" s="14">
        <f t="shared" si="20"/>
        <v>2409.5456000000004</v>
      </c>
      <c r="AB127" s="14">
        <f t="shared" si="21"/>
        <v>809.54560000000038</v>
      </c>
    </row>
    <row r="128" spans="1:28" x14ac:dyDescent="0.25">
      <c r="A128" t="s">
        <v>335</v>
      </c>
      <c r="B128" t="s">
        <v>336</v>
      </c>
      <c r="C128" t="s">
        <v>66</v>
      </c>
      <c r="D128" t="s">
        <v>67</v>
      </c>
      <c r="E128" s="1">
        <v>45271</v>
      </c>
      <c r="F128" s="8">
        <f t="shared" si="11"/>
        <v>2023</v>
      </c>
      <c r="G128" s="1" t="str">
        <f t="shared" si="12"/>
        <v>December</v>
      </c>
      <c r="H128" s="1" t="str">
        <f t="shared" si="13"/>
        <v>Monday</v>
      </c>
      <c r="I128" s="2">
        <v>0.82685185185185184</v>
      </c>
      <c r="J128" s="8">
        <f t="shared" si="14"/>
        <v>19</v>
      </c>
      <c r="K128" s="8">
        <f t="shared" si="15"/>
        <v>50</v>
      </c>
      <c r="L128" t="s">
        <v>23</v>
      </c>
      <c r="M128" t="s">
        <v>24</v>
      </c>
      <c r="N128">
        <v>6</v>
      </c>
      <c r="O128" s="14">
        <v>507.46</v>
      </c>
      <c r="P128">
        <f>VLOOKUP(L128,'Product-cost'!A:B,2,FALSE)</f>
        <v>300</v>
      </c>
      <c r="Q128" t="s">
        <v>25</v>
      </c>
      <c r="R128" t="s">
        <v>68</v>
      </c>
      <c r="S128" t="s">
        <v>230</v>
      </c>
      <c r="T128" t="s">
        <v>893</v>
      </c>
      <c r="U128" s="14">
        <f t="shared" si="16"/>
        <v>3044.7599999999998</v>
      </c>
      <c r="V128" s="14">
        <f t="shared" si="17"/>
        <v>1800</v>
      </c>
      <c r="W128" s="10">
        <f>VLOOKUP(Q128,Taxrate!A:B,2,FALSE)</f>
        <v>0.1</v>
      </c>
      <c r="X128" s="14">
        <f t="shared" si="18"/>
        <v>304.476</v>
      </c>
      <c r="Y128" s="10">
        <f>VLOOKUP(L128,'Discount Rate'!A:B,2,FALSE)</f>
        <v>0.1</v>
      </c>
      <c r="Z128" s="14">
        <f t="shared" si="19"/>
        <v>304.476</v>
      </c>
      <c r="AA128" s="14">
        <f t="shared" si="20"/>
        <v>2435.8079999999995</v>
      </c>
      <c r="AB128" s="14">
        <f t="shared" si="21"/>
        <v>635.80799999999954</v>
      </c>
    </row>
    <row r="129" spans="1:28" x14ac:dyDescent="0.25">
      <c r="A129" t="s">
        <v>337</v>
      </c>
      <c r="B129" t="s">
        <v>172</v>
      </c>
      <c r="C129" t="s">
        <v>13</v>
      </c>
      <c r="D129" t="s">
        <v>14</v>
      </c>
      <c r="E129" s="1">
        <v>44992</v>
      </c>
      <c r="F129" s="8">
        <f t="shared" si="11"/>
        <v>2023</v>
      </c>
      <c r="G129" s="1" t="str">
        <f t="shared" si="12"/>
        <v>March</v>
      </c>
      <c r="H129" s="1" t="str">
        <f t="shared" si="13"/>
        <v>Tuesday</v>
      </c>
      <c r="I129" s="2">
        <v>0.67057870370370365</v>
      </c>
      <c r="J129" s="8">
        <f t="shared" si="14"/>
        <v>16</v>
      </c>
      <c r="K129" s="8">
        <f t="shared" si="15"/>
        <v>5</v>
      </c>
      <c r="L129" t="s">
        <v>46</v>
      </c>
      <c r="M129" t="s">
        <v>47</v>
      </c>
      <c r="N129">
        <v>14</v>
      </c>
      <c r="O129" s="14">
        <v>208.1</v>
      </c>
      <c r="P129">
        <f>VLOOKUP(L129,'Product-cost'!A:B,2,FALSE)</f>
        <v>150</v>
      </c>
      <c r="Q129" t="s">
        <v>39</v>
      </c>
      <c r="R129" t="s">
        <v>17</v>
      </c>
      <c r="S129" t="s">
        <v>41</v>
      </c>
      <c r="T129" t="s">
        <v>893</v>
      </c>
      <c r="U129" s="14">
        <f t="shared" si="16"/>
        <v>2913.4</v>
      </c>
      <c r="V129" s="14">
        <f t="shared" si="17"/>
        <v>2100</v>
      </c>
      <c r="W129" s="10">
        <f>VLOOKUP(Q129,Taxrate!A:B,2,FALSE)</f>
        <v>0.15</v>
      </c>
      <c r="X129" s="14">
        <f t="shared" si="18"/>
        <v>437.01</v>
      </c>
      <c r="Y129" s="10">
        <f>VLOOKUP(L129,'Discount Rate'!A:B,2,FALSE)</f>
        <v>7.0000000000000007E-2</v>
      </c>
      <c r="Z129" s="14">
        <f t="shared" si="19"/>
        <v>203.93800000000002</v>
      </c>
      <c r="AA129" s="14">
        <f t="shared" si="20"/>
        <v>2272.4520000000002</v>
      </c>
      <c r="AB129" s="14">
        <f t="shared" si="21"/>
        <v>172.45200000000023</v>
      </c>
    </row>
    <row r="130" spans="1:28" x14ac:dyDescent="0.25">
      <c r="A130" t="s">
        <v>338</v>
      </c>
      <c r="B130" t="s">
        <v>339</v>
      </c>
      <c r="C130" t="s">
        <v>187</v>
      </c>
      <c r="D130" t="s">
        <v>156</v>
      </c>
      <c r="E130" s="1">
        <v>45358</v>
      </c>
      <c r="F130" s="8">
        <f t="shared" si="11"/>
        <v>2024</v>
      </c>
      <c r="G130" s="1" t="str">
        <f t="shared" si="12"/>
        <v>March</v>
      </c>
      <c r="H130" s="1" t="str">
        <f t="shared" si="13"/>
        <v>Thursday</v>
      </c>
      <c r="I130" s="2">
        <v>0.41956018518518517</v>
      </c>
      <c r="J130" s="8">
        <f t="shared" si="14"/>
        <v>10</v>
      </c>
      <c r="K130" s="8">
        <f t="shared" si="15"/>
        <v>4</v>
      </c>
      <c r="L130" t="s">
        <v>73</v>
      </c>
      <c r="M130" t="s">
        <v>74</v>
      </c>
      <c r="N130">
        <v>5</v>
      </c>
      <c r="O130" s="14">
        <v>125.77</v>
      </c>
      <c r="P130">
        <f>VLOOKUP(L130,'Product-cost'!A:B,2,FALSE)</f>
        <v>50</v>
      </c>
      <c r="Q130" t="s">
        <v>25</v>
      </c>
      <c r="R130" t="s">
        <v>157</v>
      </c>
      <c r="S130" t="s">
        <v>69</v>
      </c>
      <c r="T130" t="s">
        <v>894</v>
      </c>
      <c r="U130" s="14">
        <f t="shared" si="16"/>
        <v>628.85</v>
      </c>
      <c r="V130" s="14">
        <f t="shared" si="17"/>
        <v>250</v>
      </c>
      <c r="W130" s="10">
        <f>VLOOKUP(Q130,Taxrate!A:B,2,FALSE)</f>
        <v>0.1</v>
      </c>
      <c r="X130" s="14">
        <f t="shared" si="18"/>
        <v>62.885000000000005</v>
      </c>
      <c r="Y130" s="10">
        <f>VLOOKUP(L130,'Discount Rate'!A:B,2,FALSE)</f>
        <v>0.03</v>
      </c>
      <c r="Z130" s="14">
        <f t="shared" si="19"/>
        <v>18.865500000000001</v>
      </c>
      <c r="AA130" s="14">
        <f t="shared" si="20"/>
        <v>547.09950000000003</v>
      </c>
      <c r="AB130" s="14">
        <f t="shared" si="21"/>
        <v>297.09950000000003</v>
      </c>
    </row>
    <row r="131" spans="1:28" x14ac:dyDescent="0.25">
      <c r="A131" t="s">
        <v>340</v>
      </c>
      <c r="B131" t="s">
        <v>341</v>
      </c>
      <c r="C131" t="s">
        <v>83</v>
      </c>
      <c r="D131" t="s">
        <v>38</v>
      </c>
      <c r="E131" s="1">
        <v>45705</v>
      </c>
      <c r="F131" s="8">
        <f t="shared" ref="F131:F194" si="22">YEAR(E131)</f>
        <v>2025</v>
      </c>
      <c r="G131" s="1" t="str">
        <f t="shared" ref="G131:G194" si="23">TEXT(E131,"mmmm")</f>
        <v>February</v>
      </c>
      <c r="H131" s="1" t="str">
        <f t="shared" ref="H131:H194" si="24">TEXT(E131, "dddd")</f>
        <v>Monday</v>
      </c>
      <c r="I131" s="2">
        <v>0.63989583333333333</v>
      </c>
      <c r="J131" s="8">
        <f t="shared" ref="J131:J194" si="25">HOUR(I131)</f>
        <v>15</v>
      </c>
      <c r="K131" s="8">
        <f t="shared" ref="K131:K194" si="26">MINUTE(I131)</f>
        <v>21</v>
      </c>
      <c r="L131" t="s">
        <v>46</v>
      </c>
      <c r="M131" t="s">
        <v>47</v>
      </c>
      <c r="N131">
        <v>6</v>
      </c>
      <c r="O131" s="14">
        <v>252.48</v>
      </c>
      <c r="P131">
        <f>VLOOKUP(L131,'Product-cost'!A:B,2,FALSE)</f>
        <v>150</v>
      </c>
      <c r="Q131" t="s">
        <v>39</v>
      </c>
      <c r="R131" t="s">
        <v>40</v>
      </c>
      <c r="T131" t="s">
        <v>895</v>
      </c>
      <c r="U131" s="14">
        <f t="shared" ref="U131:U194" si="27">O131*N131</f>
        <v>1514.8799999999999</v>
      </c>
      <c r="V131" s="14">
        <f t="shared" ref="V131:V194" si="28">P131*N131</f>
        <v>900</v>
      </c>
      <c r="W131" s="10">
        <f>VLOOKUP(Q131,Taxrate!A:B,2,FALSE)</f>
        <v>0.15</v>
      </c>
      <c r="X131" s="14">
        <f t="shared" ref="X131:X194" si="29">U131*W131</f>
        <v>227.23199999999997</v>
      </c>
      <c r="Y131" s="10">
        <f>VLOOKUP(L131,'Discount Rate'!A:B,2,FALSE)</f>
        <v>7.0000000000000007E-2</v>
      </c>
      <c r="Z131" s="14">
        <f t="shared" ref="Z131:Z194" si="30">Y131*U131</f>
        <v>106.0416</v>
      </c>
      <c r="AA131" s="14">
        <f t="shared" ref="AA131:AA194" si="31">U131-X131-Z131</f>
        <v>1181.6063999999999</v>
      </c>
      <c r="AB131" s="14">
        <f t="shared" ref="AB131:AB194" si="32">AA131-V131</f>
        <v>281.60639999999989</v>
      </c>
    </row>
    <row r="132" spans="1:28" x14ac:dyDescent="0.25">
      <c r="A132" t="s">
        <v>342</v>
      </c>
      <c r="B132" t="s">
        <v>343</v>
      </c>
      <c r="C132" t="s">
        <v>21</v>
      </c>
      <c r="D132" t="s">
        <v>22</v>
      </c>
      <c r="E132" s="1">
        <v>45902</v>
      </c>
      <c r="F132" s="8">
        <f t="shared" si="22"/>
        <v>2025</v>
      </c>
      <c r="G132" s="1" t="str">
        <f t="shared" si="23"/>
        <v>September</v>
      </c>
      <c r="H132" s="1" t="str">
        <f t="shared" si="24"/>
        <v>Tuesday</v>
      </c>
      <c r="I132" s="2">
        <v>0.91001157407407407</v>
      </c>
      <c r="J132" s="8">
        <f t="shared" si="25"/>
        <v>21</v>
      </c>
      <c r="K132" s="8">
        <f t="shared" si="26"/>
        <v>50</v>
      </c>
      <c r="L132" t="s">
        <v>30</v>
      </c>
      <c r="M132" t="s">
        <v>31</v>
      </c>
      <c r="N132">
        <v>10</v>
      </c>
      <c r="O132" s="14">
        <v>519.45000000000005</v>
      </c>
      <c r="P132">
        <f>VLOOKUP(L132,'Product-cost'!A:B,2,FALSE)</f>
        <v>200</v>
      </c>
      <c r="Q132" t="s">
        <v>32</v>
      </c>
      <c r="R132" t="s">
        <v>26</v>
      </c>
      <c r="S132" t="s">
        <v>88</v>
      </c>
      <c r="T132" t="s">
        <v>893</v>
      </c>
      <c r="U132" s="14">
        <f t="shared" si="27"/>
        <v>5194.5</v>
      </c>
      <c r="V132" s="14">
        <f t="shared" si="28"/>
        <v>2000</v>
      </c>
      <c r="W132" s="10">
        <f>VLOOKUP(Q132,Taxrate!A:B,2,FALSE)</f>
        <v>0.2</v>
      </c>
      <c r="X132" s="14">
        <f t="shared" si="29"/>
        <v>1038.9000000000001</v>
      </c>
      <c r="Y132" s="10">
        <f>VLOOKUP(L132,'Discount Rate'!A:B,2,FALSE)</f>
        <v>0.08</v>
      </c>
      <c r="Z132" s="14">
        <f t="shared" si="30"/>
        <v>415.56</v>
      </c>
      <c r="AA132" s="14">
        <f t="shared" si="31"/>
        <v>3740.0400000000004</v>
      </c>
      <c r="AB132" s="14">
        <f t="shared" si="32"/>
        <v>1740.0400000000004</v>
      </c>
    </row>
    <row r="133" spans="1:28" x14ac:dyDescent="0.25">
      <c r="A133" t="s">
        <v>344</v>
      </c>
      <c r="B133" t="s">
        <v>345</v>
      </c>
      <c r="C133" t="s">
        <v>66</v>
      </c>
      <c r="D133" t="s">
        <v>67</v>
      </c>
      <c r="E133" s="1">
        <v>46305</v>
      </c>
      <c r="F133" s="8">
        <f t="shared" si="22"/>
        <v>2026</v>
      </c>
      <c r="G133" s="1" t="str">
        <f t="shared" si="23"/>
        <v>October</v>
      </c>
      <c r="H133" s="1" t="str">
        <f t="shared" si="24"/>
        <v>Saturday</v>
      </c>
      <c r="I133" s="2">
        <v>0.44466435185185182</v>
      </c>
      <c r="J133" s="8">
        <f t="shared" si="25"/>
        <v>10</v>
      </c>
      <c r="K133" s="8">
        <f t="shared" si="26"/>
        <v>40</v>
      </c>
      <c r="L133" t="s">
        <v>23</v>
      </c>
      <c r="M133" t="s">
        <v>24</v>
      </c>
      <c r="N133">
        <v>3</v>
      </c>
      <c r="O133" s="14">
        <v>716.72</v>
      </c>
      <c r="P133">
        <f>VLOOKUP(L133,'Product-cost'!A:B,2,FALSE)</f>
        <v>300</v>
      </c>
      <c r="Q133" t="s">
        <v>51</v>
      </c>
      <c r="R133" t="s">
        <v>68</v>
      </c>
      <c r="S133" t="s">
        <v>158</v>
      </c>
      <c r="T133" t="s">
        <v>893</v>
      </c>
      <c r="U133" s="14">
        <f t="shared" si="27"/>
        <v>2150.16</v>
      </c>
      <c r="V133" s="14">
        <f t="shared" si="28"/>
        <v>900</v>
      </c>
      <c r="W133" s="10">
        <f>VLOOKUP(Q133,Taxrate!A:B,2,FALSE)</f>
        <v>7.0000000000000007E-2</v>
      </c>
      <c r="X133" s="14">
        <f t="shared" si="29"/>
        <v>150.5112</v>
      </c>
      <c r="Y133" s="10">
        <f>VLOOKUP(L133,'Discount Rate'!A:B,2,FALSE)</f>
        <v>0.1</v>
      </c>
      <c r="Z133" s="14">
        <f t="shared" si="30"/>
        <v>215.01599999999999</v>
      </c>
      <c r="AA133" s="14">
        <f t="shared" si="31"/>
        <v>1784.6327999999999</v>
      </c>
      <c r="AB133" s="14">
        <f t="shared" si="32"/>
        <v>884.63279999999986</v>
      </c>
    </row>
    <row r="134" spans="1:28" x14ac:dyDescent="0.25">
      <c r="A134" t="s">
        <v>346</v>
      </c>
      <c r="B134" t="s">
        <v>347</v>
      </c>
      <c r="C134" t="s">
        <v>37</v>
      </c>
      <c r="D134" t="s">
        <v>38</v>
      </c>
      <c r="E134" s="1">
        <v>45268</v>
      </c>
      <c r="F134" s="8">
        <f t="shared" si="22"/>
        <v>2023</v>
      </c>
      <c r="G134" s="1" t="str">
        <f t="shared" si="23"/>
        <v>December</v>
      </c>
      <c r="H134" s="1" t="str">
        <f t="shared" si="24"/>
        <v>Friday</v>
      </c>
      <c r="I134" s="2">
        <v>0.77942129629629631</v>
      </c>
      <c r="J134" s="8">
        <f t="shared" si="25"/>
        <v>18</v>
      </c>
      <c r="K134" s="8">
        <f t="shared" si="26"/>
        <v>42</v>
      </c>
      <c r="L134" t="s">
        <v>23</v>
      </c>
      <c r="M134" t="s">
        <v>24</v>
      </c>
      <c r="N134">
        <v>1</v>
      </c>
      <c r="O134" s="14">
        <v>673.51</v>
      </c>
      <c r="P134">
        <f>VLOOKUP(L134,'Product-cost'!A:B,2,FALSE)</f>
        <v>300</v>
      </c>
      <c r="Q134" t="s">
        <v>39</v>
      </c>
      <c r="R134" t="s">
        <v>84</v>
      </c>
      <c r="T134" t="s">
        <v>895</v>
      </c>
      <c r="U134" s="14">
        <f t="shared" si="27"/>
        <v>673.51</v>
      </c>
      <c r="V134" s="14">
        <f t="shared" si="28"/>
        <v>300</v>
      </c>
      <c r="W134" s="10">
        <f>VLOOKUP(Q134,Taxrate!A:B,2,FALSE)</f>
        <v>0.15</v>
      </c>
      <c r="X134" s="14">
        <f t="shared" si="29"/>
        <v>101.0265</v>
      </c>
      <c r="Y134" s="10">
        <f>VLOOKUP(L134,'Discount Rate'!A:B,2,FALSE)</f>
        <v>0.1</v>
      </c>
      <c r="Z134" s="14">
        <f t="shared" si="30"/>
        <v>67.350999999999999</v>
      </c>
      <c r="AA134" s="14">
        <f t="shared" si="31"/>
        <v>505.13250000000005</v>
      </c>
      <c r="AB134" s="14">
        <f t="shared" si="32"/>
        <v>205.13250000000005</v>
      </c>
    </row>
    <row r="135" spans="1:28" x14ac:dyDescent="0.25">
      <c r="A135" t="s">
        <v>348</v>
      </c>
      <c r="B135" t="s">
        <v>349</v>
      </c>
      <c r="C135" t="s">
        <v>63</v>
      </c>
      <c r="D135" t="s">
        <v>14</v>
      </c>
      <c r="E135" s="1">
        <v>45664</v>
      </c>
      <c r="F135" s="8">
        <f t="shared" si="22"/>
        <v>2025</v>
      </c>
      <c r="G135" s="1" t="str">
        <f t="shared" si="23"/>
        <v>January</v>
      </c>
      <c r="H135" s="1" t="str">
        <f t="shared" si="24"/>
        <v>Tuesday</v>
      </c>
      <c r="I135" s="2">
        <v>0.60403935185185187</v>
      </c>
      <c r="J135" s="8">
        <f t="shared" si="25"/>
        <v>14</v>
      </c>
      <c r="K135" s="8">
        <f t="shared" si="26"/>
        <v>29</v>
      </c>
      <c r="L135" t="s">
        <v>46</v>
      </c>
      <c r="M135" t="s">
        <v>47</v>
      </c>
      <c r="N135">
        <v>3</v>
      </c>
      <c r="O135" s="14">
        <v>178.7</v>
      </c>
      <c r="P135">
        <f>VLOOKUP(L135,'Product-cost'!A:B,2,FALSE)</f>
        <v>150</v>
      </c>
      <c r="Q135" t="s">
        <v>51</v>
      </c>
      <c r="R135" t="s">
        <v>33</v>
      </c>
      <c r="S135" t="s">
        <v>102</v>
      </c>
      <c r="T135" t="s">
        <v>895</v>
      </c>
      <c r="U135" s="14">
        <f t="shared" si="27"/>
        <v>536.09999999999991</v>
      </c>
      <c r="V135" s="14">
        <f t="shared" si="28"/>
        <v>450</v>
      </c>
      <c r="W135" s="10">
        <f>VLOOKUP(Q135,Taxrate!A:B,2,FALSE)</f>
        <v>7.0000000000000007E-2</v>
      </c>
      <c r="X135" s="14">
        <f t="shared" si="29"/>
        <v>37.526999999999994</v>
      </c>
      <c r="Y135" s="10">
        <f>VLOOKUP(L135,'Discount Rate'!A:B,2,FALSE)</f>
        <v>7.0000000000000007E-2</v>
      </c>
      <c r="Z135" s="14">
        <f t="shared" si="30"/>
        <v>37.526999999999994</v>
      </c>
      <c r="AA135" s="14">
        <f t="shared" si="31"/>
        <v>461.04599999999994</v>
      </c>
      <c r="AB135" s="14">
        <f t="shared" si="32"/>
        <v>11.045999999999935</v>
      </c>
    </row>
    <row r="136" spans="1:28" x14ac:dyDescent="0.25">
      <c r="A136" t="s">
        <v>350</v>
      </c>
      <c r="B136" t="s">
        <v>351</v>
      </c>
      <c r="C136" t="s">
        <v>72</v>
      </c>
      <c r="D136" t="s">
        <v>59</v>
      </c>
      <c r="E136" s="1">
        <v>45697</v>
      </c>
      <c r="F136" s="8">
        <f t="shared" si="22"/>
        <v>2025</v>
      </c>
      <c r="G136" s="1" t="str">
        <f t="shared" si="23"/>
        <v>February</v>
      </c>
      <c r="H136" s="1" t="str">
        <f t="shared" si="24"/>
        <v>Sunday</v>
      </c>
      <c r="I136" s="2">
        <v>0.65745370370370371</v>
      </c>
      <c r="J136" s="8">
        <f t="shared" si="25"/>
        <v>15</v>
      </c>
      <c r="K136" s="8">
        <f t="shared" si="26"/>
        <v>46</v>
      </c>
      <c r="L136" t="s">
        <v>73</v>
      </c>
      <c r="M136" t="s">
        <v>74</v>
      </c>
      <c r="N136">
        <v>5</v>
      </c>
      <c r="O136" s="14">
        <v>500</v>
      </c>
      <c r="P136">
        <f>VLOOKUP(L136,'Product-cost'!A:B,2,FALSE)</f>
        <v>50</v>
      </c>
      <c r="Q136" t="s">
        <v>51</v>
      </c>
      <c r="R136" t="s">
        <v>222</v>
      </c>
      <c r="S136" t="s">
        <v>115</v>
      </c>
      <c r="T136" t="s">
        <v>893</v>
      </c>
      <c r="U136" s="14">
        <f t="shared" si="27"/>
        <v>2500</v>
      </c>
      <c r="V136" s="14">
        <f t="shared" si="28"/>
        <v>250</v>
      </c>
      <c r="W136" s="10">
        <f>VLOOKUP(Q136,Taxrate!A:B,2,FALSE)</f>
        <v>7.0000000000000007E-2</v>
      </c>
      <c r="X136" s="14">
        <f t="shared" si="29"/>
        <v>175.00000000000003</v>
      </c>
      <c r="Y136" s="10">
        <f>VLOOKUP(L136,'Discount Rate'!A:B,2,FALSE)</f>
        <v>0.03</v>
      </c>
      <c r="Z136" s="14">
        <f t="shared" si="30"/>
        <v>75</v>
      </c>
      <c r="AA136" s="14">
        <f t="shared" si="31"/>
        <v>2250</v>
      </c>
      <c r="AB136" s="14">
        <f t="shared" si="32"/>
        <v>2000</v>
      </c>
    </row>
    <row r="137" spans="1:28" x14ac:dyDescent="0.25">
      <c r="A137" t="s">
        <v>352</v>
      </c>
      <c r="B137" t="s">
        <v>353</v>
      </c>
      <c r="C137" t="s">
        <v>58</v>
      </c>
      <c r="D137" t="s">
        <v>59</v>
      </c>
      <c r="E137" s="1">
        <v>46073</v>
      </c>
      <c r="F137" s="8">
        <f t="shared" si="22"/>
        <v>2026</v>
      </c>
      <c r="G137" s="1" t="str">
        <f t="shared" si="23"/>
        <v>February</v>
      </c>
      <c r="H137" s="1" t="str">
        <f t="shared" si="24"/>
        <v>Friday</v>
      </c>
      <c r="I137" s="2">
        <v>0.63531249999999995</v>
      </c>
      <c r="J137" s="8">
        <f t="shared" si="25"/>
        <v>15</v>
      </c>
      <c r="K137" s="8">
        <f t="shared" si="26"/>
        <v>14</v>
      </c>
      <c r="L137" t="s">
        <v>73</v>
      </c>
      <c r="M137" t="s">
        <v>74</v>
      </c>
      <c r="N137">
        <v>3</v>
      </c>
      <c r="O137" s="14">
        <v>152.41</v>
      </c>
      <c r="P137">
        <f>VLOOKUP(L137,'Product-cost'!A:B,2,FALSE)</f>
        <v>50</v>
      </c>
      <c r="Q137" t="s">
        <v>51</v>
      </c>
      <c r="R137" t="s">
        <v>75</v>
      </c>
      <c r="S137" t="s">
        <v>213</v>
      </c>
      <c r="T137" t="s">
        <v>894</v>
      </c>
      <c r="U137" s="14">
        <f t="shared" si="27"/>
        <v>457.23</v>
      </c>
      <c r="V137" s="14">
        <f t="shared" si="28"/>
        <v>150</v>
      </c>
      <c r="W137" s="10">
        <f>VLOOKUP(Q137,Taxrate!A:B,2,FALSE)</f>
        <v>7.0000000000000007E-2</v>
      </c>
      <c r="X137" s="14">
        <f t="shared" si="29"/>
        <v>32.006100000000004</v>
      </c>
      <c r="Y137" s="10">
        <f>VLOOKUP(L137,'Discount Rate'!A:B,2,FALSE)</f>
        <v>0.03</v>
      </c>
      <c r="Z137" s="14">
        <f t="shared" si="30"/>
        <v>13.716900000000001</v>
      </c>
      <c r="AA137" s="14">
        <f t="shared" si="31"/>
        <v>411.50700000000001</v>
      </c>
      <c r="AB137" s="14">
        <f t="shared" si="32"/>
        <v>261.50700000000001</v>
      </c>
    </row>
    <row r="138" spans="1:28" x14ac:dyDescent="0.25">
      <c r="A138" t="s">
        <v>354</v>
      </c>
      <c r="B138" t="s">
        <v>355</v>
      </c>
      <c r="C138" t="s">
        <v>66</v>
      </c>
      <c r="D138" t="s">
        <v>67</v>
      </c>
      <c r="E138" s="1">
        <v>46113</v>
      </c>
      <c r="F138" s="8">
        <f t="shared" si="22"/>
        <v>2026</v>
      </c>
      <c r="G138" s="1" t="str">
        <f t="shared" si="23"/>
        <v>April</v>
      </c>
      <c r="H138" s="1" t="str">
        <f t="shared" si="24"/>
        <v>Wednesday</v>
      </c>
      <c r="I138" s="2">
        <v>0.55569444444444449</v>
      </c>
      <c r="J138" s="8">
        <f t="shared" si="25"/>
        <v>13</v>
      </c>
      <c r="K138" s="8">
        <f t="shared" si="26"/>
        <v>20</v>
      </c>
      <c r="L138" t="s">
        <v>73</v>
      </c>
      <c r="M138" t="s">
        <v>74</v>
      </c>
      <c r="N138">
        <v>11</v>
      </c>
      <c r="O138" s="14">
        <v>159.58000000000001</v>
      </c>
      <c r="P138">
        <f>VLOOKUP(L138,'Product-cost'!A:B,2,FALSE)</f>
        <v>50</v>
      </c>
      <c r="Q138" t="s">
        <v>25</v>
      </c>
      <c r="R138" t="s">
        <v>173</v>
      </c>
      <c r="S138" t="s">
        <v>27</v>
      </c>
      <c r="T138" t="s">
        <v>893</v>
      </c>
      <c r="U138" s="14">
        <f t="shared" si="27"/>
        <v>1755.38</v>
      </c>
      <c r="V138" s="14">
        <f t="shared" si="28"/>
        <v>550</v>
      </c>
      <c r="W138" s="10">
        <f>VLOOKUP(Q138,Taxrate!A:B,2,FALSE)</f>
        <v>0.1</v>
      </c>
      <c r="X138" s="14">
        <f t="shared" si="29"/>
        <v>175.53800000000001</v>
      </c>
      <c r="Y138" s="10">
        <f>VLOOKUP(L138,'Discount Rate'!A:B,2,FALSE)</f>
        <v>0.03</v>
      </c>
      <c r="Z138" s="14">
        <f t="shared" si="30"/>
        <v>52.6614</v>
      </c>
      <c r="AA138" s="14">
        <f t="shared" si="31"/>
        <v>1527.1806000000001</v>
      </c>
      <c r="AB138" s="14">
        <f t="shared" si="32"/>
        <v>977.18060000000014</v>
      </c>
    </row>
    <row r="139" spans="1:28" x14ac:dyDescent="0.25">
      <c r="A139" t="s">
        <v>356</v>
      </c>
      <c r="B139" t="s">
        <v>357</v>
      </c>
      <c r="C139" t="s">
        <v>118</v>
      </c>
      <c r="D139" t="s">
        <v>59</v>
      </c>
      <c r="E139" s="1">
        <v>46244</v>
      </c>
      <c r="F139" s="8">
        <f t="shared" si="22"/>
        <v>2026</v>
      </c>
      <c r="G139" s="1" t="str">
        <f t="shared" si="23"/>
        <v>August</v>
      </c>
      <c r="H139" s="1" t="str">
        <f t="shared" si="24"/>
        <v>Monday</v>
      </c>
      <c r="I139" s="2">
        <v>0.54670138888888886</v>
      </c>
      <c r="J139" s="8">
        <f t="shared" si="25"/>
        <v>13</v>
      </c>
      <c r="K139" s="8">
        <f t="shared" si="26"/>
        <v>7</v>
      </c>
      <c r="L139" t="s">
        <v>30</v>
      </c>
      <c r="M139" t="s">
        <v>31</v>
      </c>
      <c r="N139">
        <v>6</v>
      </c>
      <c r="O139" s="14">
        <v>422.16</v>
      </c>
      <c r="P139">
        <f>VLOOKUP(L139,'Product-cost'!A:B,2,FALSE)</f>
        <v>200</v>
      </c>
      <c r="Q139" t="s">
        <v>39</v>
      </c>
      <c r="R139" t="s">
        <v>222</v>
      </c>
      <c r="S139" t="s">
        <v>96</v>
      </c>
      <c r="T139" t="s">
        <v>893</v>
      </c>
      <c r="U139" s="14">
        <f t="shared" si="27"/>
        <v>2532.96</v>
      </c>
      <c r="V139" s="14">
        <f t="shared" si="28"/>
        <v>1200</v>
      </c>
      <c r="W139" s="10">
        <f>VLOOKUP(Q139,Taxrate!A:B,2,FALSE)</f>
        <v>0.15</v>
      </c>
      <c r="X139" s="14">
        <f t="shared" si="29"/>
        <v>379.94400000000002</v>
      </c>
      <c r="Y139" s="10">
        <f>VLOOKUP(L139,'Discount Rate'!A:B,2,FALSE)</f>
        <v>0.08</v>
      </c>
      <c r="Z139" s="14">
        <f t="shared" si="30"/>
        <v>202.63679999999999</v>
      </c>
      <c r="AA139" s="14">
        <f t="shared" si="31"/>
        <v>1950.3792000000001</v>
      </c>
      <c r="AB139" s="14">
        <f t="shared" si="32"/>
        <v>750.37920000000008</v>
      </c>
    </row>
    <row r="140" spans="1:28" x14ac:dyDescent="0.25">
      <c r="A140" t="s">
        <v>358</v>
      </c>
      <c r="B140" t="s">
        <v>359</v>
      </c>
      <c r="C140" t="s">
        <v>63</v>
      </c>
      <c r="D140" t="s">
        <v>14</v>
      </c>
      <c r="E140" s="1">
        <v>45929</v>
      </c>
      <c r="F140" s="8">
        <f t="shared" si="22"/>
        <v>2025</v>
      </c>
      <c r="G140" s="1" t="str">
        <f t="shared" si="23"/>
        <v>September</v>
      </c>
      <c r="H140" s="1" t="str">
        <f t="shared" si="24"/>
        <v>Monday</v>
      </c>
      <c r="I140" s="2">
        <v>0.42453703703703705</v>
      </c>
      <c r="J140" s="8">
        <f t="shared" si="25"/>
        <v>10</v>
      </c>
      <c r="K140" s="8">
        <f t="shared" si="26"/>
        <v>11</v>
      </c>
      <c r="L140" t="s">
        <v>73</v>
      </c>
      <c r="M140" t="s">
        <v>74</v>
      </c>
      <c r="N140">
        <v>14</v>
      </c>
      <c r="O140" s="14">
        <v>120.72</v>
      </c>
      <c r="P140">
        <f>VLOOKUP(L140,'Product-cost'!A:B,2,FALSE)</f>
        <v>50</v>
      </c>
      <c r="Q140" t="s">
        <v>32</v>
      </c>
      <c r="R140" t="s">
        <v>33</v>
      </c>
      <c r="S140" t="s">
        <v>96</v>
      </c>
      <c r="T140" t="s">
        <v>893</v>
      </c>
      <c r="U140" s="14">
        <f t="shared" si="27"/>
        <v>1690.08</v>
      </c>
      <c r="V140" s="14">
        <f t="shared" si="28"/>
        <v>700</v>
      </c>
      <c r="W140" s="10">
        <f>VLOOKUP(Q140,Taxrate!A:B,2,FALSE)</f>
        <v>0.2</v>
      </c>
      <c r="X140" s="14">
        <f t="shared" si="29"/>
        <v>338.01600000000002</v>
      </c>
      <c r="Y140" s="10">
        <f>VLOOKUP(L140,'Discount Rate'!A:B,2,FALSE)</f>
        <v>0.03</v>
      </c>
      <c r="Z140" s="14">
        <f t="shared" si="30"/>
        <v>50.702399999999997</v>
      </c>
      <c r="AA140" s="14">
        <f t="shared" si="31"/>
        <v>1301.3616</v>
      </c>
      <c r="AB140" s="14">
        <f t="shared" si="32"/>
        <v>601.36159999999995</v>
      </c>
    </row>
    <row r="141" spans="1:28" x14ac:dyDescent="0.25">
      <c r="A141" t="s">
        <v>360</v>
      </c>
      <c r="B141" t="s">
        <v>361</v>
      </c>
      <c r="C141" t="s">
        <v>72</v>
      </c>
      <c r="D141" t="s">
        <v>59</v>
      </c>
      <c r="E141" s="1">
        <v>45096</v>
      </c>
      <c r="F141" s="8">
        <f t="shared" si="22"/>
        <v>2023</v>
      </c>
      <c r="G141" s="1" t="str">
        <f t="shared" si="23"/>
        <v>June</v>
      </c>
      <c r="H141" s="1" t="str">
        <f t="shared" si="24"/>
        <v>Monday</v>
      </c>
      <c r="I141" s="2">
        <v>0.86682870370370368</v>
      </c>
      <c r="J141" s="8">
        <f t="shared" si="25"/>
        <v>20</v>
      </c>
      <c r="K141" s="8">
        <f t="shared" si="26"/>
        <v>48</v>
      </c>
      <c r="L141" t="s">
        <v>30</v>
      </c>
      <c r="M141" t="s">
        <v>31</v>
      </c>
      <c r="N141">
        <v>7</v>
      </c>
      <c r="O141" s="14">
        <v>377.73</v>
      </c>
      <c r="P141">
        <f>VLOOKUP(L141,'Product-cost'!A:B,2,FALSE)</f>
        <v>200</v>
      </c>
      <c r="Q141" t="s">
        <v>39</v>
      </c>
      <c r="R141" t="s">
        <v>75</v>
      </c>
      <c r="T141" t="s">
        <v>895</v>
      </c>
      <c r="U141" s="14">
        <f t="shared" si="27"/>
        <v>2644.11</v>
      </c>
      <c r="V141" s="14">
        <f t="shared" si="28"/>
        <v>1400</v>
      </c>
      <c r="W141" s="10">
        <f>VLOOKUP(Q141,Taxrate!A:B,2,FALSE)</f>
        <v>0.15</v>
      </c>
      <c r="X141" s="14">
        <f t="shared" si="29"/>
        <v>396.61650000000003</v>
      </c>
      <c r="Y141" s="10">
        <f>VLOOKUP(L141,'Discount Rate'!A:B,2,FALSE)</f>
        <v>0.08</v>
      </c>
      <c r="Z141" s="14">
        <f t="shared" si="30"/>
        <v>211.52880000000002</v>
      </c>
      <c r="AA141" s="14">
        <f t="shared" si="31"/>
        <v>2035.9647</v>
      </c>
      <c r="AB141" s="14">
        <f t="shared" si="32"/>
        <v>635.96469999999999</v>
      </c>
    </row>
    <row r="142" spans="1:28" x14ac:dyDescent="0.25">
      <c r="A142" t="s">
        <v>362</v>
      </c>
      <c r="B142" t="s">
        <v>363</v>
      </c>
      <c r="C142" t="s">
        <v>37</v>
      </c>
      <c r="D142" t="s">
        <v>38</v>
      </c>
      <c r="E142" s="1">
        <v>45830</v>
      </c>
      <c r="F142" s="8">
        <f t="shared" si="22"/>
        <v>2025</v>
      </c>
      <c r="G142" s="1" t="str">
        <f t="shared" si="23"/>
        <v>June</v>
      </c>
      <c r="H142" s="1" t="str">
        <f t="shared" si="24"/>
        <v>Sunday</v>
      </c>
      <c r="I142" s="2">
        <v>0.58804398148148151</v>
      </c>
      <c r="J142" s="8">
        <f t="shared" si="25"/>
        <v>14</v>
      </c>
      <c r="K142" s="8">
        <f t="shared" si="26"/>
        <v>6</v>
      </c>
      <c r="L142" t="s">
        <v>23</v>
      </c>
      <c r="M142" t="s">
        <v>24</v>
      </c>
      <c r="N142">
        <v>1</v>
      </c>
      <c r="O142" s="14">
        <v>584.57000000000005</v>
      </c>
      <c r="P142">
        <f>VLOOKUP(L142,'Product-cost'!A:B,2,FALSE)</f>
        <v>300</v>
      </c>
      <c r="Q142" t="s">
        <v>51</v>
      </c>
      <c r="R142" t="s">
        <v>84</v>
      </c>
      <c r="S142" t="s">
        <v>41</v>
      </c>
      <c r="T142" t="s">
        <v>893</v>
      </c>
      <c r="U142" s="14">
        <f t="shared" si="27"/>
        <v>584.57000000000005</v>
      </c>
      <c r="V142" s="14">
        <f t="shared" si="28"/>
        <v>300</v>
      </c>
      <c r="W142" s="10">
        <f>VLOOKUP(Q142,Taxrate!A:B,2,FALSE)</f>
        <v>7.0000000000000007E-2</v>
      </c>
      <c r="X142" s="14">
        <f t="shared" si="29"/>
        <v>40.919900000000005</v>
      </c>
      <c r="Y142" s="10">
        <f>VLOOKUP(L142,'Discount Rate'!A:B,2,FALSE)</f>
        <v>0.1</v>
      </c>
      <c r="Z142" s="14">
        <f t="shared" si="30"/>
        <v>58.457000000000008</v>
      </c>
      <c r="AA142" s="14">
        <f t="shared" si="31"/>
        <v>485.19310000000007</v>
      </c>
      <c r="AB142" s="14">
        <f t="shared" si="32"/>
        <v>185.19310000000007</v>
      </c>
    </row>
    <row r="143" spans="1:28" x14ac:dyDescent="0.25">
      <c r="A143" t="s">
        <v>364</v>
      </c>
      <c r="B143" t="s">
        <v>122</v>
      </c>
      <c r="C143" t="s">
        <v>91</v>
      </c>
      <c r="D143" t="s">
        <v>92</v>
      </c>
      <c r="E143" s="1">
        <v>45803</v>
      </c>
      <c r="F143" s="8">
        <f t="shared" si="22"/>
        <v>2025</v>
      </c>
      <c r="G143" s="1" t="str">
        <f t="shared" si="23"/>
        <v>May</v>
      </c>
      <c r="H143" s="1" t="str">
        <f t="shared" si="24"/>
        <v>Monday</v>
      </c>
      <c r="I143" s="2">
        <v>0.71446759259259263</v>
      </c>
      <c r="J143" s="8">
        <f t="shared" si="25"/>
        <v>17</v>
      </c>
      <c r="K143" s="8">
        <f t="shared" si="26"/>
        <v>8</v>
      </c>
      <c r="L143" t="s">
        <v>23</v>
      </c>
      <c r="M143" t="s">
        <v>24</v>
      </c>
      <c r="N143">
        <v>13</v>
      </c>
      <c r="O143" s="14">
        <v>500</v>
      </c>
      <c r="P143">
        <f>VLOOKUP(L143,'Product-cost'!A:B,2,FALSE)</f>
        <v>300</v>
      </c>
      <c r="Q143" t="s">
        <v>25</v>
      </c>
      <c r="R143" t="s">
        <v>93</v>
      </c>
      <c r="T143" t="s">
        <v>895</v>
      </c>
      <c r="U143" s="14">
        <f t="shared" si="27"/>
        <v>6500</v>
      </c>
      <c r="V143" s="14">
        <f t="shared" si="28"/>
        <v>3900</v>
      </c>
      <c r="W143" s="10">
        <f>VLOOKUP(Q143,Taxrate!A:B,2,FALSE)</f>
        <v>0.1</v>
      </c>
      <c r="X143" s="14">
        <f t="shared" si="29"/>
        <v>650</v>
      </c>
      <c r="Y143" s="10">
        <f>VLOOKUP(L143,'Discount Rate'!A:B,2,FALSE)</f>
        <v>0.1</v>
      </c>
      <c r="Z143" s="14">
        <f t="shared" si="30"/>
        <v>650</v>
      </c>
      <c r="AA143" s="14">
        <f t="shared" si="31"/>
        <v>5200</v>
      </c>
      <c r="AB143" s="14">
        <f t="shared" si="32"/>
        <v>1300</v>
      </c>
    </row>
    <row r="144" spans="1:28" x14ac:dyDescent="0.25">
      <c r="A144" t="s">
        <v>365</v>
      </c>
      <c r="B144" t="s">
        <v>366</v>
      </c>
      <c r="C144" t="s">
        <v>13</v>
      </c>
      <c r="D144" t="s">
        <v>14</v>
      </c>
      <c r="E144" s="1">
        <v>45769</v>
      </c>
      <c r="F144" s="8">
        <f t="shared" si="22"/>
        <v>2025</v>
      </c>
      <c r="G144" s="1" t="str">
        <f t="shared" si="23"/>
        <v>April</v>
      </c>
      <c r="H144" s="1" t="str">
        <f t="shared" si="24"/>
        <v>Tuesday</v>
      </c>
      <c r="I144" s="2">
        <v>0.53866898148148146</v>
      </c>
      <c r="J144" s="8">
        <f t="shared" si="25"/>
        <v>12</v>
      </c>
      <c r="K144" s="8">
        <f t="shared" si="26"/>
        <v>55</v>
      </c>
      <c r="L144" t="s">
        <v>23</v>
      </c>
      <c r="M144" t="s">
        <v>24</v>
      </c>
      <c r="N144">
        <v>3</v>
      </c>
      <c r="O144" s="14">
        <v>693.42</v>
      </c>
      <c r="P144">
        <f>VLOOKUP(L144,'Product-cost'!A:B,2,FALSE)</f>
        <v>300</v>
      </c>
      <c r="Q144" t="s">
        <v>32</v>
      </c>
      <c r="R144" t="s">
        <v>17</v>
      </c>
      <c r="T144" t="s">
        <v>895</v>
      </c>
      <c r="U144" s="14">
        <f t="shared" si="27"/>
        <v>2080.2599999999998</v>
      </c>
      <c r="V144" s="14">
        <f t="shared" si="28"/>
        <v>900</v>
      </c>
      <c r="W144" s="10">
        <f>VLOOKUP(Q144,Taxrate!A:B,2,FALSE)</f>
        <v>0.2</v>
      </c>
      <c r="X144" s="14">
        <f t="shared" si="29"/>
        <v>416.05199999999996</v>
      </c>
      <c r="Y144" s="10">
        <f>VLOOKUP(L144,'Discount Rate'!A:B,2,FALSE)</f>
        <v>0.1</v>
      </c>
      <c r="Z144" s="14">
        <f t="shared" si="30"/>
        <v>208.02599999999998</v>
      </c>
      <c r="AA144" s="14">
        <f t="shared" si="31"/>
        <v>1456.1819999999998</v>
      </c>
      <c r="AB144" s="14">
        <f t="shared" si="32"/>
        <v>556.18199999999979</v>
      </c>
    </row>
    <row r="145" spans="1:28" x14ac:dyDescent="0.25">
      <c r="A145" t="s">
        <v>367</v>
      </c>
      <c r="B145" t="s">
        <v>368</v>
      </c>
      <c r="C145" t="s">
        <v>66</v>
      </c>
      <c r="D145" t="s">
        <v>67</v>
      </c>
      <c r="E145" s="1">
        <v>45982</v>
      </c>
      <c r="F145" s="8">
        <f t="shared" si="22"/>
        <v>2025</v>
      </c>
      <c r="G145" s="1" t="str">
        <f t="shared" si="23"/>
        <v>November</v>
      </c>
      <c r="H145" s="1" t="str">
        <f t="shared" si="24"/>
        <v>Friday</v>
      </c>
      <c r="I145" s="2">
        <v>0.83328703703703699</v>
      </c>
      <c r="J145" s="8">
        <f t="shared" si="25"/>
        <v>19</v>
      </c>
      <c r="K145" s="8">
        <f t="shared" si="26"/>
        <v>59</v>
      </c>
      <c r="L145" t="s">
        <v>30</v>
      </c>
      <c r="M145" t="s">
        <v>31</v>
      </c>
      <c r="N145">
        <v>8</v>
      </c>
      <c r="O145" s="14">
        <v>320.49</v>
      </c>
      <c r="P145">
        <f>VLOOKUP(L145,'Product-cost'!A:B,2,FALSE)</f>
        <v>200</v>
      </c>
      <c r="Q145" t="s">
        <v>51</v>
      </c>
      <c r="R145" t="s">
        <v>68</v>
      </c>
      <c r="S145" t="s">
        <v>27</v>
      </c>
      <c r="T145" t="s">
        <v>893</v>
      </c>
      <c r="U145" s="14">
        <f t="shared" si="27"/>
        <v>2563.92</v>
      </c>
      <c r="V145" s="14">
        <f t="shared" si="28"/>
        <v>1600</v>
      </c>
      <c r="W145" s="10">
        <f>VLOOKUP(Q145,Taxrate!A:B,2,FALSE)</f>
        <v>7.0000000000000007E-2</v>
      </c>
      <c r="X145" s="14">
        <f t="shared" si="29"/>
        <v>179.47440000000003</v>
      </c>
      <c r="Y145" s="10">
        <f>VLOOKUP(L145,'Discount Rate'!A:B,2,FALSE)</f>
        <v>0.08</v>
      </c>
      <c r="Z145" s="14">
        <f t="shared" si="30"/>
        <v>205.11360000000002</v>
      </c>
      <c r="AA145" s="14">
        <f t="shared" si="31"/>
        <v>2179.3319999999999</v>
      </c>
      <c r="AB145" s="14">
        <f t="shared" si="32"/>
        <v>579.33199999999988</v>
      </c>
    </row>
    <row r="146" spans="1:28" x14ac:dyDescent="0.25">
      <c r="A146" t="s">
        <v>369</v>
      </c>
      <c r="B146" t="s">
        <v>370</v>
      </c>
      <c r="C146" t="s">
        <v>178</v>
      </c>
      <c r="D146" t="s">
        <v>59</v>
      </c>
      <c r="E146" s="1">
        <v>45358</v>
      </c>
      <c r="F146" s="8">
        <f t="shared" si="22"/>
        <v>2024</v>
      </c>
      <c r="G146" s="1" t="str">
        <f t="shared" si="23"/>
        <v>March</v>
      </c>
      <c r="H146" s="1" t="str">
        <f t="shared" si="24"/>
        <v>Thursday</v>
      </c>
      <c r="I146" s="2">
        <v>0.88774305555555555</v>
      </c>
      <c r="J146" s="8">
        <f t="shared" si="25"/>
        <v>21</v>
      </c>
      <c r="K146" s="8">
        <f t="shared" si="26"/>
        <v>18</v>
      </c>
      <c r="L146" t="s">
        <v>46</v>
      </c>
      <c r="M146" t="s">
        <v>47</v>
      </c>
      <c r="N146">
        <v>10</v>
      </c>
      <c r="O146" s="14">
        <v>262.70999999999998</v>
      </c>
      <c r="P146">
        <f>VLOOKUP(L146,'Product-cost'!A:B,2,FALSE)</f>
        <v>150</v>
      </c>
      <c r="Q146" t="s">
        <v>51</v>
      </c>
      <c r="R146" t="s">
        <v>222</v>
      </c>
      <c r="T146" t="s">
        <v>895</v>
      </c>
      <c r="U146" s="14">
        <f t="shared" si="27"/>
        <v>2627.1</v>
      </c>
      <c r="V146" s="14">
        <f t="shared" si="28"/>
        <v>1500</v>
      </c>
      <c r="W146" s="10">
        <f>VLOOKUP(Q146,Taxrate!A:B,2,FALSE)</f>
        <v>7.0000000000000007E-2</v>
      </c>
      <c r="X146" s="14">
        <f t="shared" si="29"/>
        <v>183.89700000000002</v>
      </c>
      <c r="Y146" s="10">
        <f>VLOOKUP(L146,'Discount Rate'!A:B,2,FALSE)</f>
        <v>7.0000000000000007E-2</v>
      </c>
      <c r="Z146" s="14">
        <f t="shared" si="30"/>
        <v>183.89700000000002</v>
      </c>
      <c r="AA146" s="14">
        <f t="shared" si="31"/>
        <v>2259.306</v>
      </c>
      <c r="AB146" s="14">
        <f t="shared" si="32"/>
        <v>759.30600000000004</v>
      </c>
    </row>
    <row r="147" spans="1:28" x14ac:dyDescent="0.25">
      <c r="A147" t="s">
        <v>371</v>
      </c>
      <c r="B147" t="s">
        <v>117</v>
      </c>
      <c r="C147" t="s">
        <v>99</v>
      </c>
      <c r="D147" t="s">
        <v>100</v>
      </c>
      <c r="E147" s="1">
        <v>46337</v>
      </c>
      <c r="F147" s="8">
        <f t="shared" si="22"/>
        <v>2026</v>
      </c>
      <c r="G147" s="1" t="str">
        <f t="shared" si="23"/>
        <v>November</v>
      </c>
      <c r="H147" s="1" t="str">
        <f t="shared" si="24"/>
        <v>Wednesday</v>
      </c>
      <c r="I147" s="2">
        <v>0.76331018518518523</v>
      </c>
      <c r="J147" s="8">
        <f t="shared" si="25"/>
        <v>18</v>
      </c>
      <c r="K147" s="8">
        <f t="shared" si="26"/>
        <v>19</v>
      </c>
      <c r="L147" t="s">
        <v>30</v>
      </c>
      <c r="M147" t="s">
        <v>31</v>
      </c>
      <c r="N147">
        <v>7</v>
      </c>
      <c r="O147" s="14">
        <v>336.48</v>
      </c>
      <c r="P147">
        <f>VLOOKUP(L147,'Product-cost'!A:B,2,FALSE)</f>
        <v>200</v>
      </c>
      <c r="Q147" t="s">
        <v>32</v>
      </c>
      <c r="R147" t="s">
        <v>105</v>
      </c>
      <c r="S147" t="s">
        <v>41</v>
      </c>
      <c r="T147" t="s">
        <v>893</v>
      </c>
      <c r="U147" s="14">
        <f t="shared" si="27"/>
        <v>2355.36</v>
      </c>
      <c r="V147" s="14">
        <f t="shared" si="28"/>
        <v>1400</v>
      </c>
      <c r="W147" s="10">
        <f>VLOOKUP(Q147,Taxrate!A:B,2,FALSE)</f>
        <v>0.2</v>
      </c>
      <c r="X147" s="14">
        <f t="shared" si="29"/>
        <v>471.07200000000006</v>
      </c>
      <c r="Y147" s="10">
        <f>VLOOKUP(L147,'Discount Rate'!A:B,2,FALSE)</f>
        <v>0.08</v>
      </c>
      <c r="Z147" s="14">
        <f t="shared" si="30"/>
        <v>188.42880000000002</v>
      </c>
      <c r="AA147" s="14">
        <f t="shared" si="31"/>
        <v>1695.8591999999999</v>
      </c>
      <c r="AB147" s="14">
        <f t="shared" si="32"/>
        <v>295.85919999999987</v>
      </c>
    </row>
    <row r="148" spans="1:28" x14ac:dyDescent="0.25">
      <c r="A148" t="s">
        <v>372</v>
      </c>
      <c r="B148" t="s">
        <v>373</v>
      </c>
      <c r="C148" t="s">
        <v>72</v>
      </c>
      <c r="D148" t="s">
        <v>59</v>
      </c>
      <c r="E148" s="1">
        <v>45198</v>
      </c>
      <c r="F148" s="8">
        <f t="shared" si="22"/>
        <v>2023</v>
      </c>
      <c r="G148" s="1" t="str">
        <f t="shared" si="23"/>
        <v>September</v>
      </c>
      <c r="H148" s="1" t="str">
        <f t="shared" si="24"/>
        <v>Friday</v>
      </c>
      <c r="I148" s="2">
        <v>0.69685185185185183</v>
      </c>
      <c r="J148" s="8">
        <f t="shared" si="25"/>
        <v>16</v>
      </c>
      <c r="K148" s="8">
        <f t="shared" si="26"/>
        <v>43</v>
      </c>
      <c r="L148" t="s">
        <v>15</v>
      </c>
      <c r="M148" t="s">
        <v>16</v>
      </c>
      <c r="N148">
        <v>7</v>
      </c>
      <c r="O148" s="14">
        <v>860.3</v>
      </c>
      <c r="P148">
        <f>VLOOKUP(L148,'Product-cost'!A:B,2,FALSE)</f>
        <v>600</v>
      </c>
      <c r="Q148" t="s">
        <v>39</v>
      </c>
      <c r="R148" t="s">
        <v>75</v>
      </c>
      <c r="S148" t="s">
        <v>230</v>
      </c>
      <c r="T148" t="s">
        <v>893</v>
      </c>
      <c r="U148" s="14">
        <f t="shared" si="27"/>
        <v>6022.0999999999995</v>
      </c>
      <c r="V148" s="14">
        <f t="shared" si="28"/>
        <v>4200</v>
      </c>
      <c r="W148" s="10">
        <f>VLOOKUP(Q148,Taxrate!A:B,2,FALSE)</f>
        <v>0.15</v>
      </c>
      <c r="X148" s="14">
        <f t="shared" si="29"/>
        <v>903.31499999999994</v>
      </c>
      <c r="Y148" s="10">
        <f>VLOOKUP(L148,'Discount Rate'!A:B,2,FALSE)</f>
        <v>0.05</v>
      </c>
      <c r="Z148" s="14">
        <f t="shared" si="30"/>
        <v>301.10499999999996</v>
      </c>
      <c r="AA148" s="14">
        <f t="shared" si="31"/>
        <v>4817.68</v>
      </c>
      <c r="AB148" s="14">
        <f t="shared" si="32"/>
        <v>617.68000000000029</v>
      </c>
    </row>
    <row r="149" spans="1:28" x14ac:dyDescent="0.25">
      <c r="A149" t="s">
        <v>374</v>
      </c>
      <c r="B149" t="s">
        <v>375</v>
      </c>
      <c r="C149" t="s">
        <v>129</v>
      </c>
      <c r="D149" t="s">
        <v>22</v>
      </c>
      <c r="E149" s="1">
        <v>45199</v>
      </c>
      <c r="F149" s="8">
        <f t="shared" si="22"/>
        <v>2023</v>
      </c>
      <c r="G149" s="1" t="str">
        <f t="shared" si="23"/>
        <v>September</v>
      </c>
      <c r="H149" s="1" t="str">
        <f t="shared" si="24"/>
        <v>Saturday</v>
      </c>
      <c r="I149" s="2">
        <v>0.39833333333333332</v>
      </c>
      <c r="J149" s="8">
        <f t="shared" si="25"/>
        <v>9</v>
      </c>
      <c r="K149" s="8">
        <f t="shared" si="26"/>
        <v>33</v>
      </c>
      <c r="L149" t="s">
        <v>15</v>
      </c>
      <c r="M149" t="s">
        <v>16</v>
      </c>
      <c r="N149">
        <v>3</v>
      </c>
      <c r="O149" s="14">
        <v>1161.22</v>
      </c>
      <c r="P149">
        <f>VLOOKUP(L149,'Product-cost'!A:B,2,FALSE)</f>
        <v>600</v>
      </c>
      <c r="Q149" t="s">
        <v>32</v>
      </c>
      <c r="R149" t="s">
        <v>143</v>
      </c>
      <c r="T149" t="s">
        <v>895</v>
      </c>
      <c r="U149" s="14">
        <f t="shared" si="27"/>
        <v>3483.66</v>
      </c>
      <c r="V149" s="14">
        <f t="shared" si="28"/>
        <v>1800</v>
      </c>
      <c r="W149" s="10">
        <f>VLOOKUP(Q149,Taxrate!A:B,2,FALSE)</f>
        <v>0.2</v>
      </c>
      <c r="X149" s="14">
        <f t="shared" si="29"/>
        <v>696.73199999999997</v>
      </c>
      <c r="Y149" s="10">
        <f>VLOOKUP(L149,'Discount Rate'!A:B,2,FALSE)</f>
        <v>0.05</v>
      </c>
      <c r="Z149" s="14">
        <f t="shared" si="30"/>
        <v>174.18299999999999</v>
      </c>
      <c r="AA149" s="14">
        <f t="shared" si="31"/>
        <v>2612.7449999999999</v>
      </c>
      <c r="AB149" s="14">
        <f t="shared" si="32"/>
        <v>812.74499999999989</v>
      </c>
    </row>
    <row r="150" spans="1:28" x14ac:dyDescent="0.25">
      <c r="A150" t="s">
        <v>376</v>
      </c>
      <c r="B150" t="s">
        <v>377</v>
      </c>
      <c r="C150" t="s">
        <v>155</v>
      </c>
      <c r="D150" t="s">
        <v>156</v>
      </c>
      <c r="E150" s="1">
        <v>45806</v>
      </c>
      <c r="F150" s="8">
        <f t="shared" si="22"/>
        <v>2025</v>
      </c>
      <c r="G150" s="1" t="str">
        <f t="shared" si="23"/>
        <v>May</v>
      </c>
      <c r="H150" s="1" t="str">
        <f t="shared" si="24"/>
        <v>Thursday</v>
      </c>
      <c r="I150" s="2">
        <v>0.83906250000000004</v>
      </c>
      <c r="J150" s="8">
        <f t="shared" si="25"/>
        <v>20</v>
      </c>
      <c r="K150" s="8">
        <f t="shared" si="26"/>
        <v>8</v>
      </c>
      <c r="L150" t="s">
        <v>30</v>
      </c>
      <c r="M150" t="s">
        <v>31</v>
      </c>
      <c r="N150">
        <v>4</v>
      </c>
      <c r="O150" s="14">
        <v>440</v>
      </c>
      <c r="P150">
        <f>VLOOKUP(L150,'Product-cost'!A:B,2,FALSE)</f>
        <v>200</v>
      </c>
      <c r="Q150" t="s">
        <v>55</v>
      </c>
      <c r="R150" t="s">
        <v>157</v>
      </c>
      <c r="T150" t="s">
        <v>895</v>
      </c>
      <c r="U150" s="14">
        <f t="shared" si="27"/>
        <v>1760</v>
      </c>
      <c r="V150" s="14">
        <f t="shared" si="28"/>
        <v>800</v>
      </c>
      <c r="W150" s="10">
        <f>VLOOKUP(Q150,Taxrate!A:B,2,FALSE)</f>
        <v>0.12</v>
      </c>
      <c r="X150" s="14">
        <f t="shared" si="29"/>
        <v>211.2</v>
      </c>
      <c r="Y150" s="10">
        <f>VLOOKUP(L150,'Discount Rate'!A:B,2,FALSE)</f>
        <v>0.08</v>
      </c>
      <c r="Z150" s="14">
        <f t="shared" si="30"/>
        <v>140.80000000000001</v>
      </c>
      <c r="AA150" s="14">
        <f t="shared" si="31"/>
        <v>1408</v>
      </c>
      <c r="AB150" s="14">
        <f t="shared" si="32"/>
        <v>608</v>
      </c>
    </row>
    <row r="151" spans="1:28" x14ac:dyDescent="0.25">
      <c r="A151" t="s">
        <v>378</v>
      </c>
      <c r="B151" t="s">
        <v>379</v>
      </c>
      <c r="C151" t="s">
        <v>118</v>
      </c>
      <c r="D151" t="s">
        <v>59</v>
      </c>
      <c r="E151" s="1">
        <v>45417</v>
      </c>
      <c r="F151" s="8">
        <f t="shared" si="22"/>
        <v>2024</v>
      </c>
      <c r="G151" s="1" t="str">
        <f t="shared" si="23"/>
        <v>May</v>
      </c>
      <c r="H151" s="1" t="str">
        <f t="shared" si="24"/>
        <v>Sunday</v>
      </c>
      <c r="I151" s="2">
        <v>0.5883680555555556</v>
      </c>
      <c r="J151" s="8">
        <f t="shared" si="25"/>
        <v>14</v>
      </c>
      <c r="K151" s="8">
        <f t="shared" si="26"/>
        <v>7</v>
      </c>
      <c r="L151" t="s">
        <v>73</v>
      </c>
      <c r="M151" t="s">
        <v>74</v>
      </c>
      <c r="N151">
        <v>2</v>
      </c>
      <c r="O151" s="14">
        <v>193.33</v>
      </c>
      <c r="P151">
        <f>VLOOKUP(L151,'Product-cost'!A:B,2,FALSE)</f>
        <v>50</v>
      </c>
      <c r="Q151" t="s">
        <v>25</v>
      </c>
      <c r="R151" t="s">
        <v>222</v>
      </c>
      <c r="S151" t="s">
        <v>213</v>
      </c>
      <c r="T151" t="s">
        <v>894</v>
      </c>
      <c r="U151" s="14">
        <f t="shared" si="27"/>
        <v>386.66</v>
      </c>
      <c r="V151" s="14">
        <f t="shared" si="28"/>
        <v>100</v>
      </c>
      <c r="W151" s="10">
        <f>VLOOKUP(Q151,Taxrate!A:B,2,FALSE)</f>
        <v>0.1</v>
      </c>
      <c r="X151" s="14">
        <f t="shared" si="29"/>
        <v>38.666000000000004</v>
      </c>
      <c r="Y151" s="10">
        <f>VLOOKUP(L151,'Discount Rate'!A:B,2,FALSE)</f>
        <v>0.03</v>
      </c>
      <c r="Z151" s="14">
        <f t="shared" si="30"/>
        <v>11.5998</v>
      </c>
      <c r="AA151" s="14">
        <f t="shared" si="31"/>
        <v>336.39420000000001</v>
      </c>
      <c r="AB151" s="14">
        <f t="shared" si="32"/>
        <v>236.39420000000001</v>
      </c>
    </row>
    <row r="152" spans="1:28" x14ac:dyDescent="0.25">
      <c r="A152" t="s">
        <v>380</v>
      </c>
      <c r="B152" t="s">
        <v>381</v>
      </c>
      <c r="C152" t="s">
        <v>66</v>
      </c>
      <c r="D152" t="s">
        <v>67</v>
      </c>
      <c r="E152" s="1">
        <v>46129</v>
      </c>
      <c r="F152" s="8">
        <f t="shared" si="22"/>
        <v>2026</v>
      </c>
      <c r="G152" s="1" t="str">
        <f t="shared" si="23"/>
        <v>April</v>
      </c>
      <c r="H152" s="1" t="str">
        <f t="shared" si="24"/>
        <v>Friday</v>
      </c>
      <c r="I152" s="2">
        <v>0.34459490740740739</v>
      </c>
      <c r="J152" s="8">
        <f t="shared" si="25"/>
        <v>8</v>
      </c>
      <c r="K152" s="8">
        <f t="shared" si="26"/>
        <v>16</v>
      </c>
      <c r="L152" t="s">
        <v>15</v>
      </c>
      <c r="M152" t="s">
        <v>16</v>
      </c>
      <c r="N152">
        <v>13</v>
      </c>
      <c r="O152" s="14">
        <v>943.24</v>
      </c>
      <c r="P152">
        <f>VLOOKUP(L152,'Product-cost'!A:B,2,FALSE)</f>
        <v>600</v>
      </c>
      <c r="Q152" t="s">
        <v>55</v>
      </c>
      <c r="R152" t="s">
        <v>173</v>
      </c>
      <c r="S152" t="s">
        <v>102</v>
      </c>
      <c r="T152" t="s">
        <v>895</v>
      </c>
      <c r="U152" s="14">
        <f t="shared" si="27"/>
        <v>12262.12</v>
      </c>
      <c r="V152" s="14">
        <f t="shared" si="28"/>
        <v>7800</v>
      </c>
      <c r="W152" s="10">
        <f>VLOOKUP(Q152,Taxrate!A:B,2,FALSE)</f>
        <v>0.12</v>
      </c>
      <c r="X152" s="14">
        <f t="shared" si="29"/>
        <v>1471.4544000000001</v>
      </c>
      <c r="Y152" s="10">
        <f>VLOOKUP(L152,'Discount Rate'!A:B,2,FALSE)</f>
        <v>0.05</v>
      </c>
      <c r="Z152" s="14">
        <f t="shared" si="30"/>
        <v>613.10600000000011</v>
      </c>
      <c r="AA152" s="14">
        <f t="shared" si="31"/>
        <v>10177.559600000001</v>
      </c>
      <c r="AB152" s="14">
        <f t="shared" si="32"/>
        <v>2377.5596000000005</v>
      </c>
    </row>
    <row r="153" spans="1:28" x14ac:dyDescent="0.25">
      <c r="A153" t="s">
        <v>382</v>
      </c>
      <c r="B153" t="s">
        <v>383</v>
      </c>
      <c r="C153" t="s">
        <v>129</v>
      </c>
      <c r="D153" t="s">
        <v>22</v>
      </c>
      <c r="E153" s="1">
        <v>45596</v>
      </c>
      <c r="F153" s="8">
        <f t="shared" si="22"/>
        <v>2024</v>
      </c>
      <c r="G153" s="1" t="str">
        <f t="shared" si="23"/>
        <v>October</v>
      </c>
      <c r="H153" s="1" t="str">
        <f t="shared" si="24"/>
        <v>Thursday</v>
      </c>
      <c r="I153" s="2">
        <v>0.73666666666666669</v>
      </c>
      <c r="J153" s="8">
        <f t="shared" si="25"/>
        <v>17</v>
      </c>
      <c r="K153" s="8">
        <f t="shared" si="26"/>
        <v>40</v>
      </c>
      <c r="L153" t="s">
        <v>15</v>
      </c>
      <c r="M153" t="s">
        <v>16</v>
      </c>
      <c r="N153">
        <v>7</v>
      </c>
      <c r="O153" s="14">
        <v>1223.23</v>
      </c>
      <c r="P153">
        <f>VLOOKUP(L153,'Product-cost'!A:B,2,FALSE)</f>
        <v>600</v>
      </c>
      <c r="Q153" t="s">
        <v>51</v>
      </c>
      <c r="R153" t="s">
        <v>26</v>
      </c>
      <c r="S153" t="s">
        <v>152</v>
      </c>
      <c r="T153" t="s">
        <v>893</v>
      </c>
      <c r="U153" s="14">
        <f t="shared" si="27"/>
        <v>8562.61</v>
      </c>
      <c r="V153" s="14">
        <f t="shared" si="28"/>
        <v>4200</v>
      </c>
      <c r="W153" s="10">
        <f>VLOOKUP(Q153,Taxrate!A:B,2,FALSE)</f>
        <v>7.0000000000000007E-2</v>
      </c>
      <c r="X153" s="14">
        <f t="shared" si="29"/>
        <v>599.38270000000011</v>
      </c>
      <c r="Y153" s="10">
        <f>VLOOKUP(L153,'Discount Rate'!A:B,2,FALSE)</f>
        <v>0.05</v>
      </c>
      <c r="Z153" s="14">
        <f t="shared" si="30"/>
        <v>428.13050000000004</v>
      </c>
      <c r="AA153" s="14">
        <f t="shared" si="31"/>
        <v>7535.0968000000003</v>
      </c>
      <c r="AB153" s="14">
        <f t="shared" si="32"/>
        <v>3335.0968000000003</v>
      </c>
    </row>
    <row r="154" spans="1:28" x14ac:dyDescent="0.25">
      <c r="A154" t="s">
        <v>384</v>
      </c>
      <c r="B154" t="s">
        <v>385</v>
      </c>
      <c r="C154" t="s">
        <v>386</v>
      </c>
      <c r="D154" t="s">
        <v>45</v>
      </c>
      <c r="E154" s="1">
        <v>45179</v>
      </c>
      <c r="F154" s="8">
        <f t="shared" si="22"/>
        <v>2023</v>
      </c>
      <c r="G154" s="1" t="str">
        <f t="shared" si="23"/>
        <v>September</v>
      </c>
      <c r="H154" s="1" t="str">
        <f t="shared" si="24"/>
        <v>Sunday</v>
      </c>
      <c r="I154" s="2">
        <v>0.43844907407407407</v>
      </c>
      <c r="J154" s="8">
        <f t="shared" si="25"/>
        <v>10</v>
      </c>
      <c r="K154" s="8">
        <f t="shared" si="26"/>
        <v>31</v>
      </c>
      <c r="L154" t="s">
        <v>46</v>
      </c>
      <c r="M154" t="s">
        <v>47</v>
      </c>
      <c r="N154">
        <v>14</v>
      </c>
      <c r="O154" s="14">
        <v>194.37</v>
      </c>
      <c r="P154">
        <f>VLOOKUP(L154,'Product-cost'!A:B,2,FALSE)</f>
        <v>150</v>
      </c>
      <c r="Q154" t="s">
        <v>32</v>
      </c>
      <c r="R154" t="s">
        <v>87</v>
      </c>
      <c r="S154" t="s">
        <v>34</v>
      </c>
      <c r="T154" t="s">
        <v>893</v>
      </c>
      <c r="U154" s="14">
        <f t="shared" si="27"/>
        <v>2721.1800000000003</v>
      </c>
      <c r="V154" s="14">
        <f t="shared" si="28"/>
        <v>2100</v>
      </c>
      <c r="W154" s="10">
        <f>VLOOKUP(Q154,Taxrate!A:B,2,FALSE)</f>
        <v>0.2</v>
      </c>
      <c r="X154" s="14">
        <f t="shared" si="29"/>
        <v>544.2360000000001</v>
      </c>
      <c r="Y154" s="10">
        <f>VLOOKUP(L154,'Discount Rate'!A:B,2,FALSE)</f>
        <v>7.0000000000000007E-2</v>
      </c>
      <c r="Z154" s="14">
        <f t="shared" si="30"/>
        <v>190.48260000000005</v>
      </c>
      <c r="AA154" s="14">
        <f t="shared" si="31"/>
        <v>1986.4614000000004</v>
      </c>
      <c r="AB154" s="14">
        <f t="shared" si="32"/>
        <v>-113.53859999999963</v>
      </c>
    </row>
    <row r="155" spans="1:28" x14ac:dyDescent="0.25">
      <c r="A155" t="s">
        <v>387</v>
      </c>
      <c r="B155" t="s">
        <v>388</v>
      </c>
      <c r="C155" t="s">
        <v>126</v>
      </c>
      <c r="D155" t="s">
        <v>22</v>
      </c>
      <c r="E155" s="1">
        <v>45465</v>
      </c>
      <c r="F155" s="8">
        <f t="shared" si="22"/>
        <v>2024</v>
      </c>
      <c r="G155" s="1" t="str">
        <f t="shared" si="23"/>
        <v>June</v>
      </c>
      <c r="H155" s="1" t="str">
        <f t="shared" si="24"/>
        <v>Saturday</v>
      </c>
      <c r="I155" s="2">
        <v>0.64550925925925928</v>
      </c>
      <c r="J155" s="8">
        <f t="shared" si="25"/>
        <v>15</v>
      </c>
      <c r="K155" s="8">
        <f t="shared" si="26"/>
        <v>29</v>
      </c>
      <c r="L155" t="s">
        <v>30</v>
      </c>
      <c r="M155" t="s">
        <v>31</v>
      </c>
      <c r="N155">
        <v>7</v>
      </c>
      <c r="O155" s="14">
        <v>353.38</v>
      </c>
      <c r="P155">
        <f>VLOOKUP(L155,'Product-cost'!A:B,2,FALSE)</f>
        <v>200</v>
      </c>
      <c r="Q155" t="s">
        <v>32</v>
      </c>
      <c r="R155" t="s">
        <v>26</v>
      </c>
      <c r="S155" t="s">
        <v>34</v>
      </c>
      <c r="T155" t="s">
        <v>893</v>
      </c>
      <c r="U155" s="14">
        <f t="shared" si="27"/>
        <v>2473.66</v>
      </c>
      <c r="V155" s="14">
        <f t="shared" si="28"/>
        <v>1400</v>
      </c>
      <c r="W155" s="10">
        <f>VLOOKUP(Q155,Taxrate!A:B,2,FALSE)</f>
        <v>0.2</v>
      </c>
      <c r="X155" s="14">
        <f t="shared" si="29"/>
        <v>494.73199999999997</v>
      </c>
      <c r="Y155" s="10">
        <f>VLOOKUP(L155,'Discount Rate'!A:B,2,FALSE)</f>
        <v>0.08</v>
      </c>
      <c r="Z155" s="14">
        <f t="shared" si="30"/>
        <v>197.89279999999999</v>
      </c>
      <c r="AA155" s="14">
        <f t="shared" si="31"/>
        <v>1781.0351999999998</v>
      </c>
      <c r="AB155" s="14">
        <f t="shared" si="32"/>
        <v>381.0351999999998</v>
      </c>
    </row>
    <row r="156" spans="1:28" x14ac:dyDescent="0.25">
      <c r="A156" t="s">
        <v>389</v>
      </c>
      <c r="B156" t="s">
        <v>390</v>
      </c>
      <c r="C156" t="s">
        <v>386</v>
      </c>
      <c r="D156" t="s">
        <v>45</v>
      </c>
      <c r="E156" s="1">
        <v>45050</v>
      </c>
      <c r="F156" s="8">
        <f t="shared" si="22"/>
        <v>2023</v>
      </c>
      <c r="G156" s="1" t="str">
        <f t="shared" si="23"/>
        <v>May</v>
      </c>
      <c r="H156" s="1" t="str">
        <f t="shared" si="24"/>
        <v>Thursday</v>
      </c>
      <c r="I156" s="2">
        <v>0.5590046296296296</v>
      </c>
      <c r="J156" s="8">
        <f t="shared" si="25"/>
        <v>13</v>
      </c>
      <c r="K156" s="8">
        <f t="shared" si="26"/>
        <v>24</v>
      </c>
      <c r="L156" t="s">
        <v>23</v>
      </c>
      <c r="M156" t="s">
        <v>24</v>
      </c>
      <c r="N156">
        <v>14</v>
      </c>
      <c r="O156" s="14">
        <v>500</v>
      </c>
      <c r="P156">
        <f>VLOOKUP(L156,'Product-cost'!A:B,2,FALSE)</f>
        <v>300</v>
      </c>
      <c r="Q156" t="s">
        <v>39</v>
      </c>
      <c r="R156" t="s">
        <v>80</v>
      </c>
      <c r="S156" t="s">
        <v>123</v>
      </c>
      <c r="T156" t="s">
        <v>893</v>
      </c>
      <c r="U156" s="14">
        <f t="shared" si="27"/>
        <v>7000</v>
      </c>
      <c r="V156" s="14">
        <f t="shared" si="28"/>
        <v>4200</v>
      </c>
      <c r="W156" s="10">
        <f>VLOOKUP(Q156,Taxrate!A:B,2,FALSE)</f>
        <v>0.15</v>
      </c>
      <c r="X156" s="14">
        <f t="shared" si="29"/>
        <v>1050</v>
      </c>
      <c r="Y156" s="10">
        <f>VLOOKUP(L156,'Discount Rate'!A:B,2,FALSE)</f>
        <v>0.1</v>
      </c>
      <c r="Z156" s="14">
        <f t="shared" si="30"/>
        <v>700</v>
      </c>
      <c r="AA156" s="14">
        <f t="shared" si="31"/>
        <v>5250</v>
      </c>
      <c r="AB156" s="14">
        <f t="shared" si="32"/>
        <v>1050</v>
      </c>
    </row>
    <row r="157" spans="1:28" x14ac:dyDescent="0.25">
      <c r="A157" t="s">
        <v>391</v>
      </c>
      <c r="B157" t="s">
        <v>392</v>
      </c>
      <c r="C157" t="s">
        <v>44</v>
      </c>
      <c r="D157" t="s">
        <v>45</v>
      </c>
      <c r="E157" s="1">
        <v>45326</v>
      </c>
      <c r="F157" s="8">
        <f t="shared" si="22"/>
        <v>2024</v>
      </c>
      <c r="G157" s="1" t="str">
        <f t="shared" si="23"/>
        <v>February</v>
      </c>
      <c r="H157" s="1" t="str">
        <f t="shared" si="24"/>
        <v>Sunday</v>
      </c>
      <c r="I157" s="2">
        <v>0.58675925925925931</v>
      </c>
      <c r="J157" s="8">
        <f t="shared" si="25"/>
        <v>14</v>
      </c>
      <c r="K157" s="8">
        <f t="shared" si="26"/>
        <v>4</v>
      </c>
      <c r="L157" t="s">
        <v>73</v>
      </c>
      <c r="M157" t="s">
        <v>74</v>
      </c>
      <c r="N157">
        <v>13</v>
      </c>
      <c r="O157" s="14">
        <v>144.55000000000001</v>
      </c>
      <c r="P157">
        <f>VLOOKUP(L157,'Product-cost'!A:B,2,FALSE)</f>
        <v>50</v>
      </c>
      <c r="Q157" t="s">
        <v>55</v>
      </c>
      <c r="R157" t="s">
        <v>80</v>
      </c>
      <c r="T157" t="s">
        <v>895</v>
      </c>
      <c r="U157" s="14">
        <f t="shared" si="27"/>
        <v>1879.15</v>
      </c>
      <c r="V157" s="14">
        <f t="shared" si="28"/>
        <v>650</v>
      </c>
      <c r="W157" s="10">
        <f>VLOOKUP(Q157,Taxrate!A:B,2,FALSE)</f>
        <v>0.12</v>
      </c>
      <c r="X157" s="14">
        <f t="shared" si="29"/>
        <v>225.49799999999999</v>
      </c>
      <c r="Y157" s="10">
        <f>VLOOKUP(L157,'Discount Rate'!A:B,2,FALSE)</f>
        <v>0.03</v>
      </c>
      <c r="Z157" s="14">
        <f t="shared" si="30"/>
        <v>56.374499999999998</v>
      </c>
      <c r="AA157" s="14">
        <f t="shared" si="31"/>
        <v>1597.2775000000001</v>
      </c>
      <c r="AB157" s="14">
        <f t="shared" si="32"/>
        <v>947.27750000000015</v>
      </c>
    </row>
    <row r="158" spans="1:28" x14ac:dyDescent="0.25">
      <c r="A158" t="s">
        <v>393</v>
      </c>
      <c r="B158" t="s">
        <v>296</v>
      </c>
      <c r="C158" t="s">
        <v>178</v>
      </c>
      <c r="D158" t="s">
        <v>59</v>
      </c>
      <c r="E158" s="1">
        <v>45057</v>
      </c>
      <c r="F158" s="8">
        <f t="shared" si="22"/>
        <v>2023</v>
      </c>
      <c r="G158" s="1" t="str">
        <f t="shared" si="23"/>
        <v>May</v>
      </c>
      <c r="H158" s="1" t="str">
        <f t="shared" si="24"/>
        <v>Thursday</v>
      </c>
      <c r="I158" s="2">
        <v>0.5841898148148148</v>
      </c>
      <c r="J158" s="8">
        <f t="shared" si="25"/>
        <v>14</v>
      </c>
      <c r="K158" s="8">
        <f t="shared" si="26"/>
        <v>1</v>
      </c>
      <c r="L158" t="s">
        <v>46</v>
      </c>
      <c r="M158" t="s">
        <v>47</v>
      </c>
      <c r="N158">
        <v>14</v>
      </c>
      <c r="O158" s="14">
        <v>177.06</v>
      </c>
      <c r="P158">
        <f>VLOOKUP(L158,'Product-cost'!A:B,2,FALSE)</f>
        <v>150</v>
      </c>
      <c r="Q158" t="s">
        <v>25</v>
      </c>
      <c r="R158" t="s">
        <v>60</v>
      </c>
      <c r="T158" t="s">
        <v>895</v>
      </c>
      <c r="U158" s="14">
        <f t="shared" si="27"/>
        <v>2478.84</v>
      </c>
      <c r="V158" s="14">
        <f t="shared" si="28"/>
        <v>2100</v>
      </c>
      <c r="W158" s="10">
        <f>VLOOKUP(Q158,Taxrate!A:B,2,FALSE)</f>
        <v>0.1</v>
      </c>
      <c r="X158" s="14">
        <f t="shared" si="29"/>
        <v>247.88400000000001</v>
      </c>
      <c r="Y158" s="10">
        <f>VLOOKUP(L158,'Discount Rate'!A:B,2,FALSE)</f>
        <v>7.0000000000000007E-2</v>
      </c>
      <c r="Z158" s="14">
        <f t="shared" si="30"/>
        <v>173.51880000000003</v>
      </c>
      <c r="AA158" s="14">
        <f t="shared" si="31"/>
        <v>2057.4372000000003</v>
      </c>
      <c r="AB158" s="14">
        <f t="shared" si="32"/>
        <v>-42.562799999999697</v>
      </c>
    </row>
    <row r="159" spans="1:28" x14ac:dyDescent="0.25">
      <c r="A159" t="s">
        <v>394</v>
      </c>
      <c r="B159" t="s">
        <v>395</v>
      </c>
      <c r="C159" t="s">
        <v>44</v>
      </c>
      <c r="D159" t="s">
        <v>45</v>
      </c>
      <c r="E159" s="1">
        <v>46384</v>
      </c>
      <c r="F159" s="8">
        <f t="shared" si="22"/>
        <v>2026</v>
      </c>
      <c r="G159" s="1" t="str">
        <f t="shared" si="23"/>
        <v>December</v>
      </c>
      <c r="H159" s="1" t="str">
        <f t="shared" si="24"/>
        <v>Monday</v>
      </c>
      <c r="I159" s="2">
        <v>0.37706018518518519</v>
      </c>
      <c r="J159" s="8">
        <f t="shared" si="25"/>
        <v>9</v>
      </c>
      <c r="K159" s="8">
        <f t="shared" si="26"/>
        <v>2</v>
      </c>
      <c r="L159" t="s">
        <v>23</v>
      </c>
      <c r="M159" t="s">
        <v>24</v>
      </c>
      <c r="N159">
        <v>9</v>
      </c>
      <c r="O159" s="14">
        <v>748.67</v>
      </c>
      <c r="P159">
        <f>VLOOKUP(L159,'Product-cost'!A:B,2,FALSE)</f>
        <v>300</v>
      </c>
      <c r="Q159" t="s">
        <v>39</v>
      </c>
      <c r="R159" t="s">
        <v>80</v>
      </c>
      <c r="S159" t="s">
        <v>102</v>
      </c>
      <c r="T159" t="s">
        <v>895</v>
      </c>
      <c r="U159" s="14">
        <f t="shared" si="27"/>
        <v>6738.03</v>
      </c>
      <c r="V159" s="14">
        <f t="shared" si="28"/>
        <v>2700</v>
      </c>
      <c r="W159" s="10">
        <f>VLOOKUP(Q159,Taxrate!A:B,2,FALSE)</f>
        <v>0.15</v>
      </c>
      <c r="X159" s="14">
        <f t="shared" si="29"/>
        <v>1010.7044999999999</v>
      </c>
      <c r="Y159" s="10">
        <f>VLOOKUP(L159,'Discount Rate'!A:B,2,FALSE)</f>
        <v>0.1</v>
      </c>
      <c r="Z159" s="14">
        <f t="shared" si="30"/>
        <v>673.803</v>
      </c>
      <c r="AA159" s="14">
        <f t="shared" si="31"/>
        <v>5053.5225</v>
      </c>
      <c r="AB159" s="14">
        <f t="shared" si="32"/>
        <v>2353.5225</v>
      </c>
    </row>
    <row r="160" spans="1:28" x14ac:dyDescent="0.25">
      <c r="A160" t="s">
        <v>396</v>
      </c>
      <c r="B160" t="s">
        <v>397</v>
      </c>
      <c r="C160" t="s">
        <v>99</v>
      </c>
      <c r="D160" t="s">
        <v>100</v>
      </c>
      <c r="E160" s="1">
        <v>45411</v>
      </c>
      <c r="F160" s="8">
        <f t="shared" si="22"/>
        <v>2024</v>
      </c>
      <c r="G160" s="1" t="str">
        <f t="shared" si="23"/>
        <v>April</v>
      </c>
      <c r="H160" s="1" t="str">
        <f t="shared" si="24"/>
        <v>Monday</v>
      </c>
      <c r="I160" s="2">
        <v>0.53773148148148153</v>
      </c>
      <c r="J160" s="8">
        <f t="shared" si="25"/>
        <v>12</v>
      </c>
      <c r="K160" s="8">
        <f t="shared" si="26"/>
        <v>54</v>
      </c>
      <c r="L160" t="s">
        <v>73</v>
      </c>
      <c r="M160" t="s">
        <v>74</v>
      </c>
      <c r="N160">
        <v>12</v>
      </c>
      <c r="O160" s="14">
        <v>153.96</v>
      </c>
      <c r="P160">
        <f>VLOOKUP(L160,'Product-cost'!A:B,2,FALSE)</f>
        <v>50</v>
      </c>
      <c r="Q160" t="s">
        <v>32</v>
      </c>
      <c r="R160" t="s">
        <v>105</v>
      </c>
      <c r="S160" t="s">
        <v>34</v>
      </c>
      <c r="T160" t="s">
        <v>893</v>
      </c>
      <c r="U160" s="14">
        <f t="shared" si="27"/>
        <v>1847.52</v>
      </c>
      <c r="V160" s="14">
        <f t="shared" si="28"/>
        <v>600</v>
      </c>
      <c r="W160" s="10">
        <f>VLOOKUP(Q160,Taxrate!A:B,2,FALSE)</f>
        <v>0.2</v>
      </c>
      <c r="X160" s="14">
        <f t="shared" si="29"/>
        <v>369.50400000000002</v>
      </c>
      <c r="Y160" s="10">
        <f>VLOOKUP(L160,'Discount Rate'!A:B,2,FALSE)</f>
        <v>0.03</v>
      </c>
      <c r="Z160" s="14">
        <f t="shared" si="30"/>
        <v>55.425599999999996</v>
      </c>
      <c r="AA160" s="14">
        <f t="shared" si="31"/>
        <v>1422.5904</v>
      </c>
      <c r="AB160" s="14">
        <f t="shared" si="32"/>
        <v>822.59040000000005</v>
      </c>
    </row>
    <row r="161" spans="1:28" x14ac:dyDescent="0.25">
      <c r="A161" t="s">
        <v>398</v>
      </c>
      <c r="B161" t="s">
        <v>399</v>
      </c>
      <c r="C161" t="s">
        <v>13</v>
      </c>
      <c r="D161" t="s">
        <v>14</v>
      </c>
      <c r="E161" s="1">
        <v>45294</v>
      </c>
      <c r="F161" s="8">
        <f t="shared" si="22"/>
        <v>2024</v>
      </c>
      <c r="G161" s="1" t="str">
        <f t="shared" si="23"/>
        <v>January</v>
      </c>
      <c r="H161" s="1" t="str">
        <f t="shared" si="24"/>
        <v>Wednesday</v>
      </c>
      <c r="I161" s="2">
        <v>0.52032407407407411</v>
      </c>
      <c r="J161" s="8">
        <f t="shared" si="25"/>
        <v>12</v>
      </c>
      <c r="K161" s="8">
        <f t="shared" si="26"/>
        <v>29</v>
      </c>
      <c r="L161" t="s">
        <v>15</v>
      </c>
      <c r="M161" t="s">
        <v>16</v>
      </c>
      <c r="N161">
        <v>7</v>
      </c>
      <c r="O161" s="14">
        <v>952.11</v>
      </c>
      <c r="P161">
        <f>VLOOKUP(L161,'Product-cost'!A:B,2,FALSE)</f>
        <v>600</v>
      </c>
      <c r="Q161" t="s">
        <v>55</v>
      </c>
      <c r="R161" t="s">
        <v>33</v>
      </c>
      <c r="S161" t="s">
        <v>230</v>
      </c>
      <c r="T161" t="s">
        <v>893</v>
      </c>
      <c r="U161" s="14">
        <f t="shared" si="27"/>
        <v>6664.77</v>
      </c>
      <c r="V161" s="14">
        <f t="shared" si="28"/>
        <v>4200</v>
      </c>
      <c r="W161" s="10">
        <f>VLOOKUP(Q161,Taxrate!A:B,2,FALSE)</f>
        <v>0.12</v>
      </c>
      <c r="X161" s="14">
        <f t="shared" si="29"/>
        <v>799.77240000000006</v>
      </c>
      <c r="Y161" s="10">
        <f>VLOOKUP(L161,'Discount Rate'!A:B,2,FALSE)</f>
        <v>0.05</v>
      </c>
      <c r="Z161" s="14">
        <f t="shared" si="30"/>
        <v>333.23850000000004</v>
      </c>
      <c r="AA161" s="14">
        <f t="shared" si="31"/>
        <v>5531.7591000000002</v>
      </c>
      <c r="AB161" s="14">
        <f t="shared" si="32"/>
        <v>1331.7591000000002</v>
      </c>
    </row>
    <row r="162" spans="1:28" x14ac:dyDescent="0.25">
      <c r="A162" t="s">
        <v>400</v>
      </c>
      <c r="B162" t="s">
        <v>401</v>
      </c>
      <c r="C162" t="s">
        <v>118</v>
      </c>
      <c r="D162" t="s">
        <v>59</v>
      </c>
      <c r="E162" s="1">
        <v>45283</v>
      </c>
      <c r="F162" s="8">
        <f t="shared" si="22"/>
        <v>2023</v>
      </c>
      <c r="G162" s="1" t="str">
        <f t="shared" si="23"/>
        <v>December</v>
      </c>
      <c r="H162" s="1" t="str">
        <f t="shared" si="24"/>
        <v>Saturday</v>
      </c>
      <c r="I162" s="2">
        <v>0.62115740740740744</v>
      </c>
      <c r="J162" s="8">
        <f t="shared" si="25"/>
        <v>14</v>
      </c>
      <c r="K162" s="8">
        <f t="shared" si="26"/>
        <v>54</v>
      </c>
      <c r="L162" t="s">
        <v>46</v>
      </c>
      <c r="M162" t="s">
        <v>47</v>
      </c>
      <c r="N162">
        <v>4</v>
      </c>
      <c r="O162" s="14">
        <v>500</v>
      </c>
      <c r="P162">
        <f>VLOOKUP(L162,'Product-cost'!A:B,2,FALSE)</f>
        <v>150</v>
      </c>
      <c r="Q162" t="s">
        <v>51</v>
      </c>
      <c r="R162" t="s">
        <v>60</v>
      </c>
      <c r="T162" t="s">
        <v>895</v>
      </c>
      <c r="U162" s="14">
        <f t="shared" si="27"/>
        <v>2000</v>
      </c>
      <c r="V162" s="14">
        <f t="shared" si="28"/>
        <v>600</v>
      </c>
      <c r="W162" s="10">
        <f>VLOOKUP(Q162,Taxrate!A:B,2,FALSE)</f>
        <v>7.0000000000000007E-2</v>
      </c>
      <c r="X162" s="14">
        <f t="shared" si="29"/>
        <v>140</v>
      </c>
      <c r="Y162" s="10">
        <f>VLOOKUP(L162,'Discount Rate'!A:B,2,FALSE)</f>
        <v>7.0000000000000007E-2</v>
      </c>
      <c r="Z162" s="14">
        <f t="shared" si="30"/>
        <v>140</v>
      </c>
      <c r="AA162" s="14">
        <f t="shared" si="31"/>
        <v>1720</v>
      </c>
      <c r="AB162" s="14">
        <f t="shared" si="32"/>
        <v>1120</v>
      </c>
    </row>
    <row r="163" spans="1:28" x14ac:dyDescent="0.25">
      <c r="A163" t="s">
        <v>402</v>
      </c>
      <c r="B163" t="s">
        <v>403</v>
      </c>
      <c r="C163" t="s">
        <v>66</v>
      </c>
      <c r="D163" t="s">
        <v>67</v>
      </c>
      <c r="E163" s="1">
        <v>44991</v>
      </c>
      <c r="F163" s="8">
        <f t="shared" si="22"/>
        <v>2023</v>
      </c>
      <c r="G163" s="1" t="str">
        <f t="shared" si="23"/>
        <v>March</v>
      </c>
      <c r="H163" s="1" t="str">
        <f t="shared" si="24"/>
        <v>Monday</v>
      </c>
      <c r="I163" s="2">
        <v>0.38399305555555557</v>
      </c>
      <c r="J163" s="8">
        <f t="shared" si="25"/>
        <v>9</v>
      </c>
      <c r="K163" s="8">
        <f t="shared" si="26"/>
        <v>12</v>
      </c>
      <c r="L163" t="s">
        <v>73</v>
      </c>
      <c r="M163" t="s">
        <v>74</v>
      </c>
      <c r="N163">
        <v>2</v>
      </c>
      <c r="O163" s="14">
        <v>182.2</v>
      </c>
      <c r="P163">
        <f>VLOOKUP(L163,'Product-cost'!A:B,2,FALSE)</f>
        <v>50</v>
      </c>
      <c r="Q163" t="s">
        <v>25</v>
      </c>
      <c r="R163" t="s">
        <v>68</v>
      </c>
      <c r="S163" t="s">
        <v>213</v>
      </c>
      <c r="T163" t="s">
        <v>894</v>
      </c>
      <c r="U163" s="14">
        <f t="shared" si="27"/>
        <v>364.4</v>
      </c>
      <c r="V163" s="14">
        <f t="shared" si="28"/>
        <v>100</v>
      </c>
      <c r="W163" s="10">
        <f>VLOOKUP(Q163,Taxrate!A:B,2,FALSE)</f>
        <v>0.1</v>
      </c>
      <c r="X163" s="14">
        <f t="shared" si="29"/>
        <v>36.44</v>
      </c>
      <c r="Y163" s="10">
        <f>VLOOKUP(L163,'Discount Rate'!A:B,2,FALSE)</f>
        <v>0.03</v>
      </c>
      <c r="Z163" s="14">
        <f t="shared" si="30"/>
        <v>10.931999999999999</v>
      </c>
      <c r="AA163" s="14">
        <f t="shared" si="31"/>
        <v>317.02799999999996</v>
      </c>
      <c r="AB163" s="14">
        <f t="shared" si="32"/>
        <v>217.02799999999996</v>
      </c>
    </row>
    <row r="164" spans="1:28" x14ac:dyDescent="0.25">
      <c r="A164" t="s">
        <v>404</v>
      </c>
      <c r="B164" t="s">
        <v>405</v>
      </c>
      <c r="C164" t="s">
        <v>99</v>
      </c>
      <c r="D164" t="s">
        <v>100</v>
      </c>
      <c r="E164" s="1">
        <v>45651</v>
      </c>
      <c r="F164" s="8">
        <f t="shared" si="22"/>
        <v>2024</v>
      </c>
      <c r="G164" s="1" t="str">
        <f t="shared" si="23"/>
        <v>December</v>
      </c>
      <c r="H164" s="1" t="str">
        <f t="shared" si="24"/>
        <v>Wednesday</v>
      </c>
      <c r="I164" s="2">
        <v>0.42866898148148147</v>
      </c>
      <c r="J164" s="8">
        <f t="shared" si="25"/>
        <v>10</v>
      </c>
      <c r="K164" s="8">
        <f t="shared" si="26"/>
        <v>17</v>
      </c>
      <c r="L164" t="s">
        <v>73</v>
      </c>
      <c r="M164" t="s">
        <v>74</v>
      </c>
      <c r="N164">
        <v>1</v>
      </c>
      <c r="O164" s="14">
        <v>166.27</v>
      </c>
      <c r="P164">
        <f>VLOOKUP(L164,'Product-cost'!A:B,2,FALSE)</f>
        <v>50</v>
      </c>
      <c r="Q164" t="s">
        <v>25</v>
      </c>
      <c r="R164" t="s">
        <v>105</v>
      </c>
      <c r="S164" t="s">
        <v>230</v>
      </c>
      <c r="T164" t="s">
        <v>893</v>
      </c>
      <c r="U164" s="14">
        <f t="shared" si="27"/>
        <v>166.27</v>
      </c>
      <c r="V164" s="14">
        <f t="shared" si="28"/>
        <v>50</v>
      </c>
      <c r="W164" s="10">
        <f>VLOOKUP(Q164,Taxrate!A:B,2,FALSE)</f>
        <v>0.1</v>
      </c>
      <c r="X164" s="14">
        <f t="shared" si="29"/>
        <v>16.627000000000002</v>
      </c>
      <c r="Y164" s="10">
        <f>VLOOKUP(L164,'Discount Rate'!A:B,2,FALSE)</f>
        <v>0.03</v>
      </c>
      <c r="Z164" s="14">
        <f t="shared" si="30"/>
        <v>4.9881000000000002</v>
      </c>
      <c r="AA164" s="14">
        <f t="shared" si="31"/>
        <v>144.6549</v>
      </c>
      <c r="AB164" s="14">
        <f t="shared" si="32"/>
        <v>94.654899999999998</v>
      </c>
    </row>
    <row r="165" spans="1:28" x14ac:dyDescent="0.25">
      <c r="A165" t="s">
        <v>406</v>
      </c>
      <c r="B165" t="s">
        <v>407</v>
      </c>
      <c r="C165" t="s">
        <v>126</v>
      </c>
      <c r="D165" t="s">
        <v>22</v>
      </c>
      <c r="E165" s="1">
        <v>46218</v>
      </c>
      <c r="F165" s="8">
        <f t="shared" si="22"/>
        <v>2026</v>
      </c>
      <c r="G165" s="1" t="str">
        <f t="shared" si="23"/>
        <v>July</v>
      </c>
      <c r="H165" s="1" t="str">
        <f t="shared" si="24"/>
        <v>Wednesday</v>
      </c>
      <c r="I165" s="2">
        <v>0.61857638888888888</v>
      </c>
      <c r="J165" s="8">
        <f t="shared" si="25"/>
        <v>14</v>
      </c>
      <c r="K165" s="8">
        <f t="shared" si="26"/>
        <v>50</v>
      </c>
      <c r="L165" t="s">
        <v>30</v>
      </c>
      <c r="M165" t="s">
        <v>31</v>
      </c>
      <c r="N165">
        <v>13</v>
      </c>
      <c r="O165" s="14">
        <v>502.54</v>
      </c>
      <c r="P165">
        <f>VLOOKUP(L165,'Product-cost'!A:B,2,FALSE)</f>
        <v>200</v>
      </c>
      <c r="Q165" t="s">
        <v>55</v>
      </c>
      <c r="R165" t="s">
        <v>26</v>
      </c>
      <c r="T165" t="s">
        <v>895</v>
      </c>
      <c r="U165" s="14">
        <f t="shared" si="27"/>
        <v>6533.02</v>
      </c>
      <c r="V165" s="14">
        <f t="shared" si="28"/>
        <v>2600</v>
      </c>
      <c r="W165" s="10">
        <f>VLOOKUP(Q165,Taxrate!A:B,2,FALSE)</f>
        <v>0.12</v>
      </c>
      <c r="X165" s="14">
        <f t="shared" si="29"/>
        <v>783.9624</v>
      </c>
      <c r="Y165" s="10">
        <f>VLOOKUP(L165,'Discount Rate'!A:B,2,FALSE)</f>
        <v>0.08</v>
      </c>
      <c r="Z165" s="14">
        <f t="shared" si="30"/>
        <v>522.64160000000004</v>
      </c>
      <c r="AA165" s="14">
        <f t="shared" si="31"/>
        <v>5226.4160000000002</v>
      </c>
      <c r="AB165" s="14">
        <f t="shared" si="32"/>
        <v>2626.4160000000002</v>
      </c>
    </row>
    <row r="166" spans="1:28" x14ac:dyDescent="0.25">
      <c r="A166" t="s">
        <v>408</v>
      </c>
      <c r="B166" t="s">
        <v>409</v>
      </c>
      <c r="C166" t="s">
        <v>72</v>
      </c>
      <c r="D166" t="s">
        <v>59</v>
      </c>
      <c r="E166" s="1">
        <v>46330</v>
      </c>
      <c r="F166" s="8">
        <f t="shared" si="22"/>
        <v>2026</v>
      </c>
      <c r="G166" s="1" t="str">
        <f t="shared" si="23"/>
        <v>November</v>
      </c>
      <c r="H166" s="1" t="str">
        <f t="shared" si="24"/>
        <v>Wednesday</v>
      </c>
      <c r="I166" s="2">
        <v>0.42100694444444442</v>
      </c>
      <c r="J166" s="8">
        <f t="shared" si="25"/>
        <v>10</v>
      </c>
      <c r="K166" s="8">
        <f t="shared" si="26"/>
        <v>6</v>
      </c>
      <c r="L166" t="s">
        <v>23</v>
      </c>
      <c r="M166" t="s">
        <v>24</v>
      </c>
      <c r="N166">
        <v>14</v>
      </c>
      <c r="O166" s="14">
        <v>701.12</v>
      </c>
      <c r="P166">
        <f>VLOOKUP(L166,'Product-cost'!A:B,2,FALSE)</f>
        <v>300</v>
      </c>
      <c r="Q166" t="s">
        <v>32</v>
      </c>
      <c r="R166" t="s">
        <v>222</v>
      </c>
      <c r="S166" t="s">
        <v>115</v>
      </c>
      <c r="T166" t="s">
        <v>893</v>
      </c>
      <c r="U166" s="14">
        <f t="shared" si="27"/>
        <v>9815.68</v>
      </c>
      <c r="V166" s="14">
        <f t="shared" si="28"/>
        <v>4200</v>
      </c>
      <c r="W166" s="10">
        <f>VLOOKUP(Q166,Taxrate!A:B,2,FALSE)</f>
        <v>0.2</v>
      </c>
      <c r="X166" s="14">
        <f t="shared" si="29"/>
        <v>1963.1360000000002</v>
      </c>
      <c r="Y166" s="10">
        <f>VLOOKUP(L166,'Discount Rate'!A:B,2,FALSE)</f>
        <v>0.1</v>
      </c>
      <c r="Z166" s="14">
        <f t="shared" si="30"/>
        <v>981.5680000000001</v>
      </c>
      <c r="AA166" s="14">
        <f t="shared" si="31"/>
        <v>6870.9759999999997</v>
      </c>
      <c r="AB166" s="14">
        <f t="shared" si="32"/>
        <v>2670.9759999999997</v>
      </c>
    </row>
    <row r="167" spans="1:28" x14ac:dyDescent="0.25">
      <c r="A167" t="s">
        <v>410</v>
      </c>
      <c r="B167" t="s">
        <v>411</v>
      </c>
      <c r="C167" t="s">
        <v>37</v>
      </c>
      <c r="D167" t="s">
        <v>38</v>
      </c>
      <c r="E167" s="1">
        <v>46338</v>
      </c>
      <c r="F167" s="8">
        <f t="shared" si="22"/>
        <v>2026</v>
      </c>
      <c r="G167" s="1" t="str">
        <f t="shared" si="23"/>
        <v>November</v>
      </c>
      <c r="H167" s="1" t="str">
        <f t="shared" si="24"/>
        <v>Thursday</v>
      </c>
      <c r="I167" s="2">
        <v>0.73343749999999996</v>
      </c>
      <c r="J167" s="8">
        <f t="shared" si="25"/>
        <v>17</v>
      </c>
      <c r="K167" s="8">
        <f t="shared" si="26"/>
        <v>36</v>
      </c>
      <c r="L167" t="s">
        <v>46</v>
      </c>
      <c r="M167" t="s">
        <v>47</v>
      </c>
      <c r="N167">
        <v>14</v>
      </c>
      <c r="O167" s="14">
        <v>272.98</v>
      </c>
      <c r="P167">
        <f>VLOOKUP(L167,'Product-cost'!A:B,2,FALSE)</f>
        <v>150</v>
      </c>
      <c r="Q167" t="s">
        <v>39</v>
      </c>
      <c r="R167" t="s">
        <v>84</v>
      </c>
      <c r="S167" t="s">
        <v>152</v>
      </c>
      <c r="T167" t="s">
        <v>893</v>
      </c>
      <c r="U167" s="14">
        <f t="shared" si="27"/>
        <v>3821.7200000000003</v>
      </c>
      <c r="V167" s="14">
        <f t="shared" si="28"/>
        <v>2100</v>
      </c>
      <c r="W167" s="10">
        <f>VLOOKUP(Q167,Taxrate!A:B,2,FALSE)</f>
        <v>0.15</v>
      </c>
      <c r="X167" s="14">
        <f t="shared" si="29"/>
        <v>573.25800000000004</v>
      </c>
      <c r="Y167" s="10">
        <f>VLOOKUP(L167,'Discount Rate'!A:B,2,FALSE)</f>
        <v>7.0000000000000007E-2</v>
      </c>
      <c r="Z167" s="14">
        <f t="shared" si="30"/>
        <v>267.52040000000005</v>
      </c>
      <c r="AA167" s="14">
        <f t="shared" si="31"/>
        <v>2980.9416000000006</v>
      </c>
      <c r="AB167" s="14">
        <f t="shared" si="32"/>
        <v>880.94160000000056</v>
      </c>
    </row>
    <row r="168" spans="1:28" x14ac:dyDescent="0.25">
      <c r="A168" t="s">
        <v>412</v>
      </c>
      <c r="B168" t="s">
        <v>117</v>
      </c>
      <c r="C168" t="s">
        <v>83</v>
      </c>
      <c r="D168" t="s">
        <v>38</v>
      </c>
      <c r="E168" s="1">
        <v>45339</v>
      </c>
      <c r="F168" s="8">
        <f t="shared" si="22"/>
        <v>2024</v>
      </c>
      <c r="G168" s="1" t="str">
        <f t="shared" si="23"/>
        <v>February</v>
      </c>
      <c r="H168" s="1" t="str">
        <f t="shared" si="24"/>
        <v>Saturday</v>
      </c>
      <c r="I168" s="2">
        <v>0.5730439814814815</v>
      </c>
      <c r="J168" s="8">
        <f t="shared" si="25"/>
        <v>13</v>
      </c>
      <c r="K168" s="8">
        <f t="shared" si="26"/>
        <v>45</v>
      </c>
      <c r="L168" t="s">
        <v>30</v>
      </c>
      <c r="M168" t="s">
        <v>31</v>
      </c>
      <c r="N168">
        <v>7</v>
      </c>
      <c r="O168" s="14">
        <v>460.94</v>
      </c>
      <c r="P168">
        <f>VLOOKUP(L168,'Product-cost'!A:B,2,FALSE)</f>
        <v>200</v>
      </c>
      <c r="Q168" t="s">
        <v>32</v>
      </c>
      <c r="R168" t="s">
        <v>40</v>
      </c>
      <c r="S168" t="s">
        <v>230</v>
      </c>
      <c r="T168" t="s">
        <v>893</v>
      </c>
      <c r="U168" s="14">
        <f t="shared" si="27"/>
        <v>3226.58</v>
      </c>
      <c r="V168" s="14">
        <f t="shared" si="28"/>
        <v>1400</v>
      </c>
      <c r="W168" s="10">
        <f>VLOOKUP(Q168,Taxrate!A:B,2,FALSE)</f>
        <v>0.2</v>
      </c>
      <c r="X168" s="14">
        <f t="shared" si="29"/>
        <v>645.31600000000003</v>
      </c>
      <c r="Y168" s="10">
        <f>VLOOKUP(L168,'Discount Rate'!A:B,2,FALSE)</f>
        <v>0.08</v>
      </c>
      <c r="Z168" s="14">
        <f t="shared" si="30"/>
        <v>258.12639999999999</v>
      </c>
      <c r="AA168" s="14">
        <f t="shared" si="31"/>
        <v>2323.1376</v>
      </c>
      <c r="AB168" s="14">
        <f t="shared" si="32"/>
        <v>923.13760000000002</v>
      </c>
    </row>
    <row r="169" spans="1:28" x14ac:dyDescent="0.25">
      <c r="A169" t="s">
        <v>413</v>
      </c>
      <c r="B169" t="s">
        <v>414</v>
      </c>
      <c r="C169" t="s">
        <v>83</v>
      </c>
      <c r="D169" t="s">
        <v>38</v>
      </c>
      <c r="E169" s="1">
        <v>45587</v>
      </c>
      <c r="F169" s="8">
        <f t="shared" si="22"/>
        <v>2024</v>
      </c>
      <c r="G169" s="1" t="str">
        <f t="shared" si="23"/>
        <v>October</v>
      </c>
      <c r="H169" s="1" t="str">
        <f t="shared" si="24"/>
        <v>Tuesday</v>
      </c>
      <c r="I169" s="2">
        <v>0.44892361111111112</v>
      </c>
      <c r="J169" s="8">
        <f t="shared" si="25"/>
        <v>10</v>
      </c>
      <c r="K169" s="8">
        <f t="shared" si="26"/>
        <v>46</v>
      </c>
      <c r="L169" t="s">
        <v>73</v>
      </c>
      <c r="M169" t="s">
        <v>74</v>
      </c>
      <c r="N169">
        <v>3</v>
      </c>
      <c r="O169" s="14">
        <v>162.15</v>
      </c>
      <c r="P169">
        <f>VLOOKUP(L169,'Product-cost'!A:B,2,FALSE)</f>
        <v>50</v>
      </c>
      <c r="Q169" t="s">
        <v>55</v>
      </c>
      <c r="R169" t="s">
        <v>415</v>
      </c>
      <c r="S169" t="s">
        <v>115</v>
      </c>
      <c r="T169" t="s">
        <v>893</v>
      </c>
      <c r="U169" s="14">
        <f t="shared" si="27"/>
        <v>486.45000000000005</v>
      </c>
      <c r="V169" s="14">
        <f t="shared" si="28"/>
        <v>150</v>
      </c>
      <c r="W169" s="10">
        <f>VLOOKUP(Q169,Taxrate!A:B,2,FALSE)</f>
        <v>0.12</v>
      </c>
      <c r="X169" s="14">
        <f t="shared" si="29"/>
        <v>58.374000000000002</v>
      </c>
      <c r="Y169" s="10">
        <f>VLOOKUP(L169,'Discount Rate'!A:B,2,FALSE)</f>
        <v>0.03</v>
      </c>
      <c r="Z169" s="14">
        <f t="shared" si="30"/>
        <v>14.593500000000001</v>
      </c>
      <c r="AA169" s="14">
        <f t="shared" si="31"/>
        <v>413.48250000000002</v>
      </c>
      <c r="AB169" s="14">
        <f t="shared" si="32"/>
        <v>263.48250000000002</v>
      </c>
    </row>
    <row r="170" spans="1:28" x14ac:dyDescent="0.25">
      <c r="A170" t="s">
        <v>416</v>
      </c>
      <c r="B170" t="s">
        <v>417</v>
      </c>
      <c r="C170" t="s">
        <v>386</v>
      </c>
      <c r="D170" t="s">
        <v>45</v>
      </c>
      <c r="E170" s="1">
        <v>46100</v>
      </c>
      <c r="F170" s="8">
        <f t="shared" si="22"/>
        <v>2026</v>
      </c>
      <c r="G170" s="1" t="str">
        <f t="shared" si="23"/>
        <v>March</v>
      </c>
      <c r="H170" s="1" t="str">
        <f t="shared" si="24"/>
        <v>Thursday</v>
      </c>
      <c r="I170" s="2">
        <v>0.9094444444444445</v>
      </c>
      <c r="J170" s="8">
        <f t="shared" si="25"/>
        <v>21</v>
      </c>
      <c r="K170" s="8">
        <f t="shared" si="26"/>
        <v>49</v>
      </c>
      <c r="L170" t="s">
        <v>15</v>
      </c>
      <c r="M170" t="s">
        <v>16</v>
      </c>
      <c r="N170">
        <v>6</v>
      </c>
      <c r="O170" s="14">
        <v>1283.77</v>
      </c>
      <c r="P170">
        <f>VLOOKUP(L170,'Product-cost'!A:B,2,FALSE)</f>
        <v>600</v>
      </c>
      <c r="Q170" t="s">
        <v>32</v>
      </c>
      <c r="R170" t="s">
        <v>87</v>
      </c>
      <c r="S170" t="s">
        <v>123</v>
      </c>
      <c r="T170" t="s">
        <v>893</v>
      </c>
      <c r="U170" s="14">
        <f t="shared" si="27"/>
        <v>7702.62</v>
      </c>
      <c r="V170" s="14">
        <f t="shared" si="28"/>
        <v>3600</v>
      </c>
      <c r="W170" s="10">
        <f>VLOOKUP(Q170,Taxrate!A:B,2,FALSE)</f>
        <v>0.2</v>
      </c>
      <c r="X170" s="14">
        <f t="shared" si="29"/>
        <v>1540.5240000000001</v>
      </c>
      <c r="Y170" s="10">
        <f>VLOOKUP(L170,'Discount Rate'!A:B,2,FALSE)</f>
        <v>0.05</v>
      </c>
      <c r="Z170" s="14">
        <f t="shared" si="30"/>
        <v>385.13100000000003</v>
      </c>
      <c r="AA170" s="14">
        <f t="shared" si="31"/>
        <v>5776.9649999999992</v>
      </c>
      <c r="AB170" s="14">
        <f t="shared" si="32"/>
        <v>2176.9649999999992</v>
      </c>
    </row>
    <row r="171" spans="1:28" x14ac:dyDescent="0.25">
      <c r="A171" t="s">
        <v>418</v>
      </c>
      <c r="B171" t="s">
        <v>419</v>
      </c>
      <c r="C171" t="s">
        <v>66</v>
      </c>
      <c r="D171" t="s">
        <v>67</v>
      </c>
      <c r="E171" s="1">
        <v>45723</v>
      </c>
      <c r="F171" s="8">
        <f t="shared" si="22"/>
        <v>2025</v>
      </c>
      <c r="G171" s="1" t="str">
        <f t="shared" si="23"/>
        <v>March</v>
      </c>
      <c r="H171" s="1" t="str">
        <f t="shared" si="24"/>
        <v>Friday</v>
      </c>
      <c r="I171" s="2">
        <v>0.50920138888888888</v>
      </c>
      <c r="J171" s="8">
        <f t="shared" si="25"/>
        <v>12</v>
      </c>
      <c r="K171" s="8">
        <f t="shared" si="26"/>
        <v>13</v>
      </c>
      <c r="L171" t="s">
        <v>15</v>
      </c>
      <c r="M171" t="s">
        <v>16</v>
      </c>
      <c r="N171">
        <v>13</v>
      </c>
      <c r="O171" s="14">
        <v>500</v>
      </c>
      <c r="P171">
        <f>VLOOKUP(L171,'Product-cost'!A:B,2,FALSE)</f>
        <v>600</v>
      </c>
      <c r="Q171" t="s">
        <v>51</v>
      </c>
      <c r="R171" t="s">
        <v>68</v>
      </c>
      <c r="S171" t="s">
        <v>115</v>
      </c>
      <c r="T171" t="s">
        <v>893</v>
      </c>
      <c r="U171" s="14">
        <f t="shared" si="27"/>
        <v>6500</v>
      </c>
      <c r="V171" s="14">
        <f t="shared" si="28"/>
        <v>7800</v>
      </c>
      <c r="W171" s="10">
        <f>VLOOKUP(Q171,Taxrate!A:B,2,FALSE)</f>
        <v>7.0000000000000007E-2</v>
      </c>
      <c r="X171" s="14">
        <f t="shared" si="29"/>
        <v>455.00000000000006</v>
      </c>
      <c r="Y171" s="10">
        <f>VLOOKUP(L171,'Discount Rate'!A:B,2,FALSE)</f>
        <v>0.05</v>
      </c>
      <c r="Z171" s="14">
        <f t="shared" si="30"/>
        <v>325</v>
      </c>
      <c r="AA171" s="14">
        <f t="shared" si="31"/>
        <v>5720</v>
      </c>
      <c r="AB171" s="14">
        <f t="shared" si="32"/>
        <v>-2080</v>
      </c>
    </row>
    <row r="172" spans="1:28" x14ac:dyDescent="0.25">
      <c r="A172" t="s">
        <v>420</v>
      </c>
      <c r="B172" t="s">
        <v>421</v>
      </c>
      <c r="C172" t="s">
        <v>155</v>
      </c>
      <c r="D172" t="s">
        <v>156</v>
      </c>
      <c r="E172" s="1">
        <v>45878</v>
      </c>
      <c r="F172" s="8">
        <f t="shared" si="22"/>
        <v>2025</v>
      </c>
      <c r="G172" s="1" t="str">
        <f t="shared" si="23"/>
        <v>August</v>
      </c>
      <c r="H172" s="1" t="str">
        <f t="shared" si="24"/>
        <v>Saturday</v>
      </c>
      <c r="I172" s="2">
        <v>0.43615740740740738</v>
      </c>
      <c r="J172" s="8">
        <f t="shared" si="25"/>
        <v>10</v>
      </c>
      <c r="K172" s="8">
        <f t="shared" si="26"/>
        <v>28</v>
      </c>
      <c r="L172" t="s">
        <v>15</v>
      </c>
      <c r="M172" t="s">
        <v>16</v>
      </c>
      <c r="N172">
        <v>6</v>
      </c>
      <c r="O172" s="14">
        <v>852.36</v>
      </c>
      <c r="P172">
        <f>VLOOKUP(L172,'Product-cost'!A:B,2,FALSE)</f>
        <v>600</v>
      </c>
      <c r="Q172" t="s">
        <v>25</v>
      </c>
      <c r="R172" t="s">
        <v>252</v>
      </c>
      <c r="S172" t="s">
        <v>230</v>
      </c>
      <c r="T172" t="s">
        <v>893</v>
      </c>
      <c r="U172" s="14">
        <f t="shared" si="27"/>
        <v>5114.16</v>
      </c>
      <c r="V172" s="14">
        <f t="shared" si="28"/>
        <v>3600</v>
      </c>
      <c r="W172" s="10">
        <f>VLOOKUP(Q172,Taxrate!A:B,2,FALSE)</f>
        <v>0.1</v>
      </c>
      <c r="X172" s="14">
        <f t="shared" si="29"/>
        <v>511.416</v>
      </c>
      <c r="Y172" s="10">
        <f>VLOOKUP(L172,'Discount Rate'!A:B,2,FALSE)</f>
        <v>0.05</v>
      </c>
      <c r="Z172" s="14">
        <f t="shared" si="30"/>
        <v>255.708</v>
      </c>
      <c r="AA172" s="14">
        <f t="shared" si="31"/>
        <v>4347.0360000000001</v>
      </c>
      <c r="AB172" s="14">
        <f t="shared" si="32"/>
        <v>747.03600000000006</v>
      </c>
    </row>
    <row r="173" spans="1:28" x14ac:dyDescent="0.25">
      <c r="A173" t="s">
        <v>422</v>
      </c>
      <c r="B173" t="s">
        <v>423</v>
      </c>
      <c r="C173" t="s">
        <v>386</v>
      </c>
      <c r="D173" t="s">
        <v>45</v>
      </c>
      <c r="E173" s="1">
        <v>46265</v>
      </c>
      <c r="F173" s="8">
        <f t="shared" si="22"/>
        <v>2026</v>
      </c>
      <c r="G173" s="1" t="str">
        <f t="shared" si="23"/>
        <v>August</v>
      </c>
      <c r="H173" s="1" t="str">
        <f t="shared" si="24"/>
        <v>Monday</v>
      </c>
      <c r="I173" s="2">
        <v>0.74753472222222217</v>
      </c>
      <c r="J173" s="8">
        <f t="shared" si="25"/>
        <v>17</v>
      </c>
      <c r="K173" s="8">
        <f t="shared" si="26"/>
        <v>56</v>
      </c>
      <c r="L173" t="s">
        <v>23</v>
      </c>
      <c r="M173" t="s">
        <v>24</v>
      </c>
      <c r="N173">
        <v>7</v>
      </c>
      <c r="O173" s="14">
        <v>772.32</v>
      </c>
      <c r="P173">
        <f>VLOOKUP(L173,'Product-cost'!A:B,2,FALSE)</f>
        <v>300</v>
      </c>
      <c r="Q173" t="s">
        <v>39</v>
      </c>
      <c r="R173" t="s">
        <v>48</v>
      </c>
      <c r="T173" t="s">
        <v>895</v>
      </c>
      <c r="U173" s="14">
        <f t="shared" si="27"/>
        <v>5406.2400000000007</v>
      </c>
      <c r="V173" s="14">
        <f t="shared" si="28"/>
        <v>2100</v>
      </c>
      <c r="W173" s="10">
        <f>VLOOKUP(Q173,Taxrate!A:B,2,FALSE)</f>
        <v>0.15</v>
      </c>
      <c r="X173" s="14">
        <f t="shared" si="29"/>
        <v>810.93600000000004</v>
      </c>
      <c r="Y173" s="10">
        <f>VLOOKUP(L173,'Discount Rate'!A:B,2,FALSE)</f>
        <v>0.1</v>
      </c>
      <c r="Z173" s="14">
        <f t="shared" si="30"/>
        <v>540.62400000000014</v>
      </c>
      <c r="AA173" s="14">
        <f t="shared" si="31"/>
        <v>4054.6800000000007</v>
      </c>
      <c r="AB173" s="14">
        <f t="shared" si="32"/>
        <v>1954.6800000000007</v>
      </c>
    </row>
    <row r="174" spans="1:28" x14ac:dyDescent="0.25">
      <c r="A174" t="s">
        <v>424</v>
      </c>
      <c r="B174" t="s">
        <v>425</v>
      </c>
      <c r="C174" t="s">
        <v>165</v>
      </c>
      <c r="D174" t="s">
        <v>38</v>
      </c>
      <c r="E174" s="1">
        <v>45241</v>
      </c>
      <c r="F174" s="8">
        <f t="shared" si="22"/>
        <v>2023</v>
      </c>
      <c r="G174" s="1" t="str">
        <f t="shared" si="23"/>
        <v>November</v>
      </c>
      <c r="H174" s="1" t="str">
        <f t="shared" si="24"/>
        <v>Saturday</v>
      </c>
      <c r="I174" s="2">
        <v>0.54197916666666668</v>
      </c>
      <c r="J174" s="8">
        <f t="shared" si="25"/>
        <v>13</v>
      </c>
      <c r="K174" s="8">
        <f t="shared" si="26"/>
        <v>0</v>
      </c>
      <c r="L174" t="s">
        <v>15</v>
      </c>
      <c r="M174" t="s">
        <v>16</v>
      </c>
      <c r="N174">
        <v>11</v>
      </c>
      <c r="O174" s="14">
        <v>1040.1600000000001</v>
      </c>
      <c r="P174">
        <f>VLOOKUP(L174,'Product-cost'!A:B,2,FALSE)</f>
        <v>600</v>
      </c>
      <c r="Q174" t="s">
        <v>51</v>
      </c>
      <c r="R174" t="s">
        <v>40</v>
      </c>
      <c r="S174" t="s">
        <v>230</v>
      </c>
      <c r="T174" t="s">
        <v>893</v>
      </c>
      <c r="U174" s="14">
        <f t="shared" si="27"/>
        <v>11441.76</v>
      </c>
      <c r="V174" s="14">
        <f t="shared" si="28"/>
        <v>6600</v>
      </c>
      <c r="W174" s="10">
        <f>VLOOKUP(Q174,Taxrate!A:B,2,FALSE)</f>
        <v>7.0000000000000007E-2</v>
      </c>
      <c r="X174" s="14">
        <f t="shared" si="29"/>
        <v>800.92320000000007</v>
      </c>
      <c r="Y174" s="10">
        <f>VLOOKUP(L174,'Discount Rate'!A:B,2,FALSE)</f>
        <v>0.05</v>
      </c>
      <c r="Z174" s="14">
        <f t="shared" si="30"/>
        <v>572.08800000000008</v>
      </c>
      <c r="AA174" s="14">
        <f t="shared" si="31"/>
        <v>10068.748800000001</v>
      </c>
      <c r="AB174" s="14">
        <f t="shared" si="32"/>
        <v>3468.7488000000012</v>
      </c>
    </row>
    <row r="175" spans="1:28" x14ac:dyDescent="0.25">
      <c r="A175" t="s">
        <v>426</v>
      </c>
      <c r="B175" t="s">
        <v>427</v>
      </c>
      <c r="C175" t="s">
        <v>72</v>
      </c>
      <c r="D175" t="s">
        <v>59</v>
      </c>
      <c r="E175" s="1">
        <v>45084</v>
      </c>
      <c r="F175" s="8">
        <f t="shared" si="22"/>
        <v>2023</v>
      </c>
      <c r="G175" s="1" t="str">
        <f t="shared" si="23"/>
        <v>June</v>
      </c>
      <c r="H175" s="1" t="str">
        <f t="shared" si="24"/>
        <v>Wednesday</v>
      </c>
      <c r="I175" s="2">
        <v>0.43328703703703703</v>
      </c>
      <c r="J175" s="8">
        <f t="shared" si="25"/>
        <v>10</v>
      </c>
      <c r="K175" s="8">
        <f t="shared" si="26"/>
        <v>23</v>
      </c>
      <c r="L175" t="s">
        <v>73</v>
      </c>
      <c r="M175" t="s">
        <v>74</v>
      </c>
      <c r="N175">
        <v>8</v>
      </c>
      <c r="O175" s="14">
        <v>500</v>
      </c>
      <c r="P175">
        <f>VLOOKUP(L175,'Product-cost'!A:B,2,FALSE)</f>
        <v>50</v>
      </c>
      <c r="Q175" t="s">
        <v>39</v>
      </c>
      <c r="R175" t="s">
        <v>222</v>
      </c>
      <c r="S175" t="s">
        <v>152</v>
      </c>
      <c r="T175" t="s">
        <v>893</v>
      </c>
      <c r="U175" s="14">
        <f t="shared" si="27"/>
        <v>4000</v>
      </c>
      <c r="V175" s="14">
        <f t="shared" si="28"/>
        <v>400</v>
      </c>
      <c r="W175" s="10">
        <f>VLOOKUP(Q175,Taxrate!A:B,2,FALSE)</f>
        <v>0.15</v>
      </c>
      <c r="X175" s="14">
        <f t="shared" si="29"/>
        <v>600</v>
      </c>
      <c r="Y175" s="10">
        <f>VLOOKUP(L175,'Discount Rate'!A:B,2,FALSE)</f>
        <v>0.03</v>
      </c>
      <c r="Z175" s="14">
        <f t="shared" si="30"/>
        <v>120</v>
      </c>
      <c r="AA175" s="14">
        <f t="shared" si="31"/>
        <v>3280</v>
      </c>
      <c r="AB175" s="14">
        <f t="shared" si="32"/>
        <v>2880</v>
      </c>
    </row>
    <row r="176" spans="1:28" x14ac:dyDescent="0.25">
      <c r="A176" t="s">
        <v>428</v>
      </c>
      <c r="B176" t="s">
        <v>429</v>
      </c>
      <c r="C176" t="s">
        <v>37</v>
      </c>
      <c r="D176" t="s">
        <v>38</v>
      </c>
      <c r="E176" s="1">
        <v>46134</v>
      </c>
      <c r="F176" s="8">
        <f t="shared" si="22"/>
        <v>2026</v>
      </c>
      <c r="G176" s="1" t="str">
        <f t="shared" si="23"/>
        <v>April</v>
      </c>
      <c r="H176" s="1" t="str">
        <f t="shared" si="24"/>
        <v>Wednesday</v>
      </c>
      <c r="I176" s="2">
        <v>0.6693634259259259</v>
      </c>
      <c r="J176" s="8">
        <f t="shared" si="25"/>
        <v>16</v>
      </c>
      <c r="K176" s="8">
        <f t="shared" si="26"/>
        <v>3</v>
      </c>
      <c r="L176" t="s">
        <v>73</v>
      </c>
      <c r="M176" t="s">
        <v>74</v>
      </c>
      <c r="N176">
        <v>7</v>
      </c>
      <c r="O176" s="14">
        <v>171.53</v>
      </c>
      <c r="P176">
        <f>VLOOKUP(L176,'Product-cost'!A:B,2,FALSE)</f>
        <v>50</v>
      </c>
      <c r="Q176" t="s">
        <v>39</v>
      </c>
      <c r="R176" t="s">
        <v>40</v>
      </c>
      <c r="S176" t="s">
        <v>132</v>
      </c>
      <c r="T176" t="s">
        <v>893</v>
      </c>
      <c r="U176" s="14">
        <f t="shared" si="27"/>
        <v>1200.71</v>
      </c>
      <c r="V176" s="14">
        <f t="shared" si="28"/>
        <v>350</v>
      </c>
      <c r="W176" s="10">
        <f>VLOOKUP(Q176,Taxrate!A:B,2,FALSE)</f>
        <v>0.15</v>
      </c>
      <c r="X176" s="14">
        <f t="shared" si="29"/>
        <v>180.10650000000001</v>
      </c>
      <c r="Y176" s="10">
        <f>VLOOKUP(L176,'Discount Rate'!A:B,2,FALSE)</f>
        <v>0.03</v>
      </c>
      <c r="Z176" s="14">
        <f t="shared" si="30"/>
        <v>36.021299999999997</v>
      </c>
      <c r="AA176" s="14">
        <f t="shared" si="31"/>
        <v>984.58220000000006</v>
      </c>
      <c r="AB176" s="14">
        <f t="shared" si="32"/>
        <v>634.58220000000006</v>
      </c>
    </row>
    <row r="177" spans="1:28" x14ac:dyDescent="0.25">
      <c r="A177" t="s">
        <v>430</v>
      </c>
      <c r="B177" t="s">
        <v>431</v>
      </c>
      <c r="C177" t="s">
        <v>165</v>
      </c>
      <c r="D177" t="s">
        <v>38</v>
      </c>
      <c r="E177" s="1">
        <v>45025</v>
      </c>
      <c r="F177" s="8">
        <f t="shared" si="22"/>
        <v>2023</v>
      </c>
      <c r="G177" s="1" t="str">
        <f t="shared" si="23"/>
        <v>April</v>
      </c>
      <c r="H177" s="1" t="str">
        <f t="shared" si="24"/>
        <v>Sunday</v>
      </c>
      <c r="I177" s="2">
        <v>0.42376157407407405</v>
      </c>
      <c r="J177" s="8">
        <f t="shared" si="25"/>
        <v>10</v>
      </c>
      <c r="K177" s="8">
        <f t="shared" si="26"/>
        <v>10</v>
      </c>
      <c r="L177" t="s">
        <v>23</v>
      </c>
      <c r="M177" t="s">
        <v>24</v>
      </c>
      <c r="N177">
        <v>7</v>
      </c>
      <c r="O177" s="14">
        <v>500</v>
      </c>
      <c r="P177">
        <f>VLOOKUP(L177,'Product-cost'!A:B,2,FALSE)</f>
        <v>300</v>
      </c>
      <c r="Q177" t="s">
        <v>39</v>
      </c>
      <c r="R177" t="s">
        <v>84</v>
      </c>
      <c r="T177" t="s">
        <v>895</v>
      </c>
      <c r="U177" s="14">
        <f t="shared" si="27"/>
        <v>3500</v>
      </c>
      <c r="V177" s="14">
        <f t="shared" si="28"/>
        <v>2100</v>
      </c>
      <c r="W177" s="10">
        <f>VLOOKUP(Q177,Taxrate!A:B,2,FALSE)</f>
        <v>0.15</v>
      </c>
      <c r="X177" s="14">
        <f t="shared" si="29"/>
        <v>525</v>
      </c>
      <c r="Y177" s="10">
        <f>VLOOKUP(L177,'Discount Rate'!A:B,2,FALSE)</f>
        <v>0.1</v>
      </c>
      <c r="Z177" s="14">
        <f t="shared" si="30"/>
        <v>350</v>
      </c>
      <c r="AA177" s="14">
        <f t="shared" si="31"/>
        <v>2625</v>
      </c>
      <c r="AB177" s="14">
        <f t="shared" si="32"/>
        <v>525</v>
      </c>
    </row>
    <row r="178" spans="1:28" x14ac:dyDescent="0.25">
      <c r="A178" t="s">
        <v>432</v>
      </c>
      <c r="B178" t="s">
        <v>433</v>
      </c>
      <c r="C178" t="s">
        <v>155</v>
      </c>
      <c r="D178" t="s">
        <v>156</v>
      </c>
      <c r="E178" s="1">
        <v>46114</v>
      </c>
      <c r="F178" s="8">
        <f t="shared" si="22"/>
        <v>2026</v>
      </c>
      <c r="G178" s="1" t="str">
        <f t="shared" si="23"/>
        <v>April</v>
      </c>
      <c r="H178" s="1" t="str">
        <f t="shared" si="24"/>
        <v>Thursday</v>
      </c>
      <c r="I178" s="2">
        <v>0.88718750000000002</v>
      </c>
      <c r="J178" s="8">
        <f t="shared" si="25"/>
        <v>21</v>
      </c>
      <c r="K178" s="8">
        <f t="shared" si="26"/>
        <v>17</v>
      </c>
      <c r="L178" t="s">
        <v>73</v>
      </c>
      <c r="M178" t="s">
        <v>74</v>
      </c>
      <c r="N178">
        <v>1</v>
      </c>
      <c r="O178" s="14">
        <v>166.73</v>
      </c>
      <c r="P178">
        <f>VLOOKUP(L178,'Product-cost'!A:B,2,FALSE)</f>
        <v>50</v>
      </c>
      <c r="Q178" t="s">
        <v>55</v>
      </c>
      <c r="R178" t="s">
        <v>157</v>
      </c>
      <c r="S178" t="s">
        <v>34</v>
      </c>
      <c r="T178" t="s">
        <v>893</v>
      </c>
      <c r="U178" s="14">
        <f t="shared" si="27"/>
        <v>166.73</v>
      </c>
      <c r="V178" s="14">
        <f t="shared" si="28"/>
        <v>50</v>
      </c>
      <c r="W178" s="10">
        <f>VLOOKUP(Q178,Taxrate!A:B,2,FALSE)</f>
        <v>0.12</v>
      </c>
      <c r="X178" s="14">
        <f t="shared" si="29"/>
        <v>20.007599999999996</v>
      </c>
      <c r="Y178" s="10">
        <f>VLOOKUP(L178,'Discount Rate'!A:B,2,FALSE)</f>
        <v>0.03</v>
      </c>
      <c r="Z178" s="14">
        <f t="shared" si="30"/>
        <v>5.0018999999999991</v>
      </c>
      <c r="AA178" s="14">
        <f t="shared" si="31"/>
        <v>141.72049999999999</v>
      </c>
      <c r="AB178" s="14">
        <f t="shared" si="32"/>
        <v>91.720499999999987</v>
      </c>
    </row>
    <row r="179" spans="1:28" x14ac:dyDescent="0.25">
      <c r="A179" t="s">
        <v>434</v>
      </c>
      <c r="B179" t="s">
        <v>435</v>
      </c>
      <c r="C179" t="s">
        <v>63</v>
      </c>
      <c r="D179" t="s">
        <v>14</v>
      </c>
      <c r="E179" s="1">
        <v>45768</v>
      </c>
      <c r="F179" s="8">
        <f t="shared" si="22"/>
        <v>2025</v>
      </c>
      <c r="G179" s="1" t="str">
        <f t="shared" si="23"/>
        <v>April</v>
      </c>
      <c r="H179" s="1" t="str">
        <f t="shared" si="24"/>
        <v>Monday</v>
      </c>
      <c r="I179" s="2">
        <v>0.61216435185185181</v>
      </c>
      <c r="J179" s="8">
        <f t="shared" si="25"/>
        <v>14</v>
      </c>
      <c r="K179" s="8">
        <f t="shared" si="26"/>
        <v>41</v>
      </c>
      <c r="L179" t="s">
        <v>46</v>
      </c>
      <c r="M179" t="s">
        <v>47</v>
      </c>
      <c r="N179">
        <v>1</v>
      </c>
      <c r="O179" s="14">
        <v>220.33</v>
      </c>
      <c r="P179">
        <f>VLOOKUP(L179,'Product-cost'!A:B,2,FALSE)</f>
        <v>150</v>
      </c>
      <c r="Q179" t="s">
        <v>55</v>
      </c>
      <c r="R179" t="s">
        <v>17</v>
      </c>
      <c r="S179" t="s">
        <v>123</v>
      </c>
      <c r="T179" t="s">
        <v>893</v>
      </c>
      <c r="U179" s="14">
        <f t="shared" si="27"/>
        <v>220.33</v>
      </c>
      <c r="V179" s="14">
        <f t="shared" si="28"/>
        <v>150</v>
      </c>
      <c r="W179" s="10">
        <f>VLOOKUP(Q179,Taxrate!A:B,2,FALSE)</f>
        <v>0.12</v>
      </c>
      <c r="X179" s="14">
        <f t="shared" si="29"/>
        <v>26.439600000000002</v>
      </c>
      <c r="Y179" s="10">
        <f>VLOOKUP(L179,'Discount Rate'!A:B,2,FALSE)</f>
        <v>7.0000000000000007E-2</v>
      </c>
      <c r="Z179" s="14">
        <f t="shared" si="30"/>
        <v>15.423100000000002</v>
      </c>
      <c r="AA179" s="14">
        <f t="shared" si="31"/>
        <v>178.46729999999999</v>
      </c>
      <c r="AB179" s="14">
        <f t="shared" si="32"/>
        <v>28.467299999999994</v>
      </c>
    </row>
    <row r="180" spans="1:28" x14ac:dyDescent="0.25">
      <c r="A180" t="s">
        <v>436</v>
      </c>
      <c r="B180" t="s">
        <v>437</v>
      </c>
      <c r="C180" t="s">
        <v>37</v>
      </c>
      <c r="D180" t="s">
        <v>38</v>
      </c>
      <c r="E180" s="1">
        <v>45618</v>
      </c>
      <c r="F180" s="8">
        <f t="shared" si="22"/>
        <v>2024</v>
      </c>
      <c r="G180" s="1" t="str">
        <f t="shared" si="23"/>
        <v>November</v>
      </c>
      <c r="H180" s="1" t="str">
        <f t="shared" si="24"/>
        <v>Friday</v>
      </c>
      <c r="I180" s="2">
        <v>0.51241898148148146</v>
      </c>
      <c r="J180" s="8">
        <f t="shared" si="25"/>
        <v>12</v>
      </c>
      <c r="K180" s="8">
        <f t="shared" si="26"/>
        <v>17</v>
      </c>
      <c r="L180" t="s">
        <v>73</v>
      </c>
      <c r="M180" t="s">
        <v>74</v>
      </c>
      <c r="N180">
        <v>11</v>
      </c>
      <c r="O180" s="14">
        <v>500</v>
      </c>
      <c r="P180">
        <f>VLOOKUP(L180,'Product-cost'!A:B,2,FALSE)</f>
        <v>50</v>
      </c>
      <c r="Q180" t="s">
        <v>32</v>
      </c>
      <c r="R180" t="s">
        <v>84</v>
      </c>
      <c r="S180" t="s">
        <v>123</v>
      </c>
      <c r="T180" t="s">
        <v>893</v>
      </c>
      <c r="U180" s="14">
        <f t="shared" si="27"/>
        <v>5500</v>
      </c>
      <c r="V180" s="14">
        <f t="shared" si="28"/>
        <v>550</v>
      </c>
      <c r="W180" s="10">
        <f>VLOOKUP(Q180,Taxrate!A:B,2,FALSE)</f>
        <v>0.2</v>
      </c>
      <c r="X180" s="14">
        <f t="shared" si="29"/>
        <v>1100</v>
      </c>
      <c r="Y180" s="10">
        <f>VLOOKUP(L180,'Discount Rate'!A:B,2,FALSE)</f>
        <v>0.03</v>
      </c>
      <c r="Z180" s="14">
        <f t="shared" si="30"/>
        <v>165</v>
      </c>
      <c r="AA180" s="14">
        <f t="shared" si="31"/>
        <v>4235</v>
      </c>
      <c r="AB180" s="14">
        <f t="shared" si="32"/>
        <v>3685</v>
      </c>
    </row>
    <row r="181" spans="1:28" x14ac:dyDescent="0.25">
      <c r="A181" t="s">
        <v>438</v>
      </c>
      <c r="B181" t="s">
        <v>439</v>
      </c>
      <c r="C181" t="s">
        <v>139</v>
      </c>
      <c r="D181" t="s">
        <v>22</v>
      </c>
      <c r="E181" s="1">
        <v>45760</v>
      </c>
      <c r="F181" s="8">
        <f t="shared" si="22"/>
        <v>2025</v>
      </c>
      <c r="G181" s="1" t="str">
        <f t="shared" si="23"/>
        <v>April</v>
      </c>
      <c r="H181" s="1" t="str">
        <f t="shared" si="24"/>
        <v>Sunday</v>
      </c>
      <c r="I181" s="2">
        <v>0.85688657407407409</v>
      </c>
      <c r="J181" s="8">
        <f t="shared" si="25"/>
        <v>20</v>
      </c>
      <c r="K181" s="8">
        <f t="shared" si="26"/>
        <v>33</v>
      </c>
      <c r="L181" t="s">
        <v>30</v>
      </c>
      <c r="M181" t="s">
        <v>31</v>
      </c>
      <c r="N181">
        <v>9</v>
      </c>
      <c r="O181" s="14">
        <v>333.12</v>
      </c>
      <c r="P181">
        <f>VLOOKUP(L181,'Product-cost'!A:B,2,FALSE)</f>
        <v>200</v>
      </c>
      <c r="Q181" t="s">
        <v>55</v>
      </c>
      <c r="R181" t="s">
        <v>143</v>
      </c>
      <c r="S181" t="s">
        <v>18</v>
      </c>
      <c r="T181" t="s">
        <v>893</v>
      </c>
      <c r="U181" s="14">
        <f t="shared" si="27"/>
        <v>2998.08</v>
      </c>
      <c r="V181" s="14">
        <f t="shared" si="28"/>
        <v>1800</v>
      </c>
      <c r="W181" s="10">
        <f>VLOOKUP(Q181,Taxrate!A:B,2,FALSE)</f>
        <v>0.12</v>
      </c>
      <c r="X181" s="14">
        <f t="shared" si="29"/>
        <v>359.76959999999997</v>
      </c>
      <c r="Y181" s="10">
        <f>VLOOKUP(L181,'Discount Rate'!A:B,2,FALSE)</f>
        <v>0.08</v>
      </c>
      <c r="Z181" s="14">
        <f t="shared" si="30"/>
        <v>239.84639999999999</v>
      </c>
      <c r="AA181" s="14">
        <f t="shared" si="31"/>
        <v>2398.4639999999999</v>
      </c>
      <c r="AB181" s="14">
        <f t="shared" si="32"/>
        <v>598.46399999999994</v>
      </c>
    </row>
    <row r="182" spans="1:28" x14ac:dyDescent="0.25">
      <c r="A182" t="s">
        <v>440</v>
      </c>
      <c r="B182" t="s">
        <v>441</v>
      </c>
      <c r="C182" t="s">
        <v>21</v>
      </c>
      <c r="D182" t="s">
        <v>22</v>
      </c>
      <c r="E182" s="1">
        <v>45861</v>
      </c>
      <c r="F182" s="8">
        <f t="shared" si="22"/>
        <v>2025</v>
      </c>
      <c r="G182" s="1" t="str">
        <f t="shared" si="23"/>
        <v>July</v>
      </c>
      <c r="H182" s="1" t="str">
        <f t="shared" si="24"/>
        <v>Wednesday</v>
      </c>
      <c r="I182" s="2">
        <v>0.57305555555555554</v>
      </c>
      <c r="J182" s="8">
        <f t="shared" si="25"/>
        <v>13</v>
      </c>
      <c r="K182" s="8">
        <f t="shared" si="26"/>
        <v>45</v>
      </c>
      <c r="L182" t="s">
        <v>30</v>
      </c>
      <c r="M182" t="s">
        <v>31</v>
      </c>
      <c r="N182">
        <v>8</v>
      </c>
      <c r="O182" s="14">
        <v>447.08</v>
      </c>
      <c r="P182">
        <f>VLOOKUP(L182,'Product-cost'!A:B,2,FALSE)</f>
        <v>200</v>
      </c>
      <c r="Q182" t="s">
        <v>51</v>
      </c>
      <c r="R182" t="s">
        <v>52</v>
      </c>
      <c r="S182" t="s">
        <v>88</v>
      </c>
      <c r="T182" t="s">
        <v>893</v>
      </c>
      <c r="U182" s="14">
        <f t="shared" si="27"/>
        <v>3576.64</v>
      </c>
      <c r="V182" s="14">
        <f t="shared" si="28"/>
        <v>1600</v>
      </c>
      <c r="W182" s="10">
        <f>VLOOKUP(Q182,Taxrate!A:B,2,FALSE)</f>
        <v>7.0000000000000007E-2</v>
      </c>
      <c r="X182" s="14">
        <f t="shared" si="29"/>
        <v>250.3648</v>
      </c>
      <c r="Y182" s="10">
        <f>VLOOKUP(L182,'Discount Rate'!A:B,2,FALSE)</f>
        <v>0.08</v>
      </c>
      <c r="Z182" s="14">
        <f t="shared" si="30"/>
        <v>286.13119999999998</v>
      </c>
      <c r="AA182" s="14">
        <f t="shared" si="31"/>
        <v>3040.1440000000002</v>
      </c>
      <c r="AB182" s="14">
        <f t="shared" si="32"/>
        <v>1440.1440000000002</v>
      </c>
    </row>
    <row r="183" spans="1:28" x14ac:dyDescent="0.25">
      <c r="A183" t="s">
        <v>442</v>
      </c>
      <c r="B183" t="s">
        <v>443</v>
      </c>
      <c r="C183" t="s">
        <v>37</v>
      </c>
      <c r="D183" t="s">
        <v>38</v>
      </c>
      <c r="E183" s="1">
        <v>45456</v>
      </c>
      <c r="F183" s="8">
        <f t="shared" si="22"/>
        <v>2024</v>
      </c>
      <c r="G183" s="1" t="str">
        <f t="shared" si="23"/>
        <v>June</v>
      </c>
      <c r="H183" s="1" t="str">
        <f t="shared" si="24"/>
        <v>Thursday</v>
      </c>
      <c r="I183" s="2">
        <v>0.50097222222222226</v>
      </c>
      <c r="J183" s="8">
        <f t="shared" si="25"/>
        <v>12</v>
      </c>
      <c r="K183" s="8">
        <f t="shared" si="26"/>
        <v>1</v>
      </c>
      <c r="L183" t="s">
        <v>15</v>
      </c>
      <c r="M183" t="s">
        <v>16</v>
      </c>
      <c r="N183">
        <v>10</v>
      </c>
      <c r="O183" s="14">
        <v>907.16</v>
      </c>
      <c r="P183">
        <f>VLOOKUP(L183,'Product-cost'!A:B,2,FALSE)</f>
        <v>600</v>
      </c>
      <c r="Q183" t="s">
        <v>32</v>
      </c>
      <c r="R183" t="s">
        <v>84</v>
      </c>
      <c r="S183" t="s">
        <v>213</v>
      </c>
      <c r="T183" t="s">
        <v>894</v>
      </c>
      <c r="U183" s="14">
        <f t="shared" si="27"/>
        <v>9071.6</v>
      </c>
      <c r="V183" s="14">
        <f t="shared" si="28"/>
        <v>6000</v>
      </c>
      <c r="W183" s="10">
        <f>VLOOKUP(Q183,Taxrate!A:B,2,FALSE)</f>
        <v>0.2</v>
      </c>
      <c r="X183" s="14">
        <f t="shared" si="29"/>
        <v>1814.3200000000002</v>
      </c>
      <c r="Y183" s="10">
        <f>VLOOKUP(L183,'Discount Rate'!A:B,2,FALSE)</f>
        <v>0.05</v>
      </c>
      <c r="Z183" s="14">
        <f t="shared" si="30"/>
        <v>453.58000000000004</v>
      </c>
      <c r="AA183" s="14">
        <f t="shared" si="31"/>
        <v>6803.7000000000007</v>
      </c>
      <c r="AB183" s="14">
        <f t="shared" si="32"/>
        <v>803.70000000000073</v>
      </c>
    </row>
    <row r="184" spans="1:28" x14ac:dyDescent="0.25">
      <c r="A184" t="s">
        <v>444</v>
      </c>
      <c r="B184" t="s">
        <v>445</v>
      </c>
      <c r="C184" t="s">
        <v>386</v>
      </c>
      <c r="D184" t="s">
        <v>45</v>
      </c>
      <c r="E184" s="1">
        <v>45197</v>
      </c>
      <c r="F184" s="8">
        <f t="shared" si="22"/>
        <v>2023</v>
      </c>
      <c r="G184" s="1" t="str">
        <f t="shared" si="23"/>
        <v>September</v>
      </c>
      <c r="H184" s="1" t="str">
        <f t="shared" si="24"/>
        <v>Thursday</v>
      </c>
      <c r="I184" s="2">
        <v>0.74375000000000002</v>
      </c>
      <c r="J184" s="8">
        <f t="shared" si="25"/>
        <v>17</v>
      </c>
      <c r="K184" s="8">
        <f t="shared" si="26"/>
        <v>51</v>
      </c>
      <c r="L184" t="s">
        <v>23</v>
      </c>
      <c r="M184" t="s">
        <v>24</v>
      </c>
      <c r="N184">
        <v>13</v>
      </c>
      <c r="O184" s="14">
        <v>693.82</v>
      </c>
      <c r="P184">
        <f>VLOOKUP(L184,'Product-cost'!A:B,2,FALSE)</f>
        <v>300</v>
      </c>
      <c r="Q184" t="s">
        <v>25</v>
      </c>
      <c r="R184" t="s">
        <v>48</v>
      </c>
      <c r="T184" t="s">
        <v>895</v>
      </c>
      <c r="U184" s="14">
        <f t="shared" si="27"/>
        <v>9019.66</v>
      </c>
      <c r="V184" s="14">
        <f t="shared" si="28"/>
        <v>3900</v>
      </c>
      <c r="W184" s="10">
        <f>VLOOKUP(Q184,Taxrate!A:B,2,FALSE)</f>
        <v>0.1</v>
      </c>
      <c r="X184" s="14">
        <f t="shared" si="29"/>
        <v>901.96600000000001</v>
      </c>
      <c r="Y184" s="10">
        <f>VLOOKUP(L184,'Discount Rate'!A:B,2,FALSE)</f>
        <v>0.1</v>
      </c>
      <c r="Z184" s="14">
        <f t="shared" si="30"/>
        <v>901.96600000000001</v>
      </c>
      <c r="AA184" s="14">
        <f t="shared" si="31"/>
        <v>7215.7279999999992</v>
      </c>
      <c r="AB184" s="14">
        <f t="shared" si="32"/>
        <v>3315.7279999999992</v>
      </c>
    </row>
    <row r="185" spans="1:28" x14ac:dyDescent="0.25">
      <c r="A185" t="s">
        <v>446</v>
      </c>
      <c r="B185" t="s">
        <v>447</v>
      </c>
      <c r="C185" t="s">
        <v>155</v>
      </c>
      <c r="D185" t="s">
        <v>156</v>
      </c>
      <c r="E185" s="1">
        <v>44942</v>
      </c>
      <c r="F185" s="8">
        <f t="shared" si="22"/>
        <v>2023</v>
      </c>
      <c r="G185" s="1" t="str">
        <f t="shared" si="23"/>
        <v>January</v>
      </c>
      <c r="H185" s="1" t="str">
        <f t="shared" si="24"/>
        <v>Monday</v>
      </c>
      <c r="I185" s="2">
        <v>0.69557870370370367</v>
      </c>
      <c r="J185" s="8">
        <f t="shared" si="25"/>
        <v>16</v>
      </c>
      <c r="K185" s="8">
        <f t="shared" si="26"/>
        <v>41</v>
      </c>
      <c r="L185" t="s">
        <v>46</v>
      </c>
      <c r="M185" t="s">
        <v>47</v>
      </c>
      <c r="N185">
        <v>11</v>
      </c>
      <c r="O185" s="14">
        <v>500</v>
      </c>
      <c r="P185">
        <f>VLOOKUP(L185,'Product-cost'!A:B,2,FALSE)</f>
        <v>150</v>
      </c>
      <c r="Q185" t="s">
        <v>51</v>
      </c>
      <c r="R185" t="s">
        <v>252</v>
      </c>
      <c r="T185" t="s">
        <v>895</v>
      </c>
      <c r="U185" s="14">
        <f t="shared" si="27"/>
        <v>5500</v>
      </c>
      <c r="V185" s="14">
        <f t="shared" si="28"/>
        <v>1650</v>
      </c>
      <c r="W185" s="10">
        <f>VLOOKUP(Q185,Taxrate!A:B,2,FALSE)</f>
        <v>7.0000000000000007E-2</v>
      </c>
      <c r="X185" s="14">
        <f t="shared" si="29"/>
        <v>385.00000000000006</v>
      </c>
      <c r="Y185" s="10">
        <f>VLOOKUP(L185,'Discount Rate'!A:B,2,FALSE)</f>
        <v>7.0000000000000007E-2</v>
      </c>
      <c r="Z185" s="14">
        <f t="shared" si="30"/>
        <v>385.00000000000006</v>
      </c>
      <c r="AA185" s="14">
        <f t="shared" si="31"/>
        <v>4730</v>
      </c>
      <c r="AB185" s="14">
        <f t="shared" si="32"/>
        <v>3080</v>
      </c>
    </row>
    <row r="186" spans="1:28" x14ac:dyDescent="0.25">
      <c r="A186" t="s">
        <v>448</v>
      </c>
      <c r="B186" t="s">
        <v>449</v>
      </c>
      <c r="C186" t="s">
        <v>178</v>
      </c>
      <c r="D186" t="s">
        <v>59</v>
      </c>
      <c r="E186" s="1">
        <v>45986</v>
      </c>
      <c r="F186" s="8">
        <f t="shared" si="22"/>
        <v>2025</v>
      </c>
      <c r="G186" s="1" t="str">
        <f t="shared" si="23"/>
        <v>November</v>
      </c>
      <c r="H186" s="1" t="str">
        <f t="shared" si="24"/>
        <v>Tuesday</v>
      </c>
      <c r="I186" s="2">
        <v>0.36937500000000001</v>
      </c>
      <c r="J186" s="8">
        <f t="shared" si="25"/>
        <v>8</v>
      </c>
      <c r="K186" s="8">
        <f t="shared" si="26"/>
        <v>51</v>
      </c>
      <c r="L186" t="s">
        <v>46</v>
      </c>
      <c r="M186" t="s">
        <v>47</v>
      </c>
      <c r="N186">
        <v>6</v>
      </c>
      <c r="O186" s="14">
        <v>255.34</v>
      </c>
      <c r="P186">
        <f>VLOOKUP(L186,'Product-cost'!A:B,2,FALSE)</f>
        <v>150</v>
      </c>
      <c r="Q186" t="s">
        <v>39</v>
      </c>
      <c r="R186" t="s">
        <v>60</v>
      </c>
      <c r="S186" t="s">
        <v>132</v>
      </c>
      <c r="T186" t="s">
        <v>893</v>
      </c>
      <c r="U186" s="14">
        <f t="shared" si="27"/>
        <v>1532.04</v>
      </c>
      <c r="V186" s="14">
        <f t="shared" si="28"/>
        <v>900</v>
      </c>
      <c r="W186" s="10">
        <f>VLOOKUP(Q186,Taxrate!A:B,2,FALSE)</f>
        <v>0.15</v>
      </c>
      <c r="X186" s="14">
        <f t="shared" si="29"/>
        <v>229.80599999999998</v>
      </c>
      <c r="Y186" s="10">
        <f>VLOOKUP(L186,'Discount Rate'!A:B,2,FALSE)</f>
        <v>7.0000000000000007E-2</v>
      </c>
      <c r="Z186" s="14">
        <f t="shared" si="30"/>
        <v>107.2428</v>
      </c>
      <c r="AA186" s="14">
        <f t="shared" si="31"/>
        <v>1194.9911999999999</v>
      </c>
      <c r="AB186" s="14">
        <f t="shared" si="32"/>
        <v>294.99119999999994</v>
      </c>
    </row>
    <row r="187" spans="1:28" x14ac:dyDescent="0.25">
      <c r="A187" t="s">
        <v>450</v>
      </c>
      <c r="B187" t="s">
        <v>451</v>
      </c>
      <c r="C187" t="s">
        <v>178</v>
      </c>
      <c r="D187" t="s">
        <v>59</v>
      </c>
      <c r="E187" s="1">
        <v>46387</v>
      </c>
      <c r="F187" s="8">
        <f t="shared" si="22"/>
        <v>2026</v>
      </c>
      <c r="G187" s="1" t="str">
        <f t="shared" si="23"/>
        <v>December</v>
      </c>
      <c r="H187" s="1" t="str">
        <f t="shared" si="24"/>
        <v>Thursday</v>
      </c>
      <c r="I187" s="2">
        <v>0.77407407407407403</v>
      </c>
      <c r="J187" s="8">
        <f t="shared" si="25"/>
        <v>18</v>
      </c>
      <c r="K187" s="8">
        <f t="shared" si="26"/>
        <v>34</v>
      </c>
      <c r="L187" t="s">
        <v>73</v>
      </c>
      <c r="M187" t="s">
        <v>74</v>
      </c>
      <c r="N187">
        <v>11</v>
      </c>
      <c r="O187" s="14">
        <v>142.51</v>
      </c>
      <c r="P187">
        <f>VLOOKUP(L187,'Product-cost'!A:B,2,FALSE)</f>
        <v>50</v>
      </c>
      <c r="Q187" t="s">
        <v>32</v>
      </c>
      <c r="R187" t="s">
        <v>222</v>
      </c>
      <c r="S187" t="s">
        <v>34</v>
      </c>
      <c r="T187" t="s">
        <v>893</v>
      </c>
      <c r="U187" s="14">
        <f t="shared" si="27"/>
        <v>1567.61</v>
      </c>
      <c r="V187" s="14">
        <f t="shared" si="28"/>
        <v>550</v>
      </c>
      <c r="W187" s="10">
        <f>VLOOKUP(Q187,Taxrate!A:B,2,FALSE)</f>
        <v>0.2</v>
      </c>
      <c r="X187" s="14">
        <f t="shared" si="29"/>
        <v>313.52199999999999</v>
      </c>
      <c r="Y187" s="10">
        <f>VLOOKUP(L187,'Discount Rate'!A:B,2,FALSE)</f>
        <v>0.03</v>
      </c>
      <c r="Z187" s="14">
        <f t="shared" si="30"/>
        <v>47.028299999999994</v>
      </c>
      <c r="AA187" s="14">
        <f t="shared" si="31"/>
        <v>1207.0597</v>
      </c>
      <c r="AB187" s="14">
        <f t="shared" si="32"/>
        <v>657.05970000000002</v>
      </c>
    </row>
    <row r="188" spans="1:28" x14ac:dyDescent="0.25">
      <c r="A188" t="s">
        <v>452</v>
      </c>
      <c r="B188" t="s">
        <v>224</v>
      </c>
      <c r="C188" t="s">
        <v>58</v>
      </c>
      <c r="D188" t="s">
        <v>59</v>
      </c>
      <c r="E188" s="1">
        <v>45614</v>
      </c>
      <c r="F188" s="8">
        <f t="shared" si="22"/>
        <v>2024</v>
      </c>
      <c r="G188" s="1" t="str">
        <f t="shared" si="23"/>
        <v>November</v>
      </c>
      <c r="H188" s="1" t="str">
        <f t="shared" si="24"/>
        <v>Monday</v>
      </c>
      <c r="I188" s="2">
        <v>0.47377314814814814</v>
      </c>
      <c r="J188" s="8">
        <f t="shared" si="25"/>
        <v>11</v>
      </c>
      <c r="K188" s="8">
        <f t="shared" si="26"/>
        <v>22</v>
      </c>
      <c r="L188" t="s">
        <v>30</v>
      </c>
      <c r="M188" t="s">
        <v>31</v>
      </c>
      <c r="N188">
        <v>15</v>
      </c>
      <c r="O188" s="14">
        <v>372.11</v>
      </c>
      <c r="P188">
        <f>VLOOKUP(L188,'Product-cost'!A:B,2,FALSE)</f>
        <v>200</v>
      </c>
      <c r="Q188" t="s">
        <v>25</v>
      </c>
      <c r="R188" t="s">
        <v>60</v>
      </c>
      <c r="S188" t="s">
        <v>230</v>
      </c>
      <c r="T188" t="s">
        <v>893</v>
      </c>
      <c r="U188" s="14">
        <f t="shared" si="27"/>
        <v>5581.6500000000005</v>
      </c>
      <c r="V188" s="14">
        <f t="shared" si="28"/>
        <v>3000</v>
      </c>
      <c r="W188" s="10">
        <f>VLOOKUP(Q188,Taxrate!A:B,2,FALSE)</f>
        <v>0.1</v>
      </c>
      <c r="X188" s="14">
        <f t="shared" si="29"/>
        <v>558.16500000000008</v>
      </c>
      <c r="Y188" s="10">
        <f>VLOOKUP(L188,'Discount Rate'!A:B,2,FALSE)</f>
        <v>0.08</v>
      </c>
      <c r="Z188" s="14">
        <f t="shared" si="30"/>
        <v>446.53200000000004</v>
      </c>
      <c r="AA188" s="14">
        <f t="shared" si="31"/>
        <v>4576.9530000000004</v>
      </c>
      <c r="AB188" s="14">
        <f t="shared" si="32"/>
        <v>1576.9530000000004</v>
      </c>
    </row>
    <row r="189" spans="1:28" x14ac:dyDescent="0.25">
      <c r="A189" t="s">
        <v>453</v>
      </c>
      <c r="B189" t="s">
        <v>454</v>
      </c>
      <c r="C189" t="s">
        <v>155</v>
      </c>
      <c r="D189" t="s">
        <v>156</v>
      </c>
      <c r="E189" s="1">
        <v>45773</v>
      </c>
      <c r="F189" s="8">
        <f t="shared" si="22"/>
        <v>2025</v>
      </c>
      <c r="G189" s="1" t="str">
        <f t="shared" si="23"/>
        <v>April</v>
      </c>
      <c r="H189" s="1" t="str">
        <f t="shared" si="24"/>
        <v>Saturday</v>
      </c>
      <c r="I189" s="2">
        <v>0.91260416666666666</v>
      </c>
      <c r="J189" s="8">
        <f t="shared" si="25"/>
        <v>21</v>
      </c>
      <c r="K189" s="8">
        <f t="shared" si="26"/>
        <v>54</v>
      </c>
      <c r="L189" t="s">
        <v>23</v>
      </c>
      <c r="M189" t="s">
        <v>24</v>
      </c>
      <c r="N189">
        <v>6</v>
      </c>
      <c r="O189" s="14">
        <v>650.82000000000005</v>
      </c>
      <c r="P189">
        <f>VLOOKUP(L189,'Product-cost'!A:B,2,FALSE)</f>
        <v>300</v>
      </c>
      <c r="Q189" t="s">
        <v>39</v>
      </c>
      <c r="R189" t="s">
        <v>157</v>
      </c>
      <c r="S189" t="s">
        <v>230</v>
      </c>
      <c r="T189" t="s">
        <v>893</v>
      </c>
      <c r="U189" s="14">
        <f t="shared" si="27"/>
        <v>3904.92</v>
      </c>
      <c r="V189" s="14">
        <f t="shared" si="28"/>
        <v>1800</v>
      </c>
      <c r="W189" s="10">
        <f>VLOOKUP(Q189,Taxrate!A:B,2,FALSE)</f>
        <v>0.15</v>
      </c>
      <c r="X189" s="14">
        <f t="shared" si="29"/>
        <v>585.73799999999994</v>
      </c>
      <c r="Y189" s="10">
        <f>VLOOKUP(L189,'Discount Rate'!A:B,2,FALSE)</f>
        <v>0.1</v>
      </c>
      <c r="Z189" s="14">
        <f t="shared" si="30"/>
        <v>390.49200000000002</v>
      </c>
      <c r="AA189" s="14">
        <f t="shared" si="31"/>
        <v>2928.69</v>
      </c>
      <c r="AB189" s="14">
        <f t="shared" si="32"/>
        <v>1128.69</v>
      </c>
    </row>
    <row r="190" spans="1:28" x14ac:dyDescent="0.25">
      <c r="A190" t="s">
        <v>455</v>
      </c>
      <c r="B190" t="s">
        <v>98</v>
      </c>
      <c r="C190" t="s">
        <v>44</v>
      </c>
      <c r="D190" t="s">
        <v>45</v>
      </c>
      <c r="E190" s="1">
        <v>45852</v>
      </c>
      <c r="F190" s="8">
        <f t="shared" si="22"/>
        <v>2025</v>
      </c>
      <c r="G190" s="1" t="str">
        <f t="shared" si="23"/>
        <v>July</v>
      </c>
      <c r="H190" s="1" t="str">
        <f t="shared" si="24"/>
        <v>Monday</v>
      </c>
      <c r="I190" s="2">
        <v>0.49223379629629632</v>
      </c>
      <c r="J190" s="8">
        <f t="shared" si="25"/>
        <v>11</v>
      </c>
      <c r="K190" s="8">
        <f t="shared" si="26"/>
        <v>48</v>
      </c>
      <c r="L190" t="s">
        <v>23</v>
      </c>
      <c r="M190" t="s">
        <v>24</v>
      </c>
      <c r="N190">
        <v>3</v>
      </c>
      <c r="O190" s="14">
        <v>709.07</v>
      </c>
      <c r="P190">
        <f>VLOOKUP(L190,'Product-cost'!A:B,2,FALSE)</f>
        <v>300</v>
      </c>
      <c r="Q190" t="s">
        <v>51</v>
      </c>
      <c r="R190" t="s">
        <v>80</v>
      </c>
      <c r="S190" t="s">
        <v>213</v>
      </c>
      <c r="T190" t="s">
        <v>894</v>
      </c>
      <c r="U190" s="14">
        <f t="shared" si="27"/>
        <v>2127.21</v>
      </c>
      <c r="V190" s="14">
        <f t="shared" si="28"/>
        <v>900</v>
      </c>
      <c r="W190" s="10">
        <f>VLOOKUP(Q190,Taxrate!A:B,2,FALSE)</f>
        <v>7.0000000000000007E-2</v>
      </c>
      <c r="X190" s="14">
        <f t="shared" si="29"/>
        <v>148.90470000000002</v>
      </c>
      <c r="Y190" s="10">
        <f>VLOOKUP(L190,'Discount Rate'!A:B,2,FALSE)</f>
        <v>0.1</v>
      </c>
      <c r="Z190" s="14">
        <f t="shared" si="30"/>
        <v>212.721</v>
      </c>
      <c r="AA190" s="14">
        <f t="shared" si="31"/>
        <v>1765.5843</v>
      </c>
      <c r="AB190" s="14">
        <f t="shared" si="32"/>
        <v>865.58429999999998</v>
      </c>
    </row>
    <row r="191" spans="1:28" x14ac:dyDescent="0.25">
      <c r="A191" t="s">
        <v>456</v>
      </c>
      <c r="B191" t="s">
        <v>457</v>
      </c>
      <c r="C191" t="s">
        <v>37</v>
      </c>
      <c r="D191" t="s">
        <v>38</v>
      </c>
      <c r="E191" s="1">
        <v>45586</v>
      </c>
      <c r="F191" s="8">
        <f t="shared" si="22"/>
        <v>2024</v>
      </c>
      <c r="G191" s="1" t="str">
        <f t="shared" si="23"/>
        <v>October</v>
      </c>
      <c r="H191" s="1" t="str">
        <f t="shared" si="24"/>
        <v>Monday</v>
      </c>
      <c r="I191" s="2">
        <v>0.36319444444444443</v>
      </c>
      <c r="J191" s="8">
        <f t="shared" si="25"/>
        <v>8</v>
      </c>
      <c r="K191" s="8">
        <f t="shared" si="26"/>
        <v>43</v>
      </c>
      <c r="L191" t="s">
        <v>23</v>
      </c>
      <c r="M191" t="s">
        <v>24</v>
      </c>
      <c r="N191">
        <v>15</v>
      </c>
      <c r="O191" s="14">
        <v>518.67999999999995</v>
      </c>
      <c r="P191">
        <f>VLOOKUP(L191,'Product-cost'!A:B,2,FALSE)</f>
        <v>300</v>
      </c>
      <c r="Q191" t="s">
        <v>39</v>
      </c>
      <c r="R191" t="s">
        <v>84</v>
      </c>
      <c r="S191" t="s">
        <v>152</v>
      </c>
      <c r="T191" t="s">
        <v>893</v>
      </c>
      <c r="U191" s="14">
        <f t="shared" si="27"/>
        <v>7780.1999999999989</v>
      </c>
      <c r="V191" s="14">
        <f t="shared" si="28"/>
        <v>4500</v>
      </c>
      <c r="W191" s="10">
        <f>VLOOKUP(Q191,Taxrate!A:B,2,FALSE)</f>
        <v>0.15</v>
      </c>
      <c r="X191" s="14">
        <f t="shared" si="29"/>
        <v>1167.0299999999997</v>
      </c>
      <c r="Y191" s="10">
        <f>VLOOKUP(L191,'Discount Rate'!A:B,2,FALSE)</f>
        <v>0.1</v>
      </c>
      <c r="Z191" s="14">
        <f t="shared" si="30"/>
        <v>778.02</v>
      </c>
      <c r="AA191" s="14">
        <f t="shared" si="31"/>
        <v>5835.15</v>
      </c>
      <c r="AB191" s="14">
        <f t="shared" si="32"/>
        <v>1335.1499999999996</v>
      </c>
    </row>
    <row r="192" spans="1:28" x14ac:dyDescent="0.25">
      <c r="A192" t="s">
        <v>458</v>
      </c>
      <c r="B192" t="s">
        <v>459</v>
      </c>
      <c r="C192" t="s">
        <v>126</v>
      </c>
      <c r="D192" t="s">
        <v>22</v>
      </c>
      <c r="E192" s="1">
        <v>45844</v>
      </c>
      <c r="F192" s="8">
        <f t="shared" si="22"/>
        <v>2025</v>
      </c>
      <c r="G192" s="1" t="str">
        <f t="shared" si="23"/>
        <v>July</v>
      </c>
      <c r="H192" s="1" t="str">
        <f t="shared" si="24"/>
        <v>Sunday</v>
      </c>
      <c r="I192" s="2">
        <v>0.58160879629629625</v>
      </c>
      <c r="J192" s="8">
        <f t="shared" si="25"/>
        <v>13</v>
      </c>
      <c r="K192" s="8">
        <f t="shared" si="26"/>
        <v>57</v>
      </c>
      <c r="L192" t="s">
        <v>30</v>
      </c>
      <c r="M192" t="s">
        <v>31</v>
      </c>
      <c r="N192">
        <v>3</v>
      </c>
      <c r="O192" s="14">
        <v>503.64</v>
      </c>
      <c r="P192">
        <f>VLOOKUP(L192,'Product-cost'!A:B,2,FALSE)</f>
        <v>200</v>
      </c>
      <c r="Q192" t="s">
        <v>39</v>
      </c>
      <c r="R192" t="s">
        <v>52</v>
      </c>
      <c r="S192" t="s">
        <v>69</v>
      </c>
      <c r="T192" t="s">
        <v>894</v>
      </c>
      <c r="U192" s="14">
        <f t="shared" si="27"/>
        <v>1510.92</v>
      </c>
      <c r="V192" s="14">
        <f t="shared" si="28"/>
        <v>600</v>
      </c>
      <c r="W192" s="10">
        <f>VLOOKUP(Q192,Taxrate!A:B,2,FALSE)</f>
        <v>0.15</v>
      </c>
      <c r="X192" s="14">
        <f t="shared" si="29"/>
        <v>226.63800000000001</v>
      </c>
      <c r="Y192" s="10">
        <f>VLOOKUP(L192,'Discount Rate'!A:B,2,FALSE)</f>
        <v>0.08</v>
      </c>
      <c r="Z192" s="14">
        <f t="shared" si="30"/>
        <v>120.87360000000001</v>
      </c>
      <c r="AA192" s="14">
        <f t="shared" si="31"/>
        <v>1163.4084000000003</v>
      </c>
      <c r="AB192" s="14">
        <f t="shared" si="32"/>
        <v>563.40840000000026</v>
      </c>
    </row>
    <row r="193" spans="1:28" x14ac:dyDescent="0.25">
      <c r="A193" t="s">
        <v>460</v>
      </c>
      <c r="B193" t="s">
        <v>262</v>
      </c>
      <c r="C193" t="s">
        <v>44</v>
      </c>
      <c r="D193" t="s">
        <v>45</v>
      </c>
      <c r="E193" s="1">
        <v>46120</v>
      </c>
      <c r="F193" s="8">
        <f t="shared" si="22"/>
        <v>2026</v>
      </c>
      <c r="G193" s="1" t="str">
        <f t="shared" si="23"/>
        <v>April</v>
      </c>
      <c r="H193" s="1" t="str">
        <f t="shared" si="24"/>
        <v>Wednesday</v>
      </c>
      <c r="I193" s="2">
        <v>0.85739583333333336</v>
      </c>
      <c r="J193" s="8">
        <f t="shared" si="25"/>
        <v>20</v>
      </c>
      <c r="K193" s="8">
        <f t="shared" si="26"/>
        <v>34</v>
      </c>
      <c r="L193" t="s">
        <v>15</v>
      </c>
      <c r="M193" t="s">
        <v>16</v>
      </c>
      <c r="N193">
        <v>1</v>
      </c>
      <c r="O193" s="14">
        <v>1126.78</v>
      </c>
      <c r="P193">
        <f>VLOOKUP(L193,'Product-cost'!A:B,2,FALSE)</f>
        <v>600</v>
      </c>
      <c r="Q193" t="s">
        <v>51</v>
      </c>
      <c r="R193" t="s">
        <v>48</v>
      </c>
      <c r="S193" t="s">
        <v>34</v>
      </c>
      <c r="T193" t="s">
        <v>893</v>
      </c>
      <c r="U193" s="14">
        <f t="shared" si="27"/>
        <v>1126.78</v>
      </c>
      <c r="V193" s="14">
        <f t="shared" si="28"/>
        <v>600</v>
      </c>
      <c r="W193" s="10">
        <f>VLOOKUP(Q193,Taxrate!A:B,2,FALSE)</f>
        <v>7.0000000000000007E-2</v>
      </c>
      <c r="X193" s="14">
        <f t="shared" si="29"/>
        <v>78.874600000000001</v>
      </c>
      <c r="Y193" s="10">
        <f>VLOOKUP(L193,'Discount Rate'!A:B,2,FALSE)</f>
        <v>0.05</v>
      </c>
      <c r="Z193" s="14">
        <f t="shared" si="30"/>
        <v>56.338999999999999</v>
      </c>
      <c r="AA193" s="14">
        <f t="shared" si="31"/>
        <v>991.56639999999993</v>
      </c>
      <c r="AB193" s="14">
        <f t="shared" si="32"/>
        <v>391.56639999999993</v>
      </c>
    </row>
    <row r="194" spans="1:28" x14ac:dyDescent="0.25">
      <c r="A194" t="s">
        <v>461</v>
      </c>
      <c r="B194" t="s">
        <v>462</v>
      </c>
      <c r="C194" t="s">
        <v>386</v>
      </c>
      <c r="D194" t="s">
        <v>45</v>
      </c>
      <c r="E194" s="1">
        <v>45966</v>
      </c>
      <c r="F194" s="8">
        <f t="shared" si="22"/>
        <v>2025</v>
      </c>
      <c r="G194" s="1" t="str">
        <f t="shared" si="23"/>
        <v>November</v>
      </c>
      <c r="H194" s="1" t="str">
        <f t="shared" si="24"/>
        <v>Wednesday</v>
      </c>
      <c r="I194" s="2">
        <v>0.77311342592592591</v>
      </c>
      <c r="J194" s="8">
        <f t="shared" si="25"/>
        <v>18</v>
      </c>
      <c r="K194" s="8">
        <f t="shared" si="26"/>
        <v>33</v>
      </c>
      <c r="L194" t="s">
        <v>46</v>
      </c>
      <c r="M194" t="s">
        <v>47</v>
      </c>
      <c r="N194">
        <v>3</v>
      </c>
      <c r="O194" s="14">
        <v>274.85000000000002</v>
      </c>
      <c r="P194">
        <f>VLOOKUP(L194,'Product-cost'!A:B,2,FALSE)</f>
        <v>150</v>
      </c>
      <c r="Q194" t="s">
        <v>55</v>
      </c>
      <c r="R194" t="s">
        <v>48</v>
      </c>
      <c r="S194" t="s">
        <v>34</v>
      </c>
      <c r="T194" t="s">
        <v>893</v>
      </c>
      <c r="U194" s="14">
        <f t="shared" si="27"/>
        <v>824.55000000000007</v>
      </c>
      <c r="V194" s="14">
        <f t="shared" si="28"/>
        <v>450</v>
      </c>
      <c r="W194" s="10">
        <f>VLOOKUP(Q194,Taxrate!A:B,2,FALSE)</f>
        <v>0.12</v>
      </c>
      <c r="X194" s="14">
        <f t="shared" si="29"/>
        <v>98.945999999999998</v>
      </c>
      <c r="Y194" s="10">
        <f>VLOOKUP(L194,'Discount Rate'!A:B,2,FALSE)</f>
        <v>7.0000000000000007E-2</v>
      </c>
      <c r="Z194" s="14">
        <f t="shared" si="30"/>
        <v>57.718500000000013</v>
      </c>
      <c r="AA194" s="14">
        <f t="shared" si="31"/>
        <v>667.88549999999998</v>
      </c>
      <c r="AB194" s="14">
        <f t="shared" si="32"/>
        <v>217.88549999999998</v>
      </c>
    </row>
    <row r="195" spans="1:28" x14ac:dyDescent="0.25">
      <c r="A195" t="s">
        <v>463</v>
      </c>
      <c r="B195" t="s">
        <v>345</v>
      </c>
      <c r="C195" t="s">
        <v>126</v>
      </c>
      <c r="D195" t="s">
        <v>22</v>
      </c>
      <c r="E195" s="1">
        <v>45717</v>
      </c>
      <c r="F195" s="8">
        <f t="shared" ref="F195:F258" si="33">YEAR(E195)</f>
        <v>2025</v>
      </c>
      <c r="G195" s="1" t="str">
        <f t="shared" ref="G195:G258" si="34">TEXT(E195,"mmmm")</f>
        <v>March</v>
      </c>
      <c r="H195" s="1" t="str">
        <f t="shared" ref="H195:H258" si="35">TEXT(E195, "dddd")</f>
        <v>Saturday</v>
      </c>
      <c r="I195" s="2">
        <v>0.50696759259259261</v>
      </c>
      <c r="J195" s="8">
        <f t="shared" ref="J195:J258" si="36">HOUR(I195)</f>
        <v>12</v>
      </c>
      <c r="K195" s="8">
        <f t="shared" ref="K195:K258" si="37">MINUTE(I195)</f>
        <v>10</v>
      </c>
      <c r="L195" t="s">
        <v>46</v>
      </c>
      <c r="M195" t="s">
        <v>47</v>
      </c>
      <c r="N195">
        <v>4</v>
      </c>
      <c r="O195" s="14">
        <v>228.87</v>
      </c>
      <c r="P195">
        <f>VLOOKUP(L195,'Product-cost'!A:B,2,FALSE)</f>
        <v>150</v>
      </c>
      <c r="Q195" t="s">
        <v>32</v>
      </c>
      <c r="R195" t="s">
        <v>26</v>
      </c>
      <c r="T195" t="s">
        <v>895</v>
      </c>
      <c r="U195" s="14">
        <f t="shared" ref="U195:U258" si="38">O195*N195</f>
        <v>915.48</v>
      </c>
      <c r="V195" s="14">
        <f t="shared" ref="V195:V258" si="39">P195*N195</f>
        <v>600</v>
      </c>
      <c r="W195" s="10">
        <f>VLOOKUP(Q195,Taxrate!A:B,2,FALSE)</f>
        <v>0.2</v>
      </c>
      <c r="X195" s="14">
        <f t="shared" ref="X195:X258" si="40">U195*W195</f>
        <v>183.096</v>
      </c>
      <c r="Y195" s="10">
        <f>VLOOKUP(L195,'Discount Rate'!A:B,2,FALSE)</f>
        <v>7.0000000000000007E-2</v>
      </c>
      <c r="Z195" s="14">
        <f t="shared" ref="Z195:Z258" si="41">Y195*U195</f>
        <v>64.083600000000004</v>
      </c>
      <c r="AA195" s="14">
        <f t="shared" ref="AA195:AA258" si="42">U195-X195-Z195</f>
        <v>668.30039999999997</v>
      </c>
      <c r="AB195" s="14">
        <f t="shared" ref="AB195:AB258" si="43">AA195-V195</f>
        <v>68.300399999999968</v>
      </c>
    </row>
    <row r="196" spans="1:28" x14ac:dyDescent="0.25">
      <c r="A196" t="s">
        <v>464</v>
      </c>
      <c r="B196" t="s">
        <v>465</v>
      </c>
      <c r="C196" t="s">
        <v>13</v>
      </c>
      <c r="D196" t="s">
        <v>14</v>
      </c>
      <c r="E196" s="1">
        <v>46364</v>
      </c>
      <c r="F196" s="8">
        <f t="shared" si="33"/>
        <v>2026</v>
      </c>
      <c r="G196" s="1" t="str">
        <f t="shared" si="34"/>
        <v>December</v>
      </c>
      <c r="H196" s="1" t="str">
        <f t="shared" si="35"/>
        <v>Tuesday</v>
      </c>
      <c r="I196" s="2">
        <v>0.63768518518518513</v>
      </c>
      <c r="J196" s="8">
        <f t="shared" si="36"/>
        <v>15</v>
      </c>
      <c r="K196" s="8">
        <f t="shared" si="37"/>
        <v>18</v>
      </c>
      <c r="L196" t="s">
        <v>73</v>
      </c>
      <c r="M196" t="s">
        <v>74</v>
      </c>
      <c r="N196">
        <v>7</v>
      </c>
      <c r="O196" s="14">
        <v>185.56</v>
      </c>
      <c r="P196">
        <f>VLOOKUP(L196,'Product-cost'!A:B,2,FALSE)</f>
        <v>50</v>
      </c>
      <c r="Q196" t="s">
        <v>25</v>
      </c>
      <c r="R196" t="s">
        <v>33</v>
      </c>
      <c r="T196" t="s">
        <v>895</v>
      </c>
      <c r="U196" s="14">
        <f t="shared" si="38"/>
        <v>1298.92</v>
      </c>
      <c r="V196" s="14">
        <f t="shared" si="39"/>
        <v>350</v>
      </c>
      <c r="W196" s="10">
        <f>VLOOKUP(Q196,Taxrate!A:B,2,FALSE)</f>
        <v>0.1</v>
      </c>
      <c r="X196" s="14">
        <f t="shared" si="40"/>
        <v>129.89200000000002</v>
      </c>
      <c r="Y196" s="10">
        <f>VLOOKUP(L196,'Discount Rate'!A:B,2,FALSE)</f>
        <v>0.03</v>
      </c>
      <c r="Z196" s="14">
        <f t="shared" si="41"/>
        <v>38.967599999999997</v>
      </c>
      <c r="AA196" s="14">
        <f t="shared" si="42"/>
        <v>1130.0604000000001</v>
      </c>
      <c r="AB196" s="14">
        <f t="shared" si="43"/>
        <v>780.06040000000007</v>
      </c>
    </row>
    <row r="197" spans="1:28" x14ac:dyDescent="0.25">
      <c r="A197" t="s">
        <v>466</v>
      </c>
      <c r="B197" t="s">
        <v>467</v>
      </c>
      <c r="C197" t="s">
        <v>129</v>
      </c>
      <c r="D197" t="s">
        <v>22</v>
      </c>
      <c r="E197" s="1">
        <v>46252</v>
      </c>
      <c r="F197" s="8">
        <f t="shared" si="33"/>
        <v>2026</v>
      </c>
      <c r="G197" s="1" t="str">
        <f t="shared" si="34"/>
        <v>August</v>
      </c>
      <c r="H197" s="1" t="str">
        <f t="shared" si="35"/>
        <v>Tuesday</v>
      </c>
      <c r="I197" s="2">
        <v>0.55760416666666668</v>
      </c>
      <c r="J197" s="8">
        <f t="shared" si="36"/>
        <v>13</v>
      </c>
      <c r="K197" s="8">
        <f t="shared" si="37"/>
        <v>22</v>
      </c>
      <c r="L197" t="s">
        <v>73</v>
      </c>
      <c r="M197" t="s">
        <v>74</v>
      </c>
      <c r="N197">
        <v>5</v>
      </c>
      <c r="O197" s="14">
        <v>126.97</v>
      </c>
      <c r="P197">
        <f>VLOOKUP(L197,'Product-cost'!A:B,2,FALSE)</f>
        <v>50</v>
      </c>
      <c r="Q197" t="s">
        <v>25</v>
      </c>
      <c r="R197" t="s">
        <v>26</v>
      </c>
      <c r="T197" t="s">
        <v>895</v>
      </c>
      <c r="U197" s="14">
        <f t="shared" si="38"/>
        <v>634.85</v>
      </c>
      <c r="V197" s="14">
        <f t="shared" si="39"/>
        <v>250</v>
      </c>
      <c r="W197" s="10">
        <f>VLOOKUP(Q197,Taxrate!A:B,2,FALSE)</f>
        <v>0.1</v>
      </c>
      <c r="X197" s="14">
        <f t="shared" si="40"/>
        <v>63.485000000000007</v>
      </c>
      <c r="Y197" s="10">
        <f>VLOOKUP(L197,'Discount Rate'!A:B,2,FALSE)</f>
        <v>0.03</v>
      </c>
      <c r="Z197" s="14">
        <f t="shared" si="41"/>
        <v>19.045500000000001</v>
      </c>
      <c r="AA197" s="14">
        <f t="shared" si="42"/>
        <v>552.31950000000006</v>
      </c>
      <c r="AB197" s="14">
        <f t="shared" si="43"/>
        <v>302.31950000000006</v>
      </c>
    </row>
    <row r="198" spans="1:28" x14ac:dyDescent="0.25">
      <c r="A198" t="s">
        <v>468</v>
      </c>
      <c r="B198" t="s">
        <v>206</v>
      </c>
      <c r="C198" t="s">
        <v>58</v>
      </c>
      <c r="D198" t="s">
        <v>59</v>
      </c>
      <c r="E198" s="1">
        <v>45198</v>
      </c>
      <c r="F198" s="8">
        <f t="shared" si="33"/>
        <v>2023</v>
      </c>
      <c r="G198" s="1" t="str">
        <f t="shared" si="34"/>
        <v>September</v>
      </c>
      <c r="H198" s="1" t="str">
        <f t="shared" si="35"/>
        <v>Friday</v>
      </c>
      <c r="I198" s="2">
        <v>0.88201388888888888</v>
      </c>
      <c r="J198" s="8">
        <f t="shared" si="36"/>
        <v>21</v>
      </c>
      <c r="K198" s="8">
        <f t="shared" si="37"/>
        <v>10</v>
      </c>
      <c r="L198" t="s">
        <v>73</v>
      </c>
      <c r="M198" t="s">
        <v>74</v>
      </c>
      <c r="N198">
        <v>8</v>
      </c>
      <c r="O198" s="14">
        <v>170.88</v>
      </c>
      <c r="P198">
        <f>VLOOKUP(L198,'Product-cost'!A:B,2,FALSE)</f>
        <v>50</v>
      </c>
      <c r="Q198" t="s">
        <v>32</v>
      </c>
      <c r="R198" t="s">
        <v>222</v>
      </c>
      <c r="S198" t="s">
        <v>102</v>
      </c>
      <c r="T198" t="s">
        <v>895</v>
      </c>
      <c r="U198" s="14">
        <f t="shared" si="38"/>
        <v>1367.04</v>
      </c>
      <c r="V198" s="14">
        <f t="shared" si="39"/>
        <v>400</v>
      </c>
      <c r="W198" s="10">
        <f>VLOOKUP(Q198,Taxrate!A:B,2,FALSE)</f>
        <v>0.2</v>
      </c>
      <c r="X198" s="14">
        <f t="shared" si="40"/>
        <v>273.40800000000002</v>
      </c>
      <c r="Y198" s="10">
        <f>VLOOKUP(L198,'Discount Rate'!A:B,2,FALSE)</f>
        <v>0.03</v>
      </c>
      <c r="Z198" s="14">
        <f t="shared" si="41"/>
        <v>41.011199999999995</v>
      </c>
      <c r="AA198" s="14">
        <f t="shared" si="42"/>
        <v>1052.6208000000001</v>
      </c>
      <c r="AB198" s="14">
        <f t="shared" si="43"/>
        <v>652.62080000000014</v>
      </c>
    </row>
    <row r="199" spans="1:28" x14ac:dyDescent="0.25">
      <c r="A199" t="s">
        <v>469</v>
      </c>
      <c r="B199" t="s">
        <v>470</v>
      </c>
      <c r="C199" t="s">
        <v>44</v>
      </c>
      <c r="D199" t="s">
        <v>45</v>
      </c>
      <c r="E199" s="1">
        <v>45462</v>
      </c>
      <c r="F199" s="8">
        <f t="shared" si="33"/>
        <v>2024</v>
      </c>
      <c r="G199" s="1" t="str">
        <f t="shared" si="34"/>
        <v>June</v>
      </c>
      <c r="H199" s="1" t="str">
        <f t="shared" si="35"/>
        <v>Wednesday</v>
      </c>
      <c r="I199" s="2">
        <v>0.3652199074074074</v>
      </c>
      <c r="J199" s="8">
        <f t="shared" si="36"/>
        <v>8</v>
      </c>
      <c r="K199" s="8">
        <f t="shared" si="37"/>
        <v>45</v>
      </c>
      <c r="L199" t="s">
        <v>46</v>
      </c>
      <c r="M199" t="s">
        <v>47</v>
      </c>
      <c r="N199">
        <v>10</v>
      </c>
      <c r="O199" s="14">
        <v>200.64</v>
      </c>
      <c r="P199">
        <f>VLOOKUP(L199,'Product-cost'!A:B,2,FALSE)</f>
        <v>150</v>
      </c>
      <c r="Q199" t="s">
        <v>25</v>
      </c>
      <c r="R199" t="s">
        <v>80</v>
      </c>
      <c r="S199" t="s">
        <v>213</v>
      </c>
      <c r="T199" t="s">
        <v>894</v>
      </c>
      <c r="U199" s="14">
        <f t="shared" si="38"/>
        <v>2006.3999999999999</v>
      </c>
      <c r="V199" s="14">
        <f t="shared" si="39"/>
        <v>1500</v>
      </c>
      <c r="W199" s="10">
        <f>VLOOKUP(Q199,Taxrate!A:B,2,FALSE)</f>
        <v>0.1</v>
      </c>
      <c r="X199" s="14">
        <f t="shared" si="40"/>
        <v>200.64</v>
      </c>
      <c r="Y199" s="10">
        <f>VLOOKUP(L199,'Discount Rate'!A:B,2,FALSE)</f>
        <v>7.0000000000000007E-2</v>
      </c>
      <c r="Z199" s="14">
        <f t="shared" si="41"/>
        <v>140.44800000000001</v>
      </c>
      <c r="AA199" s="14">
        <f t="shared" si="42"/>
        <v>1665.3119999999997</v>
      </c>
      <c r="AB199" s="14">
        <f t="shared" si="43"/>
        <v>165.31199999999967</v>
      </c>
    </row>
    <row r="200" spans="1:28" x14ac:dyDescent="0.25">
      <c r="A200" t="s">
        <v>471</v>
      </c>
      <c r="B200" t="s">
        <v>472</v>
      </c>
      <c r="C200" t="s">
        <v>155</v>
      </c>
      <c r="D200" t="s">
        <v>156</v>
      </c>
      <c r="E200" s="1">
        <v>46070</v>
      </c>
      <c r="F200" s="8">
        <f t="shared" si="33"/>
        <v>2026</v>
      </c>
      <c r="G200" s="1" t="str">
        <f t="shared" si="34"/>
        <v>February</v>
      </c>
      <c r="H200" s="1" t="str">
        <f t="shared" si="35"/>
        <v>Tuesday</v>
      </c>
      <c r="I200" s="2">
        <v>0.36248842592592595</v>
      </c>
      <c r="J200" s="8">
        <f t="shared" si="36"/>
        <v>8</v>
      </c>
      <c r="K200" s="8">
        <f t="shared" si="37"/>
        <v>41</v>
      </c>
      <c r="L200" t="s">
        <v>23</v>
      </c>
      <c r="M200" t="s">
        <v>24</v>
      </c>
      <c r="N200">
        <v>8</v>
      </c>
      <c r="O200" s="14">
        <v>740.82</v>
      </c>
      <c r="P200">
        <f>VLOOKUP(L200,'Product-cost'!A:B,2,FALSE)</f>
        <v>300</v>
      </c>
      <c r="Q200" t="s">
        <v>51</v>
      </c>
      <c r="R200" t="s">
        <v>252</v>
      </c>
      <c r="T200" t="s">
        <v>895</v>
      </c>
      <c r="U200" s="14">
        <f t="shared" si="38"/>
        <v>5926.56</v>
      </c>
      <c r="V200" s="14">
        <f t="shared" si="39"/>
        <v>2400</v>
      </c>
      <c r="W200" s="10">
        <f>VLOOKUP(Q200,Taxrate!A:B,2,FALSE)</f>
        <v>7.0000000000000007E-2</v>
      </c>
      <c r="X200" s="14">
        <f t="shared" si="40"/>
        <v>414.85920000000004</v>
      </c>
      <c r="Y200" s="10">
        <f>VLOOKUP(L200,'Discount Rate'!A:B,2,FALSE)</f>
        <v>0.1</v>
      </c>
      <c r="Z200" s="14">
        <f t="shared" si="41"/>
        <v>592.65600000000006</v>
      </c>
      <c r="AA200" s="14">
        <f t="shared" si="42"/>
        <v>4919.0448000000006</v>
      </c>
      <c r="AB200" s="14">
        <f t="shared" si="43"/>
        <v>2519.0448000000006</v>
      </c>
    </row>
    <row r="201" spans="1:28" x14ac:dyDescent="0.25">
      <c r="A201" t="s">
        <v>473</v>
      </c>
      <c r="B201" t="s">
        <v>474</v>
      </c>
      <c r="C201" t="s">
        <v>21</v>
      </c>
      <c r="D201" t="s">
        <v>22</v>
      </c>
      <c r="E201" s="1">
        <v>45867</v>
      </c>
      <c r="F201" s="8">
        <f t="shared" si="33"/>
        <v>2025</v>
      </c>
      <c r="G201" s="1" t="str">
        <f t="shared" si="34"/>
        <v>July</v>
      </c>
      <c r="H201" s="1" t="str">
        <f t="shared" si="35"/>
        <v>Tuesday</v>
      </c>
      <c r="I201" s="2">
        <v>0.85865740740740737</v>
      </c>
      <c r="J201" s="8">
        <f t="shared" si="36"/>
        <v>20</v>
      </c>
      <c r="K201" s="8">
        <f t="shared" si="37"/>
        <v>36</v>
      </c>
      <c r="L201" t="s">
        <v>15</v>
      </c>
      <c r="M201" t="s">
        <v>16</v>
      </c>
      <c r="N201">
        <v>8</v>
      </c>
      <c r="O201" s="14">
        <v>1290.3399999999999</v>
      </c>
      <c r="P201">
        <f>VLOOKUP(L201,'Product-cost'!A:B,2,FALSE)</f>
        <v>600</v>
      </c>
      <c r="Q201" t="s">
        <v>51</v>
      </c>
      <c r="R201" t="s">
        <v>52</v>
      </c>
      <c r="S201" t="s">
        <v>18</v>
      </c>
      <c r="T201" t="s">
        <v>893</v>
      </c>
      <c r="U201" s="14">
        <f t="shared" si="38"/>
        <v>10322.719999999999</v>
      </c>
      <c r="V201" s="14">
        <f t="shared" si="39"/>
        <v>4800</v>
      </c>
      <c r="W201" s="10">
        <f>VLOOKUP(Q201,Taxrate!A:B,2,FALSE)</f>
        <v>7.0000000000000007E-2</v>
      </c>
      <c r="X201" s="14">
        <f t="shared" si="40"/>
        <v>722.59040000000005</v>
      </c>
      <c r="Y201" s="10">
        <f>VLOOKUP(L201,'Discount Rate'!A:B,2,FALSE)</f>
        <v>0.05</v>
      </c>
      <c r="Z201" s="14">
        <f t="shared" si="41"/>
        <v>516.13599999999997</v>
      </c>
      <c r="AA201" s="14">
        <f t="shared" si="42"/>
        <v>9083.9935999999998</v>
      </c>
      <c r="AB201" s="14">
        <f t="shared" si="43"/>
        <v>4283.9935999999998</v>
      </c>
    </row>
    <row r="202" spans="1:28" x14ac:dyDescent="0.25">
      <c r="A202" t="s">
        <v>475</v>
      </c>
      <c r="B202" t="s">
        <v>476</v>
      </c>
      <c r="C202" t="s">
        <v>118</v>
      </c>
      <c r="D202" t="s">
        <v>59</v>
      </c>
      <c r="E202" s="1">
        <v>46062</v>
      </c>
      <c r="F202" s="8">
        <f t="shared" si="33"/>
        <v>2026</v>
      </c>
      <c r="G202" s="1" t="str">
        <f t="shared" si="34"/>
        <v>February</v>
      </c>
      <c r="H202" s="1" t="str">
        <f t="shared" si="35"/>
        <v>Monday</v>
      </c>
      <c r="I202" s="2">
        <v>0.5582407407407407</v>
      </c>
      <c r="J202" s="8">
        <f t="shared" si="36"/>
        <v>13</v>
      </c>
      <c r="K202" s="8">
        <f t="shared" si="37"/>
        <v>23</v>
      </c>
      <c r="L202" t="s">
        <v>15</v>
      </c>
      <c r="M202" t="s">
        <v>16</v>
      </c>
      <c r="N202">
        <v>14</v>
      </c>
      <c r="O202" s="14">
        <v>1080.08</v>
      </c>
      <c r="P202">
        <f>VLOOKUP(L202,'Product-cost'!A:B,2,FALSE)</f>
        <v>600</v>
      </c>
      <c r="Q202" t="s">
        <v>55</v>
      </c>
      <c r="R202" t="s">
        <v>222</v>
      </c>
      <c r="T202" t="s">
        <v>895</v>
      </c>
      <c r="U202" s="14">
        <f t="shared" si="38"/>
        <v>15121.119999999999</v>
      </c>
      <c r="V202" s="14">
        <f t="shared" si="39"/>
        <v>8400</v>
      </c>
      <c r="W202" s="10">
        <f>VLOOKUP(Q202,Taxrate!A:B,2,FALSE)</f>
        <v>0.12</v>
      </c>
      <c r="X202" s="14">
        <f t="shared" si="40"/>
        <v>1814.5343999999998</v>
      </c>
      <c r="Y202" s="10">
        <f>VLOOKUP(L202,'Discount Rate'!A:B,2,FALSE)</f>
        <v>0.05</v>
      </c>
      <c r="Z202" s="14">
        <f t="shared" si="41"/>
        <v>756.05600000000004</v>
      </c>
      <c r="AA202" s="14">
        <f t="shared" si="42"/>
        <v>12550.529599999998</v>
      </c>
      <c r="AB202" s="14">
        <f t="shared" si="43"/>
        <v>4150.529599999998</v>
      </c>
    </row>
    <row r="203" spans="1:28" x14ac:dyDescent="0.25">
      <c r="A203" t="s">
        <v>477</v>
      </c>
      <c r="B203" t="s">
        <v>478</v>
      </c>
      <c r="C203" t="s">
        <v>37</v>
      </c>
      <c r="D203" t="s">
        <v>38</v>
      </c>
      <c r="E203" s="1">
        <v>46048</v>
      </c>
      <c r="F203" s="8">
        <f t="shared" si="33"/>
        <v>2026</v>
      </c>
      <c r="G203" s="1" t="str">
        <f t="shared" si="34"/>
        <v>January</v>
      </c>
      <c r="H203" s="1" t="str">
        <f t="shared" si="35"/>
        <v>Monday</v>
      </c>
      <c r="I203" s="2">
        <v>0.79585648148148147</v>
      </c>
      <c r="J203" s="8">
        <f t="shared" si="36"/>
        <v>19</v>
      </c>
      <c r="K203" s="8">
        <f t="shared" si="37"/>
        <v>6</v>
      </c>
      <c r="L203" t="s">
        <v>23</v>
      </c>
      <c r="M203" t="s">
        <v>24</v>
      </c>
      <c r="N203">
        <v>14</v>
      </c>
      <c r="O203" s="14">
        <v>696.47</v>
      </c>
      <c r="P203">
        <f>VLOOKUP(L203,'Product-cost'!A:B,2,FALSE)</f>
        <v>300</v>
      </c>
      <c r="Q203" t="s">
        <v>51</v>
      </c>
      <c r="R203" t="s">
        <v>40</v>
      </c>
      <c r="S203" t="s">
        <v>132</v>
      </c>
      <c r="T203" t="s">
        <v>893</v>
      </c>
      <c r="U203" s="14">
        <f t="shared" si="38"/>
        <v>9750.58</v>
      </c>
      <c r="V203" s="14">
        <f t="shared" si="39"/>
        <v>4200</v>
      </c>
      <c r="W203" s="10">
        <f>VLOOKUP(Q203,Taxrate!A:B,2,FALSE)</f>
        <v>7.0000000000000007E-2</v>
      </c>
      <c r="X203" s="14">
        <f t="shared" si="40"/>
        <v>682.54060000000004</v>
      </c>
      <c r="Y203" s="10">
        <f>VLOOKUP(L203,'Discount Rate'!A:B,2,FALSE)</f>
        <v>0.1</v>
      </c>
      <c r="Z203" s="14">
        <f t="shared" si="41"/>
        <v>975.05799999999999</v>
      </c>
      <c r="AA203" s="14">
        <f t="shared" si="42"/>
        <v>8092.9813999999997</v>
      </c>
      <c r="AB203" s="14">
        <f t="shared" si="43"/>
        <v>3892.9813999999997</v>
      </c>
    </row>
    <row r="204" spans="1:28" x14ac:dyDescent="0.25">
      <c r="A204" t="s">
        <v>479</v>
      </c>
      <c r="B204" t="s">
        <v>480</v>
      </c>
      <c r="C204" t="s">
        <v>13</v>
      </c>
      <c r="D204" t="s">
        <v>14</v>
      </c>
      <c r="E204" s="1">
        <v>45081</v>
      </c>
      <c r="F204" s="8">
        <f t="shared" si="33"/>
        <v>2023</v>
      </c>
      <c r="G204" s="1" t="str">
        <f t="shared" si="34"/>
        <v>June</v>
      </c>
      <c r="H204" s="1" t="str">
        <f t="shared" si="35"/>
        <v>Sunday</v>
      </c>
      <c r="I204" s="2">
        <v>0.87324074074074076</v>
      </c>
      <c r="J204" s="8">
        <f t="shared" si="36"/>
        <v>20</v>
      </c>
      <c r="K204" s="8">
        <f t="shared" si="37"/>
        <v>57</v>
      </c>
      <c r="L204" t="s">
        <v>73</v>
      </c>
      <c r="M204" t="s">
        <v>74</v>
      </c>
      <c r="N204">
        <v>9</v>
      </c>
      <c r="O204" s="14">
        <v>157.41</v>
      </c>
      <c r="P204">
        <f>VLOOKUP(L204,'Product-cost'!A:B,2,FALSE)</f>
        <v>50</v>
      </c>
      <c r="Q204" t="s">
        <v>55</v>
      </c>
      <c r="R204" t="s">
        <v>33</v>
      </c>
      <c r="S204" t="s">
        <v>96</v>
      </c>
      <c r="T204" t="s">
        <v>893</v>
      </c>
      <c r="U204" s="14">
        <f t="shared" si="38"/>
        <v>1416.69</v>
      </c>
      <c r="V204" s="14">
        <f t="shared" si="39"/>
        <v>450</v>
      </c>
      <c r="W204" s="10">
        <f>VLOOKUP(Q204,Taxrate!A:B,2,FALSE)</f>
        <v>0.12</v>
      </c>
      <c r="X204" s="14">
        <f t="shared" si="40"/>
        <v>170.00280000000001</v>
      </c>
      <c r="Y204" s="10">
        <f>VLOOKUP(L204,'Discount Rate'!A:B,2,FALSE)</f>
        <v>0.03</v>
      </c>
      <c r="Z204" s="14">
        <f t="shared" si="41"/>
        <v>42.500700000000002</v>
      </c>
      <c r="AA204" s="14">
        <f t="shared" si="42"/>
        <v>1204.1865</v>
      </c>
      <c r="AB204" s="14">
        <f t="shared" si="43"/>
        <v>754.18650000000002</v>
      </c>
    </row>
    <row r="205" spans="1:28" x14ac:dyDescent="0.25">
      <c r="A205" t="s">
        <v>481</v>
      </c>
      <c r="B205" t="s">
        <v>482</v>
      </c>
      <c r="C205" t="s">
        <v>165</v>
      </c>
      <c r="D205" t="s">
        <v>38</v>
      </c>
      <c r="E205" s="1">
        <v>45189</v>
      </c>
      <c r="F205" s="8">
        <f t="shared" si="33"/>
        <v>2023</v>
      </c>
      <c r="G205" s="1" t="str">
        <f t="shared" si="34"/>
        <v>September</v>
      </c>
      <c r="H205" s="1" t="str">
        <f t="shared" si="35"/>
        <v>Wednesday</v>
      </c>
      <c r="I205" s="2">
        <v>0.61293981481481485</v>
      </c>
      <c r="J205" s="8">
        <f t="shared" si="36"/>
        <v>14</v>
      </c>
      <c r="K205" s="8">
        <f t="shared" si="37"/>
        <v>42</v>
      </c>
      <c r="L205" t="s">
        <v>46</v>
      </c>
      <c r="M205" t="s">
        <v>47</v>
      </c>
      <c r="N205">
        <v>9</v>
      </c>
      <c r="O205" s="14">
        <v>222.05</v>
      </c>
      <c r="P205">
        <f>VLOOKUP(L205,'Product-cost'!A:B,2,FALSE)</f>
        <v>150</v>
      </c>
      <c r="Q205" t="s">
        <v>55</v>
      </c>
      <c r="R205" t="s">
        <v>84</v>
      </c>
      <c r="S205" t="s">
        <v>123</v>
      </c>
      <c r="T205" t="s">
        <v>893</v>
      </c>
      <c r="U205" s="14">
        <f t="shared" si="38"/>
        <v>1998.45</v>
      </c>
      <c r="V205" s="14">
        <f t="shared" si="39"/>
        <v>1350</v>
      </c>
      <c r="W205" s="10">
        <f>VLOOKUP(Q205,Taxrate!A:B,2,FALSE)</f>
        <v>0.12</v>
      </c>
      <c r="X205" s="14">
        <f t="shared" si="40"/>
        <v>239.81399999999999</v>
      </c>
      <c r="Y205" s="10">
        <f>VLOOKUP(L205,'Discount Rate'!A:B,2,FALSE)</f>
        <v>7.0000000000000007E-2</v>
      </c>
      <c r="Z205" s="14">
        <f t="shared" si="41"/>
        <v>139.89150000000001</v>
      </c>
      <c r="AA205" s="14">
        <f t="shared" si="42"/>
        <v>1618.7445</v>
      </c>
      <c r="AB205" s="14">
        <f t="shared" si="43"/>
        <v>268.74450000000002</v>
      </c>
    </row>
    <row r="206" spans="1:28" x14ac:dyDescent="0.25">
      <c r="A206" t="s">
        <v>483</v>
      </c>
      <c r="B206" t="s">
        <v>484</v>
      </c>
      <c r="C206" t="s">
        <v>91</v>
      </c>
      <c r="D206" t="s">
        <v>92</v>
      </c>
      <c r="E206" s="1">
        <v>45976</v>
      </c>
      <c r="F206" s="8">
        <f t="shared" si="33"/>
        <v>2025</v>
      </c>
      <c r="G206" s="1" t="str">
        <f t="shared" si="34"/>
        <v>November</v>
      </c>
      <c r="H206" s="1" t="str">
        <f t="shared" si="35"/>
        <v>Saturday</v>
      </c>
      <c r="I206" s="2">
        <v>0.90596064814814814</v>
      </c>
      <c r="J206" s="8">
        <f t="shared" si="36"/>
        <v>21</v>
      </c>
      <c r="K206" s="8">
        <f t="shared" si="37"/>
        <v>44</v>
      </c>
      <c r="L206" t="s">
        <v>30</v>
      </c>
      <c r="M206" t="s">
        <v>31</v>
      </c>
      <c r="N206">
        <v>15</v>
      </c>
      <c r="O206" s="14">
        <v>363.47</v>
      </c>
      <c r="P206">
        <f>VLOOKUP(L206,'Product-cost'!A:B,2,FALSE)</f>
        <v>200</v>
      </c>
      <c r="Q206" t="s">
        <v>32</v>
      </c>
      <c r="R206" t="s">
        <v>93</v>
      </c>
      <c r="S206" t="s">
        <v>102</v>
      </c>
      <c r="T206" t="s">
        <v>895</v>
      </c>
      <c r="U206" s="14">
        <f t="shared" si="38"/>
        <v>5452.05</v>
      </c>
      <c r="V206" s="14">
        <f t="shared" si="39"/>
        <v>3000</v>
      </c>
      <c r="W206" s="10">
        <f>VLOOKUP(Q206,Taxrate!A:B,2,FALSE)</f>
        <v>0.2</v>
      </c>
      <c r="X206" s="14">
        <f t="shared" si="40"/>
        <v>1090.4100000000001</v>
      </c>
      <c r="Y206" s="10">
        <f>VLOOKUP(L206,'Discount Rate'!A:B,2,FALSE)</f>
        <v>0.08</v>
      </c>
      <c r="Z206" s="14">
        <f t="shared" si="41"/>
        <v>436.16400000000004</v>
      </c>
      <c r="AA206" s="14">
        <f t="shared" si="42"/>
        <v>3925.4760000000001</v>
      </c>
      <c r="AB206" s="14">
        <f t="shared" si="43"/>
        <v>925.47600000000011</v>
      </c>
    </row>
    <row r="207" spans="1:28" x14ac:dyDescent="0.25">
      <c r="A207" t="s">
        <v>485</v>
      </c>
      <c r="B207" t="s">
        <v>486</v>
      </c>
      <c r="C207" t="s">
        <v>63</v>
      </c>
      <c r="D207" t="s">
        <v>14</v>
      </c>
      <c r="E207" s="1">
        <v>46381</v>
      </c>
      <c r="F207" s="8">
        <f t="shared" si="33"/>
        <v>2026</v>
      </c>
      <c r="G207" s="1" t="str">
        <f t="shared" si="34"/>
        <v>December</v>
      </c>
      <c r="H207" s="1" t="str">
        <f t="shared" si="35"/>
        <v>Friday</v>
      </c>
      <c r="I207" s="2">
        <v>0.84901620370370368</v>
      </c>
      <c r="J207" s="8">
        <f t="shared" si="36"/>
        <v>20</v>
      </c>
      <c r="K207" s="8">
        <f t="shared" si="37"/>
        <v>22</v>
      </c>
      <c r="L207" t="s">
        <v>73</v>
      </c>
      <c r="M207" t="s">
        <v>74</v>
      </c>
      <c r="N207">
        <v>11</v>
      </c>
      <c r="O207" s="14">
        <v>170.57</v>
      </c>
      <c r="P207">
        <f>VLOOKUP(L207,'Product-cost'!A:B,2,FALSE)</f>
        <v>50</v>
      </c>
      <c r="Q207" t="s">
        <v>55</v>
      </c>
      <c r="R207" t="s">
        <v>17</v>
      </c>
      <c r="T207" t="s">
        <v>895</v>
      </c>
      <c r="U207" s="14">
        <f t="shared" si="38"/>
        <v>1876.27</v>
      </c>
      <c r="V207" s="14">
        <f t="shared" si="39"/>
        <v>550</v>
      </c>
      <c r="W207" s="10">
        <f>VLOOKUP(Q207,Taxrate!A:B,2,FALSE)</f>
        <v>0.12</v>
      </c>
      <c r="X207" s="14">
        <f t="shared" si="40"/>
        <v>225.1524</v>
      </c>
      <c r="Y207" s="10">
        <f>VLOOKUP(L207,'Discount Rate'!A:B,2,FALSE)</f>
        <v>0.03</v>
      </c>
      <c r="Z207" s="14">
        <f t="shared" si="41"/>
        <v>56.2881</v>
      </c>
      <c r="AA207" s="14">
        <f t="shared" si="42"/>
        <v>1594.8295000000001</v>
      </c>
      <c r="AB207" s="14">
        <f t="shared" si="43"/>
        <v>1044.8295000000001</v>
      </c>
    </row>
    <row r="208" spans="1:28" x14ac:dyDescent="0.25">
      <c r="A208" t="s">
        <v>487</v>
      </c>
      <c r="B208" t="s">
        <v>488</v>
      </c>
      <c r="C208" t="s">
        <v>178</v>
      </c>
      <c r="D208" t="s">
        <v>59</v>
      </c>
      <c r="E208" s="1">
        <v>45256</v>
      </c>
      <c r="F208" s="8">
        <f t="shared" si="33"/>
        <v>2023</v>
      </c>
      <c r="G208" s="1" t="str">
        <f t="shared" si="34"/>
        <v>November</v>
      </c>
      <c r="H208" s="1" t="str">
        <f t="shared" si="35"/>
        <v>Sunday</v>
      </c>
      <c r="I208" s="2">
        <v>0.76121527777777775</v>
      </c>
      <c r="J208" s="8">
        <f t="shared" si="36"/>
        <v>18</v>
      </c>
      <c r="K208" s="8">
        <f t="shared" si="37"/>
        <v>16</v>
      </c>
      <c r="L208" t="s">
        <v>15</v>
      </c>
      <c r="M208" t="s">
        <v>16</v>
      </c>
      <c r="N208">
        <v>5</v>
      </c>
      <c r="O208" s="14">
        <v>1070.5899999999999</v>
      </c>
      <c r="P208">
        <f>VLOOKUP(L208,'Product-cost'!A:B,2,FALSE)</f>
        <v>600</v>
      </c>
      <c r="Q208" t="s">
        <v>25</v>
      </c>
      <c r="R208" t="s">
        <v>222</v>
      </c>
      <c r="S208" t="s">
        <v>41</v>
      </c>
      <c r="T208" t="s">
        <v>893</v>
      </c>
      <c r="U208" s="14">
        <f t="shared" si="38"/>
        <v>5352.95</v>
      </c>
      <c r="V208" s="14">
        <f t="shared" si="39"/>
        <v>3000</v>
      </c>
      <c r="W208" s="10">
        <f>VLOOKUP(Q208,Taxrate!A:B,2,FALSE)</f>
        <v>0.1</v>
      </c>
      <c r="X208" s="14">
        <f t="shared" si="40"/>
        <v>535.29499999999996</v>
      </c>
      <c r="Y208" s="10">
        <f>VLOOKUP(L208,'Discount Rate'!A:B,2,FALSE)</f>
        <v>0.05</v>
      </c>
      <c r="Z208" s="14">
        <f t="shared" si="41"/>
        <v>267.64749999999998</v>
      </c>
      <c r="AA208" s="14">
        <f t="shared" si="42"/>
        <v>4550.0074999999997</v>
      </c>
      <c r="AB208" s="14">
        <f t="shared" si="43"/>
        <v>1550.0074999999997</v>
      </c>
    </row>
    <row r="209" spans="1:28" x14ac:dyDescent="0.25">
      <c r="A209" t="s">
        <v>489</v>
      </c>
      <c r="B209" t="s">
        <v>490</v>
      </c>
      <c r="C209" t="s">
        <v>118</v>
      </c>
      <c r="D209" t="s">
        <v>59</v>
      </c>
      <c r="E209" s="1">
        <v>45708</v>
      </c>
      <c r="F209" s="8">
        <f t="shared" si="33"/>
        <v>2025</v>
      </c>
      <c r="G209" s="1" t="str">
        <f t="shared" si="34"/>
        <v>February</v>
      </c>
      <c r="H209" s="1" t="str">
        <f t="shared" si="35"/>
        <v>Thursday</v>
      </c>
      <c r="I209" s="2">
        <v>0.6185532407407407</v>
      </c>
      <c r="J209" s="8">
        <f t="shared" si="36"/>
        <v>14</v>
      </c>
      <c r="K209" s="8">
        <f t="shared" si="37"/>
        <v>50</v>
      </c>
      <c r="L209" t="s">
        <v>30</v>
      </c>
      <c r="M209" t="s">
        <v>31</v>
      </c>
      <c r="N209">
        <v>1</v>
      </c>
      <c r="O209" s="14">
        <v>500</v>
      </c>
      <c r="P209">
        <f>VLOOKUP(L209,'Product-cost'!A:B,2,FALSE)</f>
        <v>200</v>
      </c>
      <c r="Q209" t="s">
        <v>25</v>
      </c>
      <c r="R209" t="s">
        <v>222</v>
      </c>
      <c r="S209" t="s">
        <v>88</v>
      </c>
      <c r="T209" t="s">
        <v>893</v>
      </c>
      <c r="U209" s="14">
        <f t="shared" si="38"/>
        <v>500</v>
      </c>
      <c r="V209" s="14">
        <f t="shared" si="39"/>
        <v>200</v>
      </c>
      <c r="W209" s="10">
        <f>VLOOKUP(Q209,Taxrate!A:B,2,FALSE)</f>
        <v>0.1</v>
      </c>
      <c r="X209" s="14">
        <f t="shared" si="40"/>
        <v>50</v>
      </c>
      <c r="Y209" s="10">
        <f>VLOOKUP(L209,'Discount Rate'!A:B,2,FALSE)</f>
        <v>0.08</v>
      </c>
      <c r="Z209" s="14">
        <f t="shared" si="41"/>
        <v>40</v>
      </c>
      <c r="AA209" s="14">
        <f t="shared" si="42"/>
        <v>410</v>
      </c>
      <c r="AB209" s="14">
        <f t="shared" si="43"/>
        <v>210</v>
      </c>
    </row>
    <row r="210" spans="1:28" x14ac:dyDescent="0.25">
      <c r="A210" t="s">
        <v>491</v>
      </c>
      <c r="B210" t="s">
        <v>492</v>
      </c>
      <c r="C210" t="s">
        <v>37</v>
      </c>
      <c r="D210" t="s">
        <v>38</v>
      </c>
      <c r="E210" s="1">
        <v>45293</v>
      </c>
      <c r="F210" s="8">
        <f t="shared" si="33"/>
        <v>2024</v>
      </c>
      <c r="G210" s="1" t="str">
        <f t="shared" si="34"/>
        <v>January</v>
      </c>
      <c r="H210" s="1" t="str">
        <f t="shared" si="35"/>
        <v>Tuesday</v>
      </c>
      <c r="I210" s="2">
        <v>0.63313657407407409</v>
      </c>
      <c r="J210" s="8">
        <f t="shared" si="36"/>
        <v>15</v>
      </c>
      <c r="K210" s="8">
        <f t="shared" si="37"/>
        <v>11</v>
      </c>
      <c r="L210" t="s">
        <v>15</v>
      </c>
      <c r="M210" t="s">
        <v>16</v>
      </c>
      <c r="N210">
        <v>3</v>
      </c>
      <c r="O210" s="14">
        <v>859.68</v>
      </c>
      <c r="P210">
        <f>VLOOKUP(L210,'Product-cost'!A:B,2,FALSE)</f>
        <v>600</v>
      </c>
      <c r="Q210" t="s">
        <v>51</v>
      </c>
      <c r="R210" t="s">
        <v>84</v>
      </c>
      <c r="T210" t="s">
        <v>895</v>
      </c>
      <c r="U210" s="14">
        <f t="shared" si="38"/>
        <v>2579.04</v>
      </c>
      <c r="V210" s="14">
        <f t="shared" si="39"/>
        <v>1800</v>
      </c>
      <c r="W210" s="10">
        <f>VLOOKUP(Q210,Taxrate!A:B,2,FALSE)</f>
        <v>7.0000000000000007E-2</v>
      </c>
      <c r="X210" s="14">
        <f t="shared" si="40"/>
        <v>180.53280000000001</v>
      </c>
      <c r="Y210" s="10">
        <f>VLOOKUP(L210,'Discount Rate'!A:B,2,FALSE)</f>
        <v>0.05</v>
      </c>
      <c r="Z210" s="14">
        <f t="shared" si="41"/>
        <v>128.952</v>
      </c>
      <c r="AA210" s="14">
        <f t="shared" si="42"/>
        <v>2269.5551999999998</v>
      </c>
      <c r="AB210" s="14">
        <f t="shared" si="43"/>
        <v>469.55519999999979</v>
      </c>
    </row>
    <row r="211" spans="1:28" x14ac:dyDescent="0.25">
      <c r="A211" t="s">
        <v>493</v>
      </c>
      <c r="B211" t="s">
        <v>318</v>
      </c>
      <c r="C211" t="s">
        <v>129</v>
      </c>
      <c r="D211" t="s">
        <v>22</v>
      </c>
      <c r="E211" s="1">
        <v>46208</v>
      </c>
      <c r="F211" s="8">
        <f t="shared" si="33"/>
        <v>2026</v>
      </c>
      <c r="G211" s="1" t="str">
        <f t="shared" si="34"/>
        <v>July</v>
      </c>
      <c r="H211" s="1" t="str">
        <f t="shared" si="35"/>
        <v>Sunday</v>
      </c>
      <c r="I211" s="2">
        <v>0.87476851851851856</v>
      </c>
      <c r="J211" s="8">
        <f t="shared" si="36"/>
        <v>20</v>
      </c>
      <c r="K211" s="8">
        <f t="shared" si="37"/>
        <v>59</v>
      </c>
      <c r="L211" t="s">
        <v>46</v>
      </c>
      <c r="M211" t="s">
        <v>47</v>
      </c>
      <c r="N211">
        <v>5</v>
      </c>
      <c r="O211" s="14">
        <v>238.99</v>
      </c>
      <c r="P211">
        <f>VLOOKUP(L211,'Product-cost'!A:B,2,FALSE)</f>
        <v>150</v>
      </c>
      <c r="Q211" t="s">
        <v>25</v>
      </c>
      <c r="R211" t="s">
        <v>143</v>
      </c>
      <c r="S211" t="s">
        <v>115</v>
      </c>
      <c r="T211" t="s">
        <v>893</v>
      </c>
      <c r="U211" s="14">
        <f t="shared" si="38"/>
        <v>1194.95</v>
      </c>
      <c r="V211" s="14">
        <f t="shared" si="39"/>
        <v>750</v>
      </c>
      <c r="W211" s="10">
        <f>VLOOKUP(Q211,Taxrate!A:B,2,FALSE)</f>
        <v>0.1</v>
      </c>
      <c r="X211" s="14">
        <f t="shared" si="40"/>
        <v>119.495</v>
      </c>
      <c r="Y211" s="10">
        <f>VLOOKUP(L211,'Discount Rate'!A:B,2,FALSE)</f>
        <v>7.0000000000000007E-2</v>
      </c>
      <c r="Z211" s="14">
        <f t="shared" si="41"/>
        <v>83.646500000000017</v>
      </c>
      <c r="AA211" s="14">
        <f t="shared" si="42"/>
        <v>991.80849999999987</v>
      </c>
      <c r="AB211" s="14">
        <f t="shared" si="43"/>
        <v>241.80849999999987</v>
      </c>
    </row>
    <row r="212" spans="1:28" x14ac:dyDescent="0.25">
      <c r="A212" t="s">
        <v>494</v>
      </c>
      <c r="B212" t="s">
        <v>495</v>
      </c>
      <c r="C212" t="s">
        <v>63</v>
      </c>
      <c r="D212" t="s">
        <v>14</v>
      </c>
      <c r="E212" s="1">
        <v>45145</v>
      </c>
      <c r="F212" s="8">
        <f t="shared" si="33"/>
        <v>2023</v>
      </c>
      <c r="G212" s="1" t="str">
        <f t="shared" si="34"/>
        <v>August</v>
      </c>
      <c r="H212" s="1" t="str">
        <f t="shared" si="35"/>
        <v>Monday</v>
      </c>
      <c r="I212" s="2">
        <v>0.49737268518518518</v>
      </c>
      <c r="J212" s="8">
        <f t="shared" si="36"/>
        <v>11</v>
      </c>
      <c r="K212" s="8">
        <f t="shared" si="37"/>
        <v>56</v>
      </c>
      <c r="L212" t="s">
        <v>30</v>
      </c>
      <c r="M212" t="s">
        <v>31</v>
      </c>
      <c r="N212">
        <v>5</v>
      </c>
      <c r="O212" s="14">
        <v>470.53</v>
      </c>
      <c r="P212">
        <f>VLOOKUP(L212,'Product-cost'!A:B,2,FALSE)</f>
        <v>200</v>
      </c>
      <c r="Q212" t="s">
        <v>55</v>
      </c>
      <c r="R212" t="s">
        <v>17</v>
      </c>
      <c r="T212" t="s">
        <v>895</v>
      </c>
      <c r="U212" s="14">
        <f t="shared" si="38"/>
        <v>2352.6499999999996</v>
      </c>
      <c r="V212" s="14">
        <f t="shared" si="39"/>
        <v>1000</v>
      </c>
      <c r="W212" s="10">
        <f>VLOOKUP(Q212,Taxrate!A:B,2,FALSE)</f>
        <v>0.12</v>
      </c>
      <c r="X212" s="14">
        <f t="shared" si="40"/>
        <v>282.31799999999993</v>
      </c>
      <c r="Y212" s="10">
        <f>VLOOKUP(L212,'Discount Rate'!A:B,2,FALSE)</f>
        <v>0.08</v>
      </c>
      <c r="Z212" s="14">
        <f t="shared" si="41"/>
        <v>188.21199999999996</v>
      </c>
      <c r="AA212" s="14">
        <f t="shared" si="42"/>
        <v>1882.12</v>
      </c>
      <c r="AB212" s="14">
        <f t="shared" si="43"/>
        <v>882.11999999999989</v>
      </c>
    </row>
    <row r="213" spans="1:28" x14ac:dyDescent="0.25">
      <c r="A213" t="s">
        <v>496</v>
      </c>
      <c r="B213" t="s">
        <v>323</v>
      </c>
      <c r="C213" t="s">
        <v>91</v>
      </c>
      <c r="D213" t="s">
        <v>92</v>
      </c>
      <c r="E213" s="1">
        <v>45426</v>
      </c>
      <c r="F213" s="8">
        <f t="shared" si="33"/>
        <v>2024</v>
      </c>
      <c r="G213" s="1" t="str">
        <f t="shared" si="34"/>
        <v>May</v>
      </c>
      <c r="H213" s="1" t="str">
        <f t="shared" si="35"/>
        <v>Tuesday</v>
      </c>
      <c r="I213" s="2">
        <v>0.78912037037037042</v>
      </c>
      <c r="J213" s="8">
        <f t="shared" si="36"/>
        <v>18</v>
      </c>
      <c r="K213" s="8">
        <f t="shared" si="37"/>
        <v>56</v>
      </c>
      <c r="L213" t="s">
        <v>73</v>
      </c>
      <c r="M213" t="s">
        <v>74</v>
      </c>
      <c r="N213">
        <v>2</v>
      </c>
      <c r="O213" s="14">
        <v>160.52000000000001</v>
      </c>
      <c r="P213">
        <f>VLOOKUP(L213,'Product-cost'!A:B,2,FALSE)</f>
        <v>50</v>
      </c>
      <c r="Q213" t="s">
        <v>25</v>
      </c>
      <c r="R213" t="s">
        <v>93</v>
      </c>
      <c r="S213" t="s">
        <v>158</v>
      </c>
      <c r="T213" t="s">
        <v>893</v>
      </c>
      <c r="U213" s="14">
        <f t="shared" si="38"/>
        <v>321.04000000000002</v>
      </c>
      <c r="V213" s="14">
        <f t="shared" si="39"/>
        <v>100</v>
      </c>
      <c r="W213" s="10">
        <f>VLOOKUP(Q213,Taxrate!A:B,2,FALSE)</f>
        <v>0.1</v>
      </c>
      <c r="X213" s="14">
        <f t="shared" si="40"/>
        <v>32.104000000000006</v>
      </c>
      <c r="Y213" s="10">
        <f>VLOOKUP(L213,'Discount Rate'!A:B,2,FALSE)</f>
        <v>0.03</v>
      </c>
      <c r="Z213" s="14">
        <f t="shared" si="41"/>
        <v>9.6311999999999998</v>
      </c>
      <c r="AA213" s="14">
        <f t="shared" si="42"/>
        <v>279.30480000000006</v>
      </c>
      <c r="AB213" s="14">
        <f t="shared" si="43"/>
        <v>179.30480000000006</v>
      </c>
    </row>
    <row r="214" spans="1:28" x14ac:dyDescent="0.25">
      <c r="A214" t="s">
        <v>497</v>
      </c>
      <c r="B214" t="s">
        <v>498</v>
      </c>
      <c r="C214" t="s">
        <v>178</v>
      </c>
      <c r="D214" t="s">
        <v>59</v>
      </c>
      <c r="E214" s="1">
        <v>45979</v>
      </c>
      <c r="F214" s="8">
        <f t="shared" si="33"/>
        <v>2025</v>
      </c>
      <c r="G214" s="1" t="str">
        <f t="shared" si="34"/>
        <v>November</v>
      </c>
      <c r="H214" s="1" t="str">
        <f t="shared" si="35"/>
        <v>Tuesday</v>
      </c>
      <c r="I214" s="2">
        <v>0.3825115740740741</v>
      </c>
      <c r="J214" s="8">
        <f t="shared" si="36"/>
        <v>9</v>
      </c>
      <c r="K214" s="8">
        <f t="shared" si="37"/>
        <v>10</v>
      </c>
      <c r="L214" t="s">
        <v>46</v>
      </c>
      <c r="M214" t="s">
        <v>47</v>
      </c>
      <c r="N214">
        <v>11</v>
      </c>
      <c r="O214" s="14">
        <v>500</v>
      </c>
      <c r="P214">
        <f>VLOOKUP(L214,'Product-cost'!A:B,2,FALSE)</f>
        <v>150</v>
      </c>
      <c r="Q214" t="s">
        <v>32</v>
      </c>
      <c r="R214" t="s">
        <v>222</v>
      </c>
      <c r="S214" t="s">
        <v>213</v>
      </c>
      <c r="T214" t="s">
        <v>894</v>
      </c>
      <c r="U214" s="14">
        <f t="shared" si="38"/>
        <v>5500</v>
      </c>
      <c r="V214" s="14">
        <f t="shared" si="39"/>
        <v>1650</v>
      </c>
      <c r="W214" s="10">
        <f>VLOOKUP(Q214,Taxrate!A:B,2,FALSE)</f>
        <v>0.2</v>
      </c>
      <c r="X214" s="14">
        <f t="shared" si="40"/>
        <v>1100</v>
      </c>
      <c r="Y214" s="10">
        <f>VLOOKUP(L214,'Discount Rate'!A:B,2,FALSE)</f>
        <v>7.0000000000000007E-2</v>
      </c>
      <c r="Z214" s="14">
        <f t="shared" si="41"/>
        <v>385.00000000000006</v>
      </c>
      <c r="AA214" s="14">
        <f t="shared" si="42"/>
        <v>4015</v>
      </c>
      <c r="AB214" s="14">
        <f t="shared" si="43"/>
        <v>2365</v>
      </c>
    </row>
    <row r="215" spans="1:28" x14ac:dyDescent="0.25">
      <c r="A215" t="s">
        <v>499</v>
      </c>
      <c r="B215" t="s">
        <v>500</v>
      </c>
      <c r="C215" t="s">
        <v>386</v>
      </c>
      <c r="D215" t="s">
        <v>45</v>
      </c>
      <c r="E215" s="1">
        <v>45576</v>
      </c>
      <c r="F215" s="8">
        <f t="shared" si="33"/>
        <v>2024</v>
      </c>
      <c r="G215" s="1" t="str">
        <f t="shared" si="34"/>
        <v>October</v>
      </c>
      <c r="H215" s="1" t="str">
        <f t="shared" si="35"/>
        <v>Friday</v>
      </c>
      <c r="I215" s="2">
        <v>0.3778125</v>
      </c>
      <c r="J215" s="8">
        <f t="shared" si="36"/>
        <v>9</v>
      </c>
      <c r="K215" s="8">
        <f t="shared" si="37"/>
        <v>4</v>
      </c>
      <c r="L215" t="s">
        <v>23</v>
      </c>
      <c r="M215" t="s">
        <v>24</v>
      </c>
      <c r="N215">
        <v>9</v>
      </c>
      <c r="O215" s="14">
        <v>500</v>
      </c>
      <c r="P215">
        <f>VLOOKUP(L215,'Product-cost'!A:B,2,FALSE)</f>
        <v>300</v>
      </c>
      <c r="Q215" t="s">
        <v>32</v>
      </c>
      <c r="R215" t="s">
        <v>48</v>
      </c>
      <c r="S215" t="s">
        <v>132</v>
      </c>
      <c r="T215" t="s">
        <v>893</v>
      </c>
      <c r="U215" s="14">
        <f t="shared" si="38"/>
        <v>4500</v>
      </c>
      <c r="V215" s="14">
        <f t="shared" si="39"/>
        <v>2700</v>
      </c>
      <c r="W215" s="10">
        <f>VLOOKUP(Q215,Taxrate!A:B,2,FALSE)</f>
        <v>0.2</v>
      </c>
      <c r="X215" s="14">
        <f t="shared" si="40"/>
        <v>900</v>
      </c>
      <c r="Y215" s="10">
        <f>VLOOKUP(L215,'Discount Rate'!A:B,2,FALSE)</f>
        <v>0.1</v>
      </c>
      <c r="Z215" s="14">
        <f t="shared" si="41"/>
        <v>450</v>
      </c>
      <c r="AA215" s="14">
        <f t="shared" si="42"/>
        <v>3150</v>
      </c>
      <c r="AB215" s="14">
        <f t="shared" si="43"/>
        <v>450</v>
      </c>
    </row>
    <row r="216" spans="1:28" x14ac:dyDescent="0.25">
      <c r="A216" t="s">
        <v>501</v>
      </c>
      <c r="B216" t="s">
        <v>294</v>
      </c>
      <c r="C216" t="s">
        <v>386</v>
      </c>
      <c r="D216" t="s">
        <v>45</v>
      </c>
      <c r="E216" s="1">
        <v>46193</v>
      </c>
      <c r="F216" s="8">
        <f t="shared" si="33"/>
        <v>2026</v>
      </c>
      <c r="G216" s="1" t="str">
        <f t="shared" si="34"/>
        <v>June</v>
      </c>
      <c r="H216" s="1" t="str">
        <f t="shared" si="35"/>
        <v>Saturday</v>
      </c>
      <c r="I216" s="2">
        <v>0.86640046296296291</v>
      </c>
      <c r="J216" s="8">
        <f t="shared" si="36"/>
        <v>20</v>
      </c>
      <c r="K216" s="8">
        <f t="shared" si="37"/>
        <v>47</v>
      </c>
      <c r="L216" t="s">
        <v>15</v>
      </c>
      <c r="M216" t="s">
        <v>16</v>
      </c>
      <c r="N216">
        <v>2</v>
      </c>
      <c r="O216" s="14">
        <v>1051.42</v>
      </c>
      <c r="P216">
        <f>VLOOKUP(L216,'Product-cost'!A:B,2,FALSE)</f>
        <v>600</v>
      </c>
      <c r="Q216" t="s">
        <v>25</v>
      </c>
      <c r="R216" t="s">
        <v>87</v>
      </c>
      <c r="S216" t="s">
        <v>88</v>
      </c>
      <c r="T216" t="s">
        <v>893</v>
      </c>
      <c r="U216" s="14">
        <f t="shared" si="38"/>
        <v>2102.84</v>
      </c>
      <c r="V216" s="14">
        <f t="shared" si="39"/>
        <v>1200</v>
      </c>
      <c r="W216" s="10">
        <f>VLOOKUP(Q216,Taxrate!A:B,2,FALSE)</f>
        <v>0.1</v>
      </c>
      <c r="X216" s="14">
        <f t="shared" si="40"/>
        <v>210.28400000000002</v>
      </c>
      <c r="Y216" s="10">
        <f>VLOOKUP(L216,'Discount Rate'!A:B,2,FALSE)</f>
        <v>0.05</v>
      </c>
      <c r="Z216" s="14">
        <f t="shared" si="41"/>
        <v>105.14200000000001</v>
      </c>
      <c r="AA216" s="14">
        <f t="shared" si="42"/>
        <v>1787.414</v>
      </c>
      <c r="AB216" s="14">
        <f t="shared" si="43"/>
        <v>587.41399999999999</v>
      </c>
    </row>
    <row r="217" spans="1:28" x14ac:dyDescent="0.25">
      <c r="A217" t="s">
        <v>502</v>
      </c>
      <c r="B217" t="s">
        <v>503</v>
      </c>
      <c r="C217" t="s">
        <v>63</v>
      </c>
      <c r="D217" t="s">
        <v>14</v>
      </c>
      <c r="E217" s="1">
        <v>45117</v>
      </c>
      <c r="F217" s="8">
        <f t="shared" si="33"/>
        <v>2023</v>
      </c>
      <c r="G217" s="1" t="str">
        <f t="shared" si="34"/>
        <v>July</v>
      </c>
      <c r="H217" s="1" t="str">
        <f t="shared" si="35"/>
        <v>Monday</v>
      </c>
      <c r="I217" s="2">
        <v>0.86937500000000001</v>
      </c>
      <c r="J217" s="8">
        <f t="shared" si="36"/>
        <v>20</v>
      </c>
      <c r="K217" s="8">
        <f t="shared" si="37"/>
        <v>51</v>
      </c>
      <c r="L217" t="s">
        <v>46</v>
      </c>
      <c r="M217" t="s">
        <v>47</v>
      </c>
      <c r="N217">
        <v>11</v>
      </c>
      <c r="O217" s="14">
        <v>250.5</v>
      </c>
      <c r="P217">
        <f>VLOOKUP(L217,'Product-cost'!A:B,2,FALSE)</f>
        <v>150</v>
      </c>
      <c r="Q217" t="s">
        <v>25</v>
      </c>
      <c r="R217" t="s">
        <v>33</v>
      </c>
      <c r="T217" t="s">
        <v>895</v>
      </c>
      <c r="U217" s="14">
        <f t="shared" si="38"/>
        <v>2755.5</v>
      </c>
      <c r="V217" s="14">
        <f t="shared" si="39"/>
        <v>1650</v>
      </c>
      <c r="W217" s="10">
        <f>VLOOKUP(Q217,Taxrate!A:B,2,FALSE)</f>
        <v>0.1</v>
      </c>
      <c r="X217" s="14">
        <f t="shared" si="40"/>
        <v>275.55</v>
      </c>
      <c r="Y217" s="10">
        <f>VLOOKUP(L217,'Discount Rate'!A:B,2,FALSE)</f>
        <v>7.0000000000000007E-2</v>
      </c>
      <c r="Z217" s="14">
        <f t="shared" si="41"/>
        <v>192.88500000000002</v>
      </c>
      <c r="AA217" s="14">
        <f t="shared" si="42"/>
        <v>2287.0649999999996</v>
      </c>
      <c r="AB217" s="14">
        <f t="shared" si="43"/>
        <v>637.0649999999996</v>
      </c>
    </row>
    <row r="218" spans="1:28" x14ac:dyDescent="0.25">
      <c r="A218" t="s">
        <v>504</v>
      </c>
      <c r="B218" t="s">
        <v>505</v>
      </c>
      <c r="C218" t="s">
        <v>63</v>
      </c>
      <c r="D218" t="s">
        <v>14</v>
      </c>
      <c r="E218" s="1">
        <v>45551</v>
      </c>
      <c r="F218" s="8">
        <f t="shared" si="33"/>
        <v>2024</v>
      </c>
      <c r="G218" s="1" t="str">
        <f t="shared" si="34"/>
        <v>September</v>
      </c>
      <c r="H218" s="1" t="str">
        <f t="shared" si="35"/>
        <v>Monday</v>
      </c>
      <c r="I218" s="2">
        <v>0.82496527777777773</v>
      </c>
      <c r="J218" s="8">
        <f t="shared" si="36"/>
        <v>19</v>
      </c>
      <c r="K218" s="8">
        <f t="shared" si="37"/>
        <v>47</v>
      </c>
      <c r="L218" t="s">
        <v>30</v>
      </c>
      <c r="M218" t="s">
        <v>31</v>
      </c>
      <c r="N218">
        <v>15</v>
      </c>
      <c r="O218" s="14">
        <v>422.51</v>
      </c>
      <c r="P218">
        <f>VLOOKUP(L218,'Product-cost'!A:B,2,FALSE)</f>
        <v>200</v>
      </c>
      <c r="Q218" t="s">
        <v>32</v>
      </c>
      <c r="R218" t="s">
        <v>33</v>
      </c>
      <c r="S218" t="s">
        <v>34</v>
      </c>
      <c r="T218" t="s">
        <v>893</v>
      </c>
      <c r="U218" s="14">
        <f t="shared" si="38"/>
        <v>6337.65</v>
      </c>
      <c r="V218" s="14">
        <f t="shared" si="39"/>
        <v>3000</v>
      </c>
      <c r="W218" s="10">
        <f>VLOOKUP(Q218,Taxrate!A:B,2,FALSE)</f>
        <v>0.2</v>
      </c>
      <c r="X218" s="14">
        <f t="shared" si="40"/>
        <v>1267.53</v>
      </c>
      <c r="Y218" s="10">
        <f>VLOOKUP(L218,'Discount Rate'!A:B,2,FALSE)</f>
        <v>0.08</v>
      </c>
      <c r="Z218" s="14">
        <f t="shared" si="41"/>
        <v>507.012</v>
      </c>
      <c r="AA218" s="14">
        <f t="shared" si="42"/>
        <v>4563.1080000000002</v>
      </c>
      <c r="AB218" s="14">
        <f t="shared" si="43"/>
        <v>1563.1080000000002</v>
      </c>
    </row>
    <row r="219" spans="1:28" x14ac:dyDescent="0.25">
      <c r="A219" t="s">
        <v>506</v>
      </c>
      <c r="B219" t="s">
        <v>507</v>
      </c>
      <c r="C219" t="s">
        <v>63</v>
      </c>
      <c r="D219" t="s">
        <v>14</v>
      </c>
      <c r="E219" s="1">
        <v>46247</v>
      </c>
      <c r="F219" s="8">
        <f t="shared" si="33"/>
        <v>2026</v>
      </c>
      <c r="G219" s="1" t="str">
        <f t="shared" si="34"/>
        <v>August</v>
      </c>
      <c r="H219" s="1" t="str">
        <f t="shared" si="35"/>
        <v>Thursday</v>
      </c>
      <c r="I219" s="2">
        <v>0.52921296296296294</v>
      </c>
      <c r="J219" s="8">
        <f t="shared" si="36"/>
        <v>12</v>
      </c>
      <c r="K219" s="8">
        <f t="shared" si="37"/>
        <v>42</v>
      </c>
      <c r="L219" t="s">
        <v>30</v>
      </c>
      <c r="M219" t="s">
        <v>31</v>
      </c>
      <c r="N219">
        <v>7</v>
      </c>
      <c r="O219" s="14">
        <v>417.44</v>
      </c>
      <c r="P219">
        <f>VLOOKUP(L219,'Product-cost'!A:B,2,FALSE)</f>
        <v>200</v>
      </c>
      <c r="Q219" t="s">
        <v>25</v>
      </c>
      <c r="R219" t="s">
        <v>17</v>
      </c>
      <c r="T219" t="s">
        <v>895</v>
      </c>
      <c r="U219" s="14">
        <f t="shared" si="38"/>
        <v>2922.08</v>
      </c>
      <c r="V219" s="14">
        <f t="shared" si="39"/>
        <v>1400</v>
      </c>
      <c r="W219" s="10">
        <f>VLOOKUP(Q219,Taxrate!A:B,2,FALSE)</f>
        <v>0.1</v>
      </c>
      <c r="X219" s="14">
        <f t="shared" si="40"/>
        <v>292.20800000000003</v>
      </c>
      <c r="Y219" s="10">
        <f>VLOOKUP(L219,'Discount Rate'!A:B,2,FALSE)</f>
        <v>0.08</v>
      </c>
      <c r="Z219" s="14">
        <f t="shared" si="41"/>
        <v>233.7664</v>
      </c>
      <c r="AA219" s="14">
        <f t="shared" si="42"/>
        <v>2396.1055999999999</v>
      </c>
      <c r="AB219" s="14">
        <f t="shared" si="43"/>
        <v>996.10559999999987</v>
      </c>
    </row>
    <row r="220" spans="1:28" x14ac:dyDescent="0.25">
      <c r="A220" t="s">
        <v>508</v>
      </c>
      <c r="B220" t="s">
        <v>509</v>
      </c>
      <c r="C220" t="s">
        <v>83</v>
      </c>
      <c r="D220" t="s">
        <v>38</v>
      </c>
      <c r="E220" s="1">
        <v>46365</v>
      </c>
      <c r="F220" s="8">
        <f t="shared" si="33"/>
        <v>2026</v>
      </c>
      <c r="G220" s="1" t="str">
        <f t="shared" si="34"/>
        <v>December</v>
      </c>
      <c r="H220" s="1" t="str">
        <f t="shared" si="35"/>
        <v>Wednesday</v>
      </c>
      <c r="I220" s="2">
        <v>0.81746527777777778</v>
      </c>
      <c r="J220" s="8">
        <f t="shared" si="36"/>
        <v>19</v>
      </c>
      <c r="K220" s="8">
        <f t="shared" si="37"/>
        <v>37</v>
      </c>
      <c r="L220" t="s">
        <v>46</v>
      </c>
      <c r="M220" t="s">
        <v>47</v>
      </c>
      <c r="N220">
        <v>13</v>
      </c>
      <c r="O220" s="14">
        <v>223.11</v>
      </c>
      <c r="P220">
        <f>VLOOKUP(L220,'Product-cost'!A:B,2,FALSE)</f>
        <v>150</v>
      </c>
      <c r="Q220" t="s">
        <v>51</v>
      </c>
      <c r="R220" t="s">
        <v>40</v>
      </c>
      <c r="S220" t="s">
        <v>213</v>
      </c>
      <c r="T220" t="s">
        <v>894</v>
      </c>
      <c r="U220" s="14">
        <f t="shared" si="38"/>
        <v>2900.4300000000003</v>
      </c>
      <c r="V220" s="14">
        <f t="shared" si="39"/>
        <v>1950</v>
      </c>
      <c r="W220" s="10">
        <f>VLOOKUP(Q220,Taxrate!A:B,2,FALSE)</f>
        <v>7.0000000000000007E-2</v>
      </c>
      <c r="X220" s="14">
        <f t="shared" si="40"/>
        <v>203.03010000000003</v>
      </c>
      <c r="Y220" s="10">
        <f>VLOOKUP(L220,'Discount Rate'!A:B,2,FALSE)</f>
        <v>7.0000000000000007E-2</v>
      </c>
      <c r="Z220" s="14">
        <f t="shared" si="41"/>
        <v>203.03010000000003</v>
      </c>
      <c r="AA220" s="14">
        <f t="shared" si="42"/>
        <v>2494.3698000000004</v>
      </c>
      <c r="AB220" s="14">
        <f t="shared" si="43"/>
        <v>544.3698000000004</v>
      </c>
    </row>
    <row r="221" spans="1:28" x14ac:dyDescent="0.25">
      <c r="A221" t="s">
        <v>510</v>
      </c>
      <c r="B221" t="s">
        <v>256</v>
      </c>
      <c r="C221" t="s">
        <v>72</v>
      </c>
      <c r="D221" t="s">
        <v>59</v>
      </c>
      <c r="E221" s="1">
        <v>45664</v>
      </c>
      <c r="F221" s="8">
        <f t="shared" si="33"/>
        <v>2025</v>
      </c>
      <c r="G221" s="1" t="str">
        <f t="shared" si="34"/>
        <v>January</v>
      </c>
      <c r="H221" s="1" t="str">
        <f t="shared" si="35"/>
        <v>Tuesday</v>
      </c>
      <c r="I221" s="2">
        <v>0.84688657407407408</v>
      </c>
      <c r="J221" s="8">
        <f t="shared" si="36"/>
        <v>20</v>
      </c>
      <c r="K221" s="8">
        <f t="shared" si="37"/>
        <v>19</v>
      </c>
      <c r="L221" t="s">
        <v>46</v>
      </c>
      <c r="M221" t="s">
        <v>47</v>
      </c>
      <c r="N221">
        <v>11</v>
      </c>
      <c r="O221" s="14">
        <v>268.60000000000002</v>
      </c>
      <c r="P221">
        <f>VLOOKUP(L221,'Product-cost'!A:B,2,FALSE)</f>
        <v>150</v>
      </c>
      <c r="Q221" t="s">
        <v>32</v>
      </c>
      <c r="R221" t="s">
        <v>222</v>
      </c>
      <c r="S221" t="s">
        <v>230</v>
      </c>
      <c r="T221" t="s">
        <v>893</v>
      </c>
      <c r="U221" s="14">
        <f t="shared" si="38"/>
        <v>2954.6000000000004</v>
      </c>
      <c r="V221" s="14">
        <f t="shared" si="39"/>
        <v>1650</v>
      </c>
      <c r="W221" s="10">
        <f>VLOOKUP(Q221,Taxrate!A:B,2,FALSE)</f>
        <v>0.2</v>
      </c>
      <c r="X221" s="14">
        <f t="shared" si="40"/>
        <v>590.92000000000007</v>
      </c>
      <c r="Y221" s="10">
        <f>VLOOKUP(L221,'Discount Rate'!A:B,2,FALSE)</f>
        <v>7.0000000000000007E-2</v>
      </c>
      <c r="Z221" s="14">
        <f t="shared" si="41"/>
        <v>206.82200000000003</v>
      </c>
      <c r="AA221" s="14">
        <f t="shared" si="42"/>
        <v>2156.8580000000002</v>
      </c>
      <c r="AB221" s="14">
        <f t="shared" si="43"/>
        <v>506.85800000000017</v>
      </c>
    </row>
    <row r="222" spans="1:28" x14ac:dyDescent="0.25">
      <c r="A222" t="s">
        <v>511</v>
      </c>
      <c r="B222" t="s">
        <v>512</v>
      </c>
      <c r="C222" t="s">
        <v>386</v>
      </c>
      <c r="D222" t="s">
        <v>45</v>
      </c>
      <c r="E222" s="1">
        <v>46112</v>
      </c>
      <c r="F222" s="8">
        <f t="shared" si="33"/>
        <v>2026</v>
      </c>
      <c r="G222" s="1" t="str">
        <f t="shared" si="34"/>
        <v>March</v>
      </c>
      <c r="H222" s="1" t="str">
        <f t="shared" si="35"/>
        <v>Tuesday</v>
      </c>
      <c r="I222" s="2">
        <v>0.85917824074074078</v>
      </c>
      <c r="J222" s="8">
        <f t="shared" si="36"/>
        <v>20</v>
      </c>
      <c r="K222" s="8">
        <f t="shared" si="37"/>
        <v>37</v>
      </c>
      <c r="L222" t="s">
        <v>15</v>
      </c>
      <c r="M222" t="s">
        <v>16</v>
      </c>
      <c r="N222">
        <v>9</v>
      </c>
      <c r="O222" s="14">
        <v>1069.8399999999999</v>
      </c>
      <c r="P222">
        <f>VLOOKUP(L222,'Product-cost'!A:B,2,FALSE)</f>
        <v>600</v>
      </c>
      <c r="Q222" t="s">
        <v>32</v>
      </c>
      <c r="R222" t="s">
        <v>87</v>
      </c>
      <c r="T222" t="s">
        <v>895</v>
      </c>
      <c r="U222" s="14">
        <f t="shared" si="38"/>
        <v>9628.56</v>
      </c>
      <c r="V222" s="14">
        <f t="shared" si="39"/>
        <v>5400</v>
      </c>
      <c r="W222" s="10">
        <f>VLOOKUP(Q222,Taxrate!A:B,2,FALSE)</f>
        <v>0.2</v>
      </c>
      <c r="X222" s="14">
        <f t="shared" si="40"/>
        <v>1925.712</v>
      </c>
      <c r="Y222" s="10">
        <f>VLOOKUP(L222,'Discount Rate'!A:B,2,FALSE)</f>
        <v>0.05</v>
      </c>
      <c r="Z222" s="14">
        <f t="shared" si="41"/>
        <v>481.428</v>
      </c>
      <c r="AA222" s="14">
        <f t="shared" si="42"/>
        <v>7221.42</v>
      </c>
      <c r="AB222" s="14">
        <f t="shared" si="43"/>
        <v>1821.42</v>
      </c>
    </row>
    <row r="223" spans="1:28" x14ac:dyDescent="0.25">
      <c r="A223" t="s">
        <v>513</v>
      </c>
      <c r="B223" t="s">
        <v>514</v>
      </c>
      <c r="C223" t="s">
        <v>126</v>
      </c>
      <c r="D223" t="s">
        <v>22</v>
      </c>
      <c r="E223" s="1">
        <v>46284</v>
      </c>
      <c r="F223" s="8">
        <f t="shared" si="33"/>
        <v>2026</v>
      </c>
      <c r="G223" s="1" t="str">
        <f t="shared" si="34"/>
        <v>September</v>
      </c>
      <c r="H223" s="1" t="str">
        <f t="shared" si="35"/>
        <v>Saturday</v>
      </c>
      <c r="I223" s="2">
        <v>0.9108680555555555</v>
      </c>
      <c r="J223" s="8">
        <f t="shared" si="36"/>
        <v>21</v>
      </c>
      <c r="K223" s="8">
        <f t="shared" si="37"/>
        <v>51</v>
      </c>
      <c r="L223" t="s">
        <v>23</v>
      </c>
      <c r="M223" t="s">
        <v>24</v>
      </c>
      <c r="N223">
        <v>3</v>
      </c>
      <c r="O223" s="14">
        <v>533.74</v>
      </c>
      <c r="P223">
        <f>VLOOKUP(L223,'Product-cost'!A:B,2,FALSE)</f>
        <v>300</v>
      </c>
      <c r="Q223" t="s">
        <v>55</v>
      </c>
      <c r="R223" t="s">
        <v>26</v>
      </c>
      <c r="S223" t="s">
        <v>96</v>
      </c>
      <c r="T223" t="s">
        <v>893</v>
      </c>
      <c r="U223" s="14">
        <f t="shared" si="38"/>
        <v>1601.22</v>
      </c>
      <c r="V223" s="14">
        <f t="shared" si="39"/>
        <v>900</v>
      </c>
      <c r="W223" s="10">
        <f>VLOOKUP(Q223,Taxrate!A:B,2,FALSE)</f>
        <v>0.12</v>
      </c>
      <c r="X223" s="14">
        <f t="shared" si="40"/>
        <v>192.1464</v>
      </c>
      <c r="Y223" s="10">
        <f>VLOOKUP(L223,'Discount Rate'!A:B,2,FALSE)</f>
        <v>0.1</v>
      </c>
      <c r="Z223" s="14">
        <f t="shared" si="41"/>
        <v>160.12200000000001</v>
      </c>
      <c r="AA223" s="14">
        <f t="shared" si="42"/>
        <v>1248.9515999999999</v>
      </c>
      <c r="AB223" s="14">
        <f t="shared" si="43"/>
        <v>348.95159999999987</v>
      </c>
    </row>
    <row r="224" spans="1:28" x14ac:dyDescent="0.25">
      <c r="A224" t="s">
        <v>515</v>
      </c>
      <c r="B224" t="s">
        <v>516</v>
      </c>
      <c r="C224" t="s">
        <v>66</v>
      </c>
      <c r="D224" t="s">
        <v>67</v>
      </c>
      <c r="E224" s="1">
        <v>45683</v>
      </c>
      <c r="F224" s="8">
        <f t="shared" si="33"/>
        <v>2025</v>
      </c>
      <c r="G224" s="1" t="str">
        <f t="shared" si="34"/>
        <v>January</v>
      </c>
      <c r="H224" s="1" t="str">
        <f t="shared" si="35"/>
        <v>Sunday</v>
      </c>
      <c r="I224" s="2">
        <v>0.36265046296296294</v>
      </c>
      <c r="J224" s="8">
        <f t="shared" si="36"/>
        <v>8</v>
      </c>
      <c r="K224" s="8">
        <f t="shared" si="37"/>
        <v>42</v>
      </c>
      <c r="L224" t="s">
        <v>46</v>
      </c>
      <c r="M224" t="s">
        <v>47</v>
      </c>
      <c r="N224">
        <v>6</v>
      </c>
      <c r="O224" s="14">
        <v>276.97000000000003</v>
      </c>
      <c r="P224">
        <f>VLOOKUP(L224,'Product-cost'!A:B,2,FALSE)</f>
        <v>150</v>
      </c>
      <c r="Q224" t="s">
        <v>51</v>
      </c>
      <c r="R224" t="s">
        <v>68</v>
      </c>
      <c r="S224" t="s">
        <v>158</v>
      </c>
      <c r="T224" t="s">
        <v>893</v>
      </c>
      <c r="U224" s="14">
        <f t="shared" si="38"/>
        <v>1661.8200000000002</v>
      </c>
      <c r="V224" s="14">
        <f t="shared" si="39"/>
        <v>900</v>
      </c>
      <c r="W224" s="10">
        <f>VLOOKUP(Q224,Taxrate!A:B,2,FALSE)</f>
        <v>7.0000000000000007E-2</v>
      </c>
      <c r="X224" s="14">
        <f t="shared" si="40"/>
        <v>116.32740000000003</v>
      </c>
      <c r="Y224" s="10">
        <f>VLOOKUP(L224,'Discount Rate'!A:B,2,FALSE)</f>
        <v>7.0000000000000007E-2</v>
      </c>
      <c r="Z224" s="14">
        <f t="shared" si="41"/>
        <v>116.32740000000003</v>
      </c>
      <c r="AA224" s="14">
        <f t="shared" si="42"/>
        <v>1429.1651999999999</v>
      </c>
      <c r="AB224" s="14">
        <f t="shared" si="43"/>
        <v>529.16519999999991</v>
      </c>
    </row>
    <row r="225" spans="1:28" x14ac:dyDescent="0.25">
      <c r="A225" t="s">
        <v>517</v>
      </c>
      <c r="B225" t="s">
        <v>518</v>
      </c>
      <c r="C225" t="s">
        <v>63</v>
      </c>
      <c r="D225" t="s">
        <v>14</v>
      </c>
      <c r="E225" s="1">
        <v>45932</v>
      </c>
      <c r="F225" s="8">
        <f t="shared" si="33"/>
        <v>2025</v>
      </c>
      <c r="G225" s="1" t="str">
        <f t="shared" si="34"/>
        <v>October</v>
      </c>
      <c r="H225" s="1" t="str">
        <f t="shared" si="35"/>
        <v>Thursday</v>
      </c>
      <c r="I225" s="2">
        <v>0.56783564814814813</v>
      </c>
      <c r="J225" s="8">
        <f t="shared" si="36"/>
        <v>13</v>
      </c>
      <c r="K225" s="8">
        <f t="shared" si="37"/>
        <v>37</v>
      </c>
      <c r="L225" t="s">
        <v>15</v>
      </c>
      <c r="M225" t="s">
        <v>16</v>
      </c>
      <c r="N225">
        <v>7</v>
      </c>
      <c r="O225" s="14">
        <v>911.45</v>
      </c>
      <c r="P225">
        <f>VLOOKUP(L225,'Product-cost'!A:B,2,FALSE)</f>
        <v>600</v>
      </c>
      <c r="Q225" t="s">
        <v>39</v>
      </c>
      <c r="R225" t="s">
        <v>33</v>
      </c>
      <c r="S225" t="s">
        <v>96</v>
      </c>
      <c r="T225" t="s">
        <v>893</v>
      </c>
      <c r="U225" s="14">
        <f t="shared" si="38"/>
        <v>6380.1500000000005</v>
      </c>
      <c r="V225" s="14">
        <f t="shared" si="39"/>
        <v>4200</v>
      </c>
      <c r="W225" s="10">
        <f>VLOOKUP(Q225,Taxrate!A:B,2,FALSE)</f>
        <v>0.15</v>
      </c>
      <c r="X225" s="14">
        <f t="shared" si="40"/>
        <v>957.02250000000004</v>
      </c>
      <c r="Y225" s="10">
        <f>VLOOKUP(L225,'Discount Rate'!A:B,2,FALSE)</f>
        <v>0.05</v>
      </c>
      <c r="Z225" s="14">
        <f t="shared" si="41"/>
        <v>319.00750000000005</v>
      </c>
      <c r="AA225" s="14">
        <f t="shared" si="42"/>
        <v>5104.1200000000008</v>
      </c>
      <c r="AB225" s="14">
        <f t="shared" si="43"/>
        <v>904.1200000000008</v>
      </c>
    </row>
    <row r="226" spans="1:28" x14ac:dyDescent="0.25">
      <c r="A226" t="s">
        <v>519</v>
      </c>
      <c r="B226" t="s">
        <v>520</v>
      </c>
      <c r="C226" t="s">
        <v>58</v>
      </c>
      <c r="D226" t="s">
        <v>59</v>
      </c>
      <c r="E226" s="1">
        <v>45113</v>
      </c>
      <c r="F226" s="8">
        <f t="shared" si="33"/>
        <v>2023</v>
      </c>
      <c r="G226" s="1" t="str">
        <f t="shared" si="34"/>
        <v>July</v>
      </c>
      <c r="H226" s="1" t="str">
        <f t="shared" si="35"/>
        <v>Thursday</v>
      </c>
      <c r="I226" s="2">
        <v>0.46471064814814816</v>
      </c>
      <c r="J226" s="8">
        <f t="shared" si="36"/>
        <v>11</v>
      </c>
      <c r="K226" s="8">
        <f t="shared" si="37"/>
        <v>9</v>
      </c>
      <c r="L226" t="s">
        <v>23</v>
      </c>
      <c r="M226" t="s">
        <v>24</v>
      </c>
      <c r="N226">
        <v>12</v>
      </c>
      <c r="O226" s="14">
        <v>678.33</v>
      </c>
      <c r="P226">
        <f>VLOOKUP(L226,'Product-cost'!A:B,2,FALSE)</f>
        <v>300</v>
      </c>
      <c r="Q226" t="s">
        <v>39</v>
      </c>
      <c r="R226" t="s">
        <v>222</v>
      </c>
      <c r="S226" t="s">
        <v>96</v>
      </c>
      <c r="T226" t="s">
        <v>893</v>
      </c>
      <c r="U226" s="14">
        <f t="shared" si="38"/>
        <v>8139.9600000000009</v>
      </c>
      <c r="V226" s="14">
        <f t="shared" si="39"/>
        <v>3600</v>
      </c>
      <c r="W226" s="10">
        <f>VLOOKUP(Q226,Taxrate!A:B,2,FALSE)</f>
        <v>0.15</v>
      </c>
      <c r="X226" s="14">
        <f t="shared" si="40"/>
        <v>1220.9940000000001</v>
      </c>
      <c r="Y226" s="10">
        <f>VLOOKUP(L226,'Discount Rate'!A:B,2,FALSE)</f>
        <v>0.1</v>
      </c>
      <c r="Z226" s="14">
        <f t="shared" si="41"/>
        <v>813.99600000000009</v>
      </c>
      <c r="AA226" s="14">
        <f t="shared" si="42"/>
        <v>6104.97</v>
      </c>
      <c r="AB226" s="14">
        <f t="shared" si="43"/>
        <v>2504.9700000000003</v>
      </c>
    </row>
    <row r="227" spans="1:28" x14ac:dyDescent="0.25">
      <c r="A227" t="s">
        <v>521</v>
      </c>
      <c r="B227" t="s">
        <v>522</v>
      </c>
      <c r="C227" t="s">
        <v>386</v>
      </c>
      <c r="D227" t="s">
        <v>45</v>
      </c>
      <c r="E227" s="1">
        <v>45015</v>
      </c>
      <c r="F227" s="8">
        <f t="shared" si="33"/>
        <v>2023</v>
      </c>
      <c r="G227" s="1" t="str">
        <f t="shared" si="34"/>
        <v>March</v>
      </c>
      <c r="H227" s="1" t="str">
        <f t="shared" si="35"/>
        <v>Thursday</v>
      </c>
      <c r="I227" s="2">
        <v>0.73414351851851856</v>
      </c>
      <c r="J227" s="8">
        <f t="shared" si="36"/>
        <v>17</v>
      </c>
      <c r="K227" s="8">
        <f t="shared" si="37"/>
        <v>37</v>
      </c>
      <c r="L227" t="s">
        <v>23</v>
      </c>
      <c r="M227" t="s">
        <v>24</v>
      </c>
      <c r="N227">
        <v>1</v>
      </c>
      <c r="O227" s="14">
        <v>524.05999999999995</v>
      </c>
      <c r="P227">
        <f>VLOOKUP(L227,'Product-cost'!A:B,2,FALSE)</f>
        <v>300</v>
      </c>
      <c r="Q227" t="s">
        <v>32</v>
      </c>
      <c r="R227" t="s">
        <v>80</v>
      </c>
      <c r="S227" t="s">
        <v>18</v>
      </c>
      <c r="T227" t="s">
        <v>893</v>
      </c>
      <c r="U227" s="14">
        <f t="shared" si="38"/>
        <v>524.05999999999995</v>
      </c>
      <c r="V227" s="14">
        <f t="shared" si="39"/>
        <v>300</v>
      </c>
      <c r="W227" s="10">
        <f>VLOOKUP(Q227,Taxrate!A:B,2,FALSE)</f>
        <v>0.2</v>
      </c>
      <c r="X227" s="14">
        <f t="shared" si="40"/>
        <v>104.812</v>
      </c>
      <c r="Y227" s="10">
        <f>VLOOKUP(L227,'Discount Rate'!A:B,2,FALSE)</f>
        <v>0.1</v>
      </c>
      <c r="Z227" s="14">
        <f t="shared" si="41"/>
        <v>52.405999999999999</v>
      </c>
      <c r="AA227" s="14">
        <f t="shared" si="42"/>
        <v>366.84199999999993</v>
      </c>
      <c r="AB227" s="14">
        <f t="shared" si="43"/>
        <v>66.841999999999928</v>
      </c>
    </row>
    <row r="228" spans="1:28" x14ac:dyDescent="0.25">
      <c r="A228" t="s">
        <v>523</v>
      </c>
      <c r="B228" t="s">
        <v>524</v>
      </c>
      <c r="C228" t="s">
        <v>178</v>
      </c>
      <c r="D228" t="s">
        <v>59</v>
      </c>
      <c r="E228" s="1">
        <v>46169</v>
      </c>
      <c r="F228" s="8">
        <f t="shared" si="33"/>
        <v>2026</v>
      </c>
      <c r="G228" s="1" t="str">
        <f t="shared" si="34"/>
        <v>May</v>
      </c>
      <c r="H228" s="1" t="str">
        <f t="shared" si="35"/>
        <v>Wednesday</v>
      </c>
      <c r="I228" s="2">
        <v>0.89594907407407409</v>
      </c>
      <c r="J228" s="8">
        <f t="shared" si="36"/>
        <v>21</v>
      </c>
      <c r="K228" s="8">
        <f t="shared" si="37"/>
        <v>30</v>
      </c>
      <c r="L228" t="s">
        <v>23</v>
      </c>
      <c r="M228" t="s">
        <v>24</v>
      </c>
      <c r="N228">
        <v>10</v>
      </c>
      <c r="O228" s="14">
        <v>654.79</v>
      </c>
      <c r="P228">
        <f>VLOOKUP(L228,'Product-cost'!A:B,2,FALSE)</f>
        <v>300</v>
      </c>
      <c r="Q228" t="s">
        <v>32</v>
      </c>
      <c r="R228" t="s">
        <v>222</v>
      </c>
      <c r="S228" t="s">
        <v>123</v>
      </c>
      <c r="T228" t="s">
        <v>893</v>
      </c>
      <c r="U228" s="14">
        <f t="shared" si="38"/>
        <v>6547.9</v>
      </c>
      <c r="V228" s="14">
        <f t="shared" si="39"/>
        <v>3000</v>
      </c>
      <c r="W228" s="10">
        <f>VLOOKUP(Q228,Taxrate!A:B,2,FALSE)</f>
        <v>0.2</v>
      </c>
      <c r="X228" s="14">
        <f t="shared" si="40"/>
        <v>1309.58</v>
      </c>
      <c r="Y228" s="10">
        <f>VLOOKUP(L228,'Discount Rate'!A:B,2,FALSE)</f>
        <v>0.1</v>
      </c>
      <c r="Z228" s="14">
        <f t="shared" si="41"/>
        <v>654.79</v>
      </c>
      <c r="AA228" s="14">
        <f t="shared" si="42"/>
        <v>4583.53</v>
      </c>
      <c r="AB228" s="14">
        <f t="shared" si="43"/>
        <v>1583.5299999999997</v>
      </c>
    </row>
    <row r="229" spans="1:28" x14ac:dyDescent="0.25">
      <c r="A229" t="s">
        <v>525</v>
      </c>
      <c r="B229" t="s">
        <v>526</v>
      </c>
      <c r="C229" t="s">
        <v>155</v>
      </c>
      <c r="D229" t="s">
        <v>156</v>
      </c>
      <c r="E229" s="1">
        <v>45238</v>
      </c>
      <c r="F229" s="8">
        <f t="shared" si="33"/>
        <v>2023</v>
      </c>
      <c r="G229" s="1" t="str">
        <f t="shared" si="34"/>
        <v>November</v>
      </c>
      <c r="H229" s="1" t="str">
        <f t="shared" si="35"/>
        <v>Wednesday</v>
      </c>
      <c r="I229" s="2">
        <v>0.48188657407407409</v>
      </c>
      <c r="J229" s="8">
        <f t="shared" si="36"/>
        <v>11</v>
      </c>
      <c r="K229" s="8">
        <f t="shared" si="37"/>
        <v>33</v>
      </c>
      <c r="L229" t="s">
        <v>46</v>
      </c>
      <c r="M229" t="s">
        <v>47</v>
      </c>
      <c r="N229">
        <v>14</v>
      </c>
      <c r="O229" s="14">
        <v>186.59</v>
      </c>
      <c r="P229">
        <f>VLOOKUP(L229,'Product-cost'!A:B,2,FALSE)</f>
        <v>150</v>
      </c>
      <c r="Q229" t="s">
        <v>39</v>
      </c>
      <c r="R229" t="s">
        <v>252</v>
      </c>
      <c r="S229" t="s">
        <v>158</v>
      </c>
      <c r="T229" t="s">
        <v>893</v>
      </c>
      <c r="U229" s="14">
        <f t="shared" si="38"/>
        <v>2612.2600000000002</v>
      </c>
      <c r="V229" s="14">
        <f t="shared" si="39"/>
        <v>2100</v>
      </c>
      <c r="W229" s="10">
        <f>VLOOKUP(Q229,Taxrate!A:B,2,FALSE)</f>
        <v>0.15</v>
      </c>
      <c r="X229" s="14">
        <f t="shared" si="40"/>
        <v>391.839</v>
      </c>
      <c r="Y229" s="10">
        <f>VLOOKUP(L229,'Discount Rate'!A:B,2,FALSE)</f>
        <v>7.0000000000000007E-2</v>
      </c>
      <c r="Z229" s="14">
        <f t="shared" si="41"/>
        <v>182.85820000000004</v>
      </c>
      <c r="AA229" s="14">
        <f t="shared" si="42"/>
        <v>2037.5628000000002</v>
      </c>
      <c r="AB229" s="14">
        <f t="shared" si="43"/>
        <v>-62.437199999999848</v>
      </c>
    </row>
    <row r="230" spans="1:28" x14ac:dyDescent="0.25">
      <c r="A230" t="s">
        <v>527</v>
      </c>
      <c r="B230" t="s">
        <v>528</v>
      </c>
      <c r="C230" t="s">
        <v>63</v>
      </c>
      <c r="D230" t="s">
        <v>14</v>
      </c>
      <c r="E230" s="1">
        <v>46316</v>
      </c>
      <c r="F230" s="8">
        <f t="shared" si="33"/>
        <v>2026</v>
      </c>
      <c r="G230" s="1" t="str">
        <f t="shared" si="34"/>
        <v>October</v>
      </c>
      <c r="H230" s="1" t="str">
        <f t="shared" si="35"/>
        <v>Wednesday</v>
      </c>
      <c r="I230" s="2">
        <v>0.6849884259259259</v>
      </c>
      <c r="J230" s="8">
        <f t="shared" si="36"/>
        <v>16</v>
      </c>
      <c r="K230" s="8">
        <f t="shared" si="37"/>
        <v>26</v>
      </c>
      <c r="L230" t="s">
        <v>15</v>
      </c>
      <c r="M230" t="s">
        <v>16</v>
      </c>
      <c r="N230">
        <v>7</v>
      </c>
      <c r="O230" s="14">
        <v>1201.1500000000001</v>
      </c>
      <c r="P230">
        <f>VLOOKUP(L230,'Product-cost'!A:B,2,FALSE)</f>
        <v>600</v>
      </c>
      <c r="Q230" t="s">
        <v>39</v>
      </c>
      <c r="R230" t="s">
        <v>33</v>
      </c>
      <c r="S230" t="s">
        <v>34</v>
      </c>
      <c r="T230" t="s">
        <v>893</v>
      </c>
      <c r="U230" s="14">
        <f t="shared" si="38"/>
        <v>8408.0500000000011</v>
      </c>
      <c r="V230" s="14">
        <f t="shared" si="39"/>
        <v>4200</v>
      </c>
      <c r="W230" s="10">
        <f>VLOOKUP(Q230,Taxrate!A:B,2,FALSE)</f>
        <v>0.15</v>
      </c>
      <c r="X230" s="14">
        <f t="shared" si="40"/>
        <v>1261.2075000000002</v>
      </c>
      <c r="Y230" s="10">
        <f>VLOOKUP(L230,'Discount Rate'!A:B,2,FALSE)</f>
        <v>0.05</v>
      </c>
      <c r="Z230" s="14">
        <f t="shared" si="41"/>
        <v>420.40250000000009</v>
      </c>
      <c r="AA230" s="14">
        <f t="shared" si="42"/>
        <v>6726.4400000000005</v>
      </c>
      <c r="AB230" s="14">
        <f t="shared" si="43"/>
        <v>2526.4400000000005</v>
      </c>
    </row>
    <row r="231" spans="1:28" x14ac:dyDescent="0.25">
      <c r="A231" t="s">
        <v>529</v>
      </c>
      <c r="B231" t="s">
        <v>182</v>
      </c>
      <c r="C231" t="s">
        <v>66</v>
      </c>
      <c r="D231" t="s">
        <v>67</v>
      </c>
      <c r="E231" s="1">
        <v>46300</v>
      </c>
      <c r="F231" s="8">
        <f t="shared" si="33"/>
        <v>2026</v>
      </c>
      <c r="G231" s="1" t="str">
        <f t="shared" si="34"/>
        <v>October</v>
      </c>
      <c r="H231" s="1" t="str">
        <f t="shared" si="35"/>
        <v>Monday</v>
      </c>
      <c r="I231" s="2">
        <v>0.5083333333333333</v>
      </c>
      <c r="J231" s="8">
        <f t="shared" si="36"/>
        <v>12</v>
      </c>
      <c r="K231" s="8">
        <f t="shared" si="37"/>
        <v>12</v>
      </c>
      <c r="L231" t="s">
        <v>15</v>
      </c>
      <c r="M231" t="s">
        <v>16</v>
      </c>
      <c r="N231">
        <v>2</v>
      </c>
      <c r="O231" s="14">
        <v>987.51</v>
      </c>
      <c r="P231">
        <f>VLOOKUP(L231,'Product-cost'!A:B,2,FALSE)</f>
        <v>600</v>
      </c>
      <c r="Q231" t="s">
        <v>32</v>
      </c>
      <c r="R231" t="s">
        <v>68</v>
      </c>
      <c r="S231" t="s">
        <v>102</v>
      </c>
      <c r="T231" t="s">
        <v>895</v>
      </c>
      <c r="U231" s="14">
        <f t="shared" si="38"/>
        <v>1975.02</v>
      </c>
      <c r="V231" s="14">
        <f t="shared" si="39"/>
        <v>1200</v>
      </c>
      <c r="W231" s="10">
        <f>VLOOKUP(Q231,Taxrate!A:B,2,FALSE)</f>
        <v>0.2</v>
      </c>
      <c r="X231" s="14">
        <f t="shared" si="40"/>
        <v>395.00400000000002</v>
      </c>
      <c r="Y231" s="10">
        <f>VLOOKUP(L231,'Discount Rate'!A:B,2,FALSE)</f>
        <v>0.05</v>
      </c>
      <c r="Z231" s="14">
        <f t="shared" si="41"/>
        <v>98.751000000000005</v>
      </c>
      <c r="AA231" s="14">
        <f t="shared" si="42"/>
        <v>1481.2650000000001</v>
      </c>
      <c r="AB231" s="14">
        <f t="shared" si="43"/>
        <v>281.2650000000001</v>
      </c>
    </row>
    <row r="232" spans="1:28" x14ac:dyDescent="0.25">
      <c r="A232" t="s">
        <v>530</v>
      </c>
      <c r="B232" t="s">
        <v>531</v>
      </c>
      <c r="C232" t="s">
        <v>99</v>
      </c>
      <c r="D232" t="s">
        <v>100</v>
      </c>
      <c r="E232" s="1">
        <v>46209</v>
      </c>
      <c r="F232" s="8">
        <f t="shared" si="33"/>
        <v>2026</v>
      </c>
      <c r="G232" s="1" t="str">
        <f t="shared" si="34"/>
        <v>July</v>
      </c>
      <c r="H232" s="1" t="str">
        <f t="shared" si="35"/>
        <v>Monday</v>
      </c>
      <c r="I232" s="2">
        <v>0.76791666666666669</v>
      </c>
      <c r="J232" s="8">
        <f t="shared" si="36"/>
        <v>18</v>
      </c>
      <c r="K232" s="8">
        <f t="shared" si="37"/>
        <v>25</v>
      </c>
      <c r="L232" t="s">
        <v>23</v>
      </c>
      <c r="M232" t="s">
        <v>24</v>
      </c>
      <c r="N232">
        <v>13</v>
      </c>
      <c r="O232" s="14">
        <v>533.62</v>
      </c>
      <c r="P232">
        <f>VLOOKUP(L232,'Product-cost'!A:B,2,FALSE)</f>
        <v>300</v>
      </c>
      <c r="Q232" t="s">
        <v>55</v>
      </c>
      <c r="R232" t="s">
        <v>101</v>
      </c>
      <c r="S232" t="s">
        <v>27</v>
      </c>
      <c r="T232" t="s">
        <v>893</v>
      </c>
      <c r="U232" s="14">
        <f t="shared" si="38"/>
        <v>6937.06</v>
      </c>
      <c r="V232" s="14">
        <f t="shared" si="39"/>
        <v>3900</v>
      </c>
      <c r="W232" s="10">
        <f>VLOOKUP(Q232,Taxrate!A:B,2,FALSE)</f>
        <v>0.12</v>
      </c>
      <c r="X232" s="14">
        <f t="shared" si="40"/>
        <v>832.44720000000007</v>
      </c>
      <c r="Y232" s="10">
        <f>VLOOKUP(L232,'Discount Rate'!A:B,2,FALSE)</f>
        <v>0.1</v>
      </c>
      <c r="Z232" s="14">
        <f t="shared" si="41"/>
        <v>693.70600000000013</v>
      </c>
      <c r="AA232" s="14">
        <f t="shared" si="42"/>
        <v>5410.9068000000007</v>
      </c>
      <c r="AB232" s="14">
        <f t="shared" si="43"/>
        <v>1510.9068000000007</v>
      </c>
    </row>
    <row r="233" spans="1:28" x14ac:dyDescent="0.25">
      <c r="A233" t="s">
        <v>532</v>
      </c>
      <c r="B233" t="s">
        <v>533</v>
      </c>
      <c r="C233" t="s">
        <v>13</v>
      </c>
      <c r="D233" t="s">
        <v>14</v>
      </c>
      <c r="E233" s="1">
        <v>45723</v>
      </c>
      <c r="F233" s="8">
        <f t="shared" si="33"/>
        <v>2025</v>
      </c>
      <c r="G233" s="1" t="str">
        <f t="shared" si="34"/>
        <v>March</v>
      </c>
      <c r="H233" s="1" t="str">
        <f t="shared" si="35"/>
        <v>Friday</v>
      </c>
      <c r="I233" s="2">
        <v>0.38439814814814816</v>
      </c>
      <c r="J233" s="8">
        <f t="shared" si="36"/>
        <v>9</v>
      </c>
      <c r="K233" s="8">
        <f t="shared" si="37"/>
        <v>13</v>
      </c>
      <c r="L233" t="s">
        <v>73</v>
      </c>
      <c r="M233" t="s">
        <v>74</v>
      </c>
      <c r="N233">
        <v>13</v>
      </c>
      <c r="O233" s="14">
        <v>172.28</v>
      </c>
      <c r="P233">
        <f>VLOOKUP(L233,'Product-cost'!A:B,2,FALSE)</f>
        <v>50</v>
      </c>
      <c r="Q233" t="s">
        <v>51</v>
      </c>
      <c r="R233" t="s">
        <v>17</v>
      </c>
      <c r="S233" t="s">
        <v>230</v>
      </c>
      <c r="T233" t="s">
        <v>893</v>
      </c>
      <c r="U233" s="14">
        <f t="shared" si="38"/>
        <v>2239.64</v>
      </c>
      <c r="V233" s="14">
        <f t="shared" si="39"/>
        <v>650</v>
      </c>
      <c r="W233" s="10">
        <f>VLOOKUP(Q233,Taxrate!A:B,2,FALSE)</f>
        <v>7.0000000000000007E-2</v>
      </c>
      <c r="X233" s="14">
        <f t="shared" si="40"/>
        <v>156.7748</v>
      </c>
      <c r="Y233" s="10">
        <f>VLOOKUP(L233,'Discount Rate'!A:B,2,FALSE)</f>
        <v>0.03</v>
      </c>
      <c r="Z233" s="14">
        <f t="shared" si="41"/>
        <v>67.1892</v>
      </c>
      <c r="AA233" s="14">
        <f t="shared" si="42"/>
        <v>2015.6759999999997</v>
      </c>
      <c r="AB233" s="14">
        <f t="shared" si="43"/>
        <v>1365.6759999999997</v>
      </c>
    </row>
    <row r="234" spans="1:28" x14ac:dyDescent="0.25">
      <c r="A234" t="s">
        <v>534</v>
      </c>
      <c r="B234" t="s">
        <v>535</v>
      </c>
      <c r="C234" t="s">
        <v>66</v>
      </c>
      <c r="D234" t="s">
        <v>67</v>
      </c>
      <c r="E234" s="1">
        <v>45381</v>
      </c>
      <c r="F234" s="8">
        <f t="shared" si="33"/>
        <v>2024</v>
      </c>
      <c r="G234" s="1" t="str">
        <f t="shared" si="34"/>
        <v>March</v>
      </c>
      <c r="H234" s="1" t="str">
        <f t="shared" si="35"/>
        <v>Saturday</v>
      </c>
      <c r="I234" s="2">
        <v>0.40141203703703704</v>
      </c>
      <c r="J234" s="8">
        <f t="shared" si="36"/>
        <v>9</v>
      </c>
      <c r="K234" s="8">
        <f t="shared" si="37"/>
        <v>38</v>
      </c>
      <c r="L234" t="s">
        <v>73</v>
      </c>
      <c r="M234" t="s">
        <v>74</v>
      </c>
      <c r="N234">
        <v>7</v>
      </c>
      <c r="O234" s="14">
        <v>159.08000000000001</v>
      </c>
      <c r="P234">
        <f>VLOOKUP(L234,'Product-cost'!A:B,2,FALSE)</f>
        <v>50</v>
      </c>
      <c r="Q234" t="s">
        <v>55</v>
      </c>
      <c r="R234" t="s">
        <v>68</v>
      </c>
      <c r="S234" t="s">
        <v>96</v>
      </c>
      <c r="T234" t="s">
        <v>893</v>
      </c>
      <c r="U234" s="14">
        <f t="shared" si="38"/>
        <v>1113.5600000000002</v>
      </c>
      <c r="V234" s="14">
        <f t="shared" si="39"/>
        <v>350</v>
      </c>
      <c r="W234" s="10">
        <f>VLOOKUP(Q234,Taxrate!A:B,2,FALSE)</f>
        <v>0.12</v>
      </c>
      <c r="X234" s="14">
        <f t="shared" si="40"/>
        <v>133.62720000000002</v>
      </c>
      <c r="Y234" s="10">
        <f>VLOOKUP(L234,'Discount Rate'!A:B,2,FALSE)</f>
        <v>0.03</v>
      </c>
      <c r="Z234" s="14">
        <f t="shared" si="41"/>
        <v>33.406800000000004</v>
      </c>
      <c r="AA234" s="14">
        <f t="shared" si="42"/>
        <v>946.52600000000018</v>
      </c>
      <c r="AB234" s="14">
        <f t="shared" si="43"/>
        <v>596.52600000000018</v>
      </c>
    </row>
    <row r="235" spans="1:28" x14ac:dyDescent="0.25">
      <c r="A235" t="s">
        <v>536</v>
      </c>
      <c r="B235" t="s">
        <v>537</v>
      </c>
      <c r="C235" t="s">
        <v>126</v>
      </c>
      <c r="D235" t="s">
        <v>22</v>
      </c>
      <c r="E235" s="1">
        <v>45353</v>
      </c>
      <c r="F235" s="8">
        <f t="shared" si="33"/>
        <v>2024</v>
      </c>
      <c r="G235" s="1" t="str">
        <f t="shared" si="34"/>
        <v>March</v>
      </c>
      <c r="H235" s="1" t="str">
        <f t="shared" si="35"/>
        <v>Saturday</v>
      </c>
      <c r="I235" s="2">
        <v>0.86009259259259263</v>
      </c>
      <c r="J235" s="8">
        <f t="shared" si="36"/>
        <v>20</v>
      </c>
      <c r="K235" s="8">
        <f t="shared" si="37"/>
        <v>38</v>
      </c>
      <c r="L235" t="s">
        <v>46</v>
      </c>
      <c r="M235" t="s">
        <v>47</v>
      </c>
      <c r="N235">
        <v>10</v>
      </c>
      <c r="O235" s="14">
        <v>179.97</v>
      </c>
      <c r="P235">
        <f>VLOOKUP(L235,'Product-cost'!A:B,2,FALSE)</f>
        <v>150</v>
      </c>
      <c r="Q235" t="s">
        <v>32</v>
      </c>
      <c r="R235" t="s">
        <v>52</v>
      </c>
      <c r="T235" t="s">
        <v>895</v>
      </c>
      <c r="U235" s="14">
        <f t="shared" si="38"/>
        <v>1799.7</v>
      </c>
      <c r="V235" s="14">
        <f t="shared" si="39"/>
        <v>1500</v>
      </c>
      <c r="W235" s="10">
        <f>VLOOKUP(Q235,Taxrate!A:B,2,FALSE)</f>
        <v>0.2</v>
      </c>
      <c r="X235" s="14">
        <f t="shared" si="40"/>
        <v>359.94000000000005</v>
      </c>
      <c r="Y235" s="10">
        <f>VLOOKUP(L235,'Discount Rate'!A:B,2,FALSE)</f>
        <v>7.0000000000000007E-2</v>
      </c>
      <c r="Z235" s="14">
        <f t="shared" si="41"/>
        <v>125.97900000000001</v>
      </c>
      <c r="AA235" s="14">
        <f t="shared" si="42"/>
        <v>1313.7809999999999</v>
      </c>
      <c r="AB235" s="14">
        <f t="shared" si="43"/>
        <v>-186.21900000000005</v>
      </c>
    </row>
    <row r="236" spans="1:28" x14ac:dyDescent="0.25">
      <c r="A236" t="s">
        <v>538</v>
      </c>
      <c r="B236" t="s">
        <v>539</v>
      </c>
      <c r="C236" t="s">
        <v>178</v>
      </c>
      <c r="D236" t="s">
        <v>59</v>
      </c>
      <c r="E236" s="1">
        <v>46368</v>
      </c>
      <c r="F236" s="8">
        <f t="shared" si="33"/>
        <v>2026</v>
      </c>
      <c r="G236" s="1" t="str">
        <f t="shared" si="34"/>
        <v>December</v>
      </c>
      <c r="H236" s="1" t="str">
        <f t="shared" si="35"/>
        <v>Saturday</v>
      </c>
      <c r="I236" s="2">
        <v>0.39951388888888889</v>
      </c>
      <c r="J236" s="8">
        <f t="shared" si="36"/>
        <v>9</v>
      </c>
      <c r="K236" s="8">
        <f t="shared" si="37"/>
        <v>35</v>
      </c>
      <c r="L236" t="s">
        <v>46</v>
      </c>
      <c r="M236" t="s">
        <v>47</v>
      </c>
      <c r="N236">
        <v>6</v>
      </c>
      <c r="O236" s="14">
        <v>265.70999999999998</v>
      </c>
      <c r="P236">
        <f>VLOOKUP(L236,'Product-cost'!A:B,2,FALSE)</f>
        <v>150</v>
      </c>
      <c r="Q236" t="s">
        <v>32</v>
      </c>
      <c r="R236" t="s">
        <v>60</v>
      </c>
      <c r="S236" t="s">
        <v>18</v>
      </c>
      <c r="T236" t="s">
        <v>893</v>
      </c>
      <c r="U236" s="14">
        <f t="shared" si="38"/>
        <v>1594.2599999999998</v>
      </c>
      <c r="V236" s="14">
        <f t="shared" si="39"/>
        <v>900</v>
      </c>
      <c r="W236" s="10">
        <f>VLOOKUP(Q236,Taxrate!A:B,2,FALSE)</f>
        <v>0.2</v>
      </c>
      <c r="X236" s="14">
        <f t="shared" si="40"/>
        <v>318.85199999999998</v>
      </c>
      <c r="Y236" s="10">
        <f>VLOOKUP(L236,'Discount Rate'!A:B,2,FALSE)</f>
        <v>7.0000000000000007E-2</v>
      </c>
      <c r="Z236" s="14">
        <f t="shared" si="41"/>
        <v>111.59819999999999</v>
      </c>
      <c r="AA236" s="14">
        <f t="shared" si="42"/>
        <v>1163.8098</v>
      </c>
      <c r="AB236" s="14">
        <f t="shared" si="43"/>
        <v>263.8098</v>
      </c>
    </row>
    <row r="237" spans="1:28" x14ac:dyDescent="0.25">
      <c r="A237" t="s">
        <v>540</v>
      </c>
      <c r="B237" t="s">
        <v>541</v>
      </c>
      <c r="C237" t="s">
        <v>126</v>
      </c>
      <c r="D237" t="s">
        <v>22</v>
      </c>
      <c r="E237" s="1">
        <v>45623</v>
      </c>
      <c r="F237" s="8">
        <f t="shared" si="33"/>
        <v>2024</v>
      </c>
      <c r="G237" s="1" t="str">
        <f t="shared" si="34"/>
        <v>November</v>
      </c>
      <c r="H237" s="1" t="str">
        <f t="shared" si="35"/>
        <v>Wednesday</v>
      </c>
      <c r="I237" s="2">
        <v>0.85574074074074069</v>
      </c>
      <c r="J237" s="8">
        <f t="shared" si="36"/>
        <v>20</v>
      </c>
      <c r="K237" s="8">
        <f t="shared" si="37"/>
        <v>32</v>
      </c>
      <c r="L237" t="s">
        <v>46</v>
      </c>
      <c r="M237" t="s">
        <v>47</v>
      </c>
      <c r="N237">
        <v>10</v>
      </c>
      <c r="O237" s="14">
        <v>224.7</v>
      </c>
      <c r="P237">
        <f>VLOOKUP(L237,'Product-cost'!A:B,2,FALSE)</f>
        <v>150</v>
      </c>
      <c r="Q237" t="s">
        <v>39</v>
      </c>
      <c r="R237" t="s">
        <v>52</v>
      </c>
      <c r="S237" t="s">
        <v>88</v>
      </c>
      <c r="T237" t="s">
        <v>893</v>
      </c>
      <c r="U237" s="14">
        <f t="shared" si="38"/>
        <v>2247</v>
      </c>
      <c r="V237" s="14">
        <f t="shared" si="39"/>
        <v>1500</v>
      </c>
      <c r="W237" s="10">
        <f>VLOOKUP(Q237,Taxrate!A:B,2,FALSE)</f>
        <v>0.15</v>
      </c>
      <c r="X237" s="14">
        <f t="shared" si="40"/>
        <v>337.05</v>
      </c>
      <c r="Y237" s="10">
        <f>VLOOKUP(L237,'Discount Rate'!A:B,2,FALSE)</f>
        <v>7.0000000000000007E-2</v>
      </c>
      <c r="Z237" s="14">
        <f t="shared" si="41"/>
        <v>157.29000000000002</v>
      </c>
      <c r="AA237" s="14">
        <f t="shared" si="42"/>
        <v>1752.66</v>
      </c>
      <c r="AB237" s="14">
        <f t="shared" si="43"/>
        <v>252.66000000000008</v>
      </c>
    </row>
    <row r="238" spans="1:28" x14ac:dyDescent="0.25">
      <c r="A238" t="s">
        <v>542</v>
      </c>
      <c r="B238" t="s">
        <v>543</v>
      </c>
      <c r="C238" t="s">
        <v>13</v>
      </c>
      <c r="D238" t="s">
        <v>14</v>
      </c>
      <c r="E238" s="1">
        <v>45065</v>
      </c>
      <c r="F238" s="8">
        <f t="shared" si="33"/>
        <v>2023</v>
      </c>
      <c r="G238" s="1" t="str">
        <f t="shared" si="34"/>
        <v>May</v>
      </c>
      <c r="H238" s="1" t="str">
        <f t="shared" si="35"/>
        <v>Friday</v>
      </c>
      <c r="I238" s="2">
        <v>0.78488425925925931</v>
      </c>
      <c r="J238" s="8">
        <f t="shared" si="36"/>
        <v>18</v>
      </c>
      <c r="K238" s="8">
        <f t="shared" si="37"/>
        <v>50</v>
      </c>
      <c r="L238" t="s">
        <v>23</v>
      </c>
      <c r="M238" t="s">
        <v>24</v>
      </c>
      <c r="N238">
        <v>7</v>
      </c>
      <c r="O238" s="14">
        <v>634.95000000000005</v>
      </c>
      <c r="P238">
        <f>VLOOKUP(L238,'Product-cost'!A:B,2,FALSE)</f>
        <v>300</v>
      </c>
      <c r="Q238" t="s">
        <v>51</v>
      </c>
      <c r="R238" t="s">
        <v>33</v>
      </c>
      <c r="S238" t="s">
        <v>132</v>
      </c>
      <c r="T238" t="s">
        <v>893</v>
      </c>
      <c r="U238" s="14">
        <f t="shared" si="38"/>
        <v>4444.6500000000005</v>
      </c>
      <c r="V238" s="14">
        <f t="shared" si="39"/>
        <v>2100</v>
      </c>
      <c r="W238" s="10">
        <f>VLOOKUP(Q238,Taxrate!A:B,2,FALSE)</f>
        <v>7.0000000000000007E-2</v>
      </c>
      <c r="X238" s="14">
        <f t="shared" si="40"/>
        <v>311.12550000000005</v>
      </c>
      <c r="Y238" s="10">
        <f>VLOOKUP(L238,'Discount Rate'!A:B,2,FALSE)</f>
        <v>0.1</v>
      </c>
      <c r="Z238" s="14">
        <f t="shared" si="41"/>
        <v>444.46500000000009</v>
      </c>
      <c r="AA238" s="14">
        <f t="shared" si="42"/>
        <v>3689.0595000000003</v>
      </c>
      <c r="AB238" s="14">
        <f t="shared" si="43"/>
        <v>1589.0595000000003</v>
      </c>
    </row>
    <row r="239" spans="1:28" x14ac:dyDescent="0.25">
      <c r="A239" t="s">
        <v>544</v>
      </c>
      <c r="B239" t="s">
        <v>545</v>
      </c>
      <c r="C239" t="s">
        <v>72</v>
      </c>
      <c r="D239" t="s">
        <v>59</v>
      </c>
      <c r="E239" s="1">
        <v>45651</v>
      </c>
      <c r="F239" s="8">
        <f t="shared" si="33"/>
        <v>2024</v>
      </c>
      <c r="G239" s="1" t="str">
        <f t="shared" si="34"/>
        <v>December</v>
      </c>
      <c r="H239" s="1" t="str">
        <f t="shared" si="35"/>
        <v>Wednesday</v>
      </c>
      <c r="I239" s="2">
        <v>0.72026620370370376</v>
      </c>
      <c r="J239" s="8">
        <f t="shared" si="36"/>
        <v>17</v>
      </c>
      <c r="K239" s="8">
        <f t="shared" si="37"/>
        <v>17</v>
      </c>
      <c r="L239" t="s">
        <v>23</v>
      </c>
      <c r="M239" t="s">
        <v>24</v>
      </c>
      <c r="N239">
        <v>4</v>
      </c>
      <c r="O239" s="14">
        <v>552.62</v>
      </c>
      <c r="P239">
        <f>VLOOKUP(L239,'Product-cost'!A:B,2,FALSE)</f>
        <v>300</v>
      </c>
      <c r="Q239" t="s">
        <v>25</v>
      </c>
      <c r="R239" t="s">
        <v>222</v>
      </c>
      <c r="S239" t="s">
        <v>27</v>
      </c>
      <c r="T239" t="s">
        <v>893</v>
      </c>
      <c r="U239" s="14">
        <f t="shared" si="38"/>
        <v>2210.48</v>
      </c>
      <c r="V239" s="14">
        <f t="shared" si="39"/>
        <v>1200</v>
      </c>
      <c r="W239" s="10">
        <f>VLOOKUP(Q239,Taxrate!A:B,2,FALSE)</f>
        <v>0.1</v>
      </c>
      <c r="X239" s="14">
        <f t="shared" si="40"/>
        <v>221.048</v>
      </c>
      <c r="Y239" s="10">
        <f>VLOOKUP(L239,'Discount Rate'!A:B,2,FALSE)</f>
        <v>0.1</v>
      </c>
      <c r="Z239" s="14">
        <f t="shared" si="41"/>
        <v>221.048</v>
      </c>
      <c r="AA239" s="14">
        <f t="shared" si="42"/>
        <v>1768.384</v>
      </c>
      <c r="AB239" s="14">
        <f t="shared" si="43"/>
        <v>568.38400000000001</v>
      </c>
    </row>
    <row r="240" spans="1:28" x14ac:dyDescent="0.25">
      <c r="A240" t="s">
        <v>546</v>
      </c>
      <c r="B240" t="s">
        <v>472</v>
      </c>
      <c r="C240" t="s">
        <v>72</v>
      </c>
      <c r="D240" t="s">
        <v>59</v>
      </c>
      <c r="E240" s="1">
        <v>46035</v>
      </c>
      <c r="F240" s="8">
        <f t="shared" si="33"/>
        <v>2026</v>
      </c>
      <c r="G240" s="1" t="str">
        <f t="shared" si="34"/>
        <v>January</v>
      </c>
      <c r="H240" s="1" t="str">
        <f t="shared" si="35"/>
        <v>Tuesday</v>
      </c>
      <c r="I240" s="2">
        <v>0.89609953703703704</v>
      </c>
      <c r="J240" s="8">
        <f t="shared" si="36"/>
        <v>21</v>
      </c>
      <c r="K240" s="8">
        <f t="shared" si="37"/>
        <v>30</v>
      </c>
      <c r="L240" t="s">
        <v>46</v>
      </c>
      <c r="M240" t="s">
        <v>47</v>
      </c>
      <c r="N240">
        <v>15</v>
      </c>
      <c r="O240" s="14">
        <v>274.67</v>
      </c>
      <c r="P240">
        <f>VLOOKUP(L240,'Product-cost'!A:B,2,FALSE)</f>
        <v>150</v>
      </c>
      <c r="Q240" t="s">
        <v>25</v>
      </c>
      <c r="R240" t="s">
        <v>75</v>
      </c>
      <c r="T240" t="s">
        <v>895</v>
      </c>
      <c r="U240" s="14">
        <f t="shared" si="38"/>
        <v>4120.05</v>
      </c>
      <c r="V240" s="14">
        <f t="shared" si="39"/>
        <v>2250</v>
      </c>
      <c r="W240" s="10">
        <f>VLOOKUP(Q240,Taxrate!A:B,2,FALSE)</f>
        <v>0.1</v>
      </c>
      <c r="X240" s="14">
        <f t="shared" si="40"/>
        <v>412.00500000000005</v>
      </c>
      <c r="Y240" s="10">
        <f>VLOOKUP(L240,'Discount Rate'!A:B,2,FALSE)</f>
        <v>7.0000000000000007E-2</v>
      </c>
      <c r="Z240" s="14">
        <f t="shared" si="41"/>
        <v>288.40350000000007</v>
      </c>
      <c r="AA240" s="14">
        <f t="shared" si="42"/>
        <v>3419.6415000000002</v>
      </c>
      <c r="AB240" s="14">
        <f t="shared" si="43"/>
        <v>1169.6415000000002</v>
      </c>
    </row>
    <row r="241" spans="1:28" x14ac:dyDescent="0.25">
      <c r="A241" t="s">
        <v>547</v>
      </c>
      <c r="B241" t="s">
        <v>548</v>
      </c>
      <c r="C241" t="s">
        <v>99</v>
      </c>
      <c r="D241" t="s">
        <v>100</v>
      </c>
      <c r="E241" s="1">
        <v>46357</v>
      </c>
      <c r="F241" s="8">
        <f t="shared" si="33"/>
        <v>2026</v>
      </c>
      <c r="G241" s="1" t="str">
        <f t="shared" si="34"/>
        <v>December</v>
      </c>
      <c r="H241" s="1" t="str">
        <f t="shared" si="35"/>
        <v>Tuesday</v>
      </c>
      <c r="I241" s="2">
        <v>0.68223379629629632</v>
      </c>
      <c r="J241" s="8">
        <f t="shared" si="36"/>
        <v>16</v>
      </c>
      <c r="K241" s="8">
        <f t="shared" si="37"/>
        <v>22</v>
      </c>
      <c r="L241" t="s">
        <v>23</v>
      </c>
      <c r="M241" t="s">
        <v>24</v>
      </c>
      <c r="N241">
        <v>2</v>
      </c>
      <c r="O241" s="14">
        <v>618.02</v>
      </c>
      <c r="P241">
        <f>VLOOKUP(L241,'Product-cost'!A:B,2,FALSE)</f>
        <v>300</v>
      </c>
      <c r="Q241" t="s">
        <v>51</v>
      </c>
      <c r="R241" t="s">
        <v>101</v>
      </c>
      <c r="S241" t="s">
        <v>123</v>
      </c>
      <c r="T241" t="s">
        <v>893</v>
      </c>
      <c r="U241" s="14">
        <f t="shared" si="38"/>
        <v>1236.04</v>
      </c>
      <c r="V241" s="14">
        <f t="shared" si="39"/>
        <v>600</v>
      </c>
      <c r="W241" s="10">
        <f>VLOOKUP(Q241,Taxrate!A:B,2,FALSE)</f>
        <v>7.0000000000000007E-2</v>
      </c>
      <c r="X241" s="14">
        <f t="shared" si="40"/>
        <v>86.522800000000004</v>
      </c>
      <c r="Y241" s="10">
        <f>VLOOKUP(L241,'Discount Rate'!A:B,2,FALSE)</f>
        <v>0.1</v>
      </c>
      <c r="Z241" s="14">
        <f t="shared" si="41"/>
        <v>123.604</v>
      </c>
      <c r="AA241" s="14">
        <f t="shared" si="42"/>
        <v>1025.9132</v>
      </c>
      <c r="AB241" s="14">
        <f t="shared" si="43"/>
        <v>425.91319999999996</v>
      </c>
    </row>
    <row r="242" spans="1:28" x14ac:dyDescent="0.25">
      <c r="A242" t="s">
        <v>549</v>
      </c>
      <c r="B242" t="s">
        <v>550</v>
      </c>
      <c r="C242" t="s">
        <v>21</v>
      </c>
      <c r="D242" t="s">
        <v>22</v>
      </c>
      <c r="E242" s="1">
        <v>45892</v>
      </c>
      <c r="F242" s="8">
        <f t="shared" si="33"/>
        <v>2025</v>
      </c>
      <c r="G242" s="1" t="str">
        <f t="shared" si="34"/>
        <v>August</v>
      </c>
      <c r="H242" s="1" t="str">
        <f t="shared" si="35"/>
        <v>Saturday</v>
      </c>
      <c r="I242" s="2">
        <v>0.54966435185185181</v>
      </c>
      <c r="J242" s="8">
        <f t="shared" si="36"/>
        <v>13</v>
      </c>
      <c r="K242" s="8">
        <f t="shared" si="37"/>
        <v>11</v>
      </c>
      <c r="L242" t="s">
        <v>73</v>
      </c>
      <c r="M242" t="s">
        <v>74</v>
      </c>
      <c r="N242">
        <v>12</v>
      </c>
      <c r="O242" s="14">
        <v>147.38</v>
      </c>
      <c r="P242">
        <f>VLOOKUP(L242,'Product-cost'!A:B,2,FALSE)</f>
        <v>50</v>
      </c>
      <c r="Q242" t="s">
        <v>39</v>
      </c>
      <c r="R242" t="s">
        <v>26</v>
      </c>
      <c r="S242" t="s">
        <v>41</v>
      </c>
      <c r="T242" t="s">
        <v>893</v>
      </c>
      <c r="U242" s="14">
        <f t="shared" si="38"/>
        <v>1768.56</v>
      </c>
      <c r="V242" s="14">
        <f t="shared" si="39"/>
        <v>600</v>
      </c>
      <c r="W242" s="10">
        <f>VLOOKUP(Q242,Taxrate!A:B,2,FALSE)</f>
        <v>0.15</v>
      </c>
      <c r="X242" s="14">
        <f t="shared" si="40"/>
        <v>265.28399999999999</v>
      </c>
      <c r="Y242" s="10">
        <f>VLOOKUP(L242,'Discount Rate'!A:B,2,FALSE)</f>
        <v>0.03</v>
      </c>
      <c r="Z242" s="14">
        <f t="shared" si="41"/>
        <v>53.056799999999996</v>
      </c>
      <c r="AA242" s="14">
        <f t="shared" si="42"/>
        <v>1450.2191999999998</v>
      </c>
      <c r="AB242" s="14">
        <f t="shared" si="43"/>
        <v>850.21919999999977</v>
      </c>
    </row>
    <row r="243" spans="1:28" x14ac:dyDescent="0.25">
      <c r="A243" t="s">
        <v>551</v>
      </c>
      <c r="B243" t="s">
        <v>552</v>
      </c>
      <c r="C243" t="s">
        <v>99</v>
      </c>
      <c r="D243" t="s">
        <v>100</v>
      </c>
      <c r="E243" s="1">
        <v>45445</v>
      </c>
      <c r="F243" s="8">
        <f t="shared" si="33"/>
        <v>2024</v>
      </c>
      <c r="G243" s="1" t="str">
        <f t="shared" si="34"/>
        <v>June</v>
      </c>
      <c r="H243" s="1" t="str">
        <f t="shared" si="35"/>
        <v>Sunday</v>
      </c>
      <c r="I243" s="2">
        <v>0.86607638888888894</v>
      </c>
      <c r="J243" s="8">
        <f t="shared" si="36"/>
        <v>20</v>
      </c>
      <c r="K243" s="8">
        <f t="shared" si="37"/>
        <v>47</v>
      </c>
      <c r="L243" t="s">
        <v>73</v>
      </c>
      <c r="M243" t="s">
        <v>74</v>
      </c>
      <c r="N243">
        <v>3</v>
      </c>
      <c r="O243" s="14">
        <v>130.09</v>
      </c>
      <c r="P243">
        <f>VLOOKUP(L243,'Product-cost'!A:B,2,FALSE)</f>
        <v>50</v>
      </c>
      <c r="Q243" t="s">
        <v>55</v>
      </c>
      <c r="R243" t="s">
        <v>101</v>
      </c>
      <c r="T243" t="s">
        <v>895</v>
      </c>
      <c r="U243" s="14">
        <f t="shared" si="38"/>
        <v>390.27</v>
      </c>
      <c r="V243" s="14">
        <f t="shared" si="39"/>
        <v>150</v>
      </c>
      <c r="W243" s="10">
        <f>VLOOKUP(Q243,Taxrate!A:B,2,FALSE)</f>
        <v>0.12</v>
      </c>
      <c r="X243" s="14">
        <f t="shared" si="40"/>
        <v>46.832399999999993</v>
      </c>
      <c r="Y243" s="10">
        <f>VLOOKUP(L243,'Discount Rate'!A:B,2,FALSE)</f>
        <v>0.03</v>
      </c>
      <c r="Z243" s="14">
        <f t="shared" si="41"/>
        <v>11.708099999999998</v>
      </c>
      <c r="AA243" s="14">
        <f t="shared" si="42"/>
        <v>331.72949999999997</v>
      </c>
      <c r="AB243" s="14">
        <f t="shared" si="43"/>
        <v>181.72949999999997</v>
      </c>
    </row>
    <row r="244" spans="1:28" x14ac:dyDescent="0.25">
      <c r="A244" t="s">
        <v>553</v>
      </c>
      <c r="B244" t="s">
        <v>141</v>
      </c>
      <c r="C244" t="s">
        <v>58</v>
      </c>
      <c r="D244" t="s">
        <v>59</v>
      </c>
      <c r="E244" s="1">
        <v>45368</v>
      </c>
      <c r="F244" s="8">
        <f t="shared" si="33"/>
        <v>2024</v>
      </c>
      <c r="G244" s="1" t="str">
        <f t="shared" si="34"/>
        <v>March</v>
      </c>
      <c r="H244" s="1" t="str">
        <f t="shared" si="35"/>
        <v>Sunday</v>
      </c>
      <c r="I244" s="2">
        <v>0.66226851851851853</v>
      </c>
      <c r="J244" s="8">
        <f t="shared" si="36"/>
        <v>15</v>
      </c>
      <c r="K244" s="8">
        <f t="shared" si="37"/>
        <v>53</v>
      </c>
      <c r="L244" t="s">
        <v>15</v>
      </c>
      <c r="M244" t="s">
        <v>16</v>
      </c>
      <c r="N244">
        <v>6</v>
      </c>
      <c r="O244" s="14">
        <v>980.15</v>
      </c>
      <c r="P244">
        <f>VLOOKUP(L244,'Product-cost'!A:B,2,FALSE)</f>
        <v>600</v>
      </c>
      <c r="Q244" t="s">
        <v>55</v>
      </c>
      <c r="R244" t="s">
        <v>222</v>
      </c>
      <c r="S244" t="s">
        <v>34</v>
      </c>
      <c r="T244" t="s">
        <v>893</v>
      </c>
      <c r="U244" s="14">
        <f t="shared" si="38"/>
        <v>5880.9</v>
      </c>
      <c r="V244" s="14">
        <f t="shared" si="39"/>
        <v>3600</v>
      </c>
      <c r="W244" s="10">
        <f>VLOOKUP(Q244,Taxrate!A:B,2,FALSE)</f>
        <v>0.12</v>
      </c>
      <c r="X244" s="14">
        <f t="shared" si="40"/>
        <v>705.70799999999997</v>
      </c>
      <c r="Y244" s="10">
        <f>VLOOKUP(L244,'Discount Rate'!A:B,2,FALSE)</f>
        <v>0.05</v>
      </c>
      <c r="Z244" s="14">
        <f t="shared" si="41"/>
        <v>294.04500000000002</v>
      </c>
      <c r="AA244" s="14">
        <f t="shared" si="42"/>
        <v>4881.1469999999999</v>
      </c>
      <c r="AB244" s="14">
        <f t="shared" si="43"/>
        <v>1281.1469999999999</v>
      </c>
    </row>
    <row r="245" spans="1:28" x14ac:dyDescent="0.25">
      <c r="A245" t="s">
        <v>554</v>
      </c>
      <c r="B245" t="s">
        <v>71</v>
      </c>
      <c r="C245" t="s">
        <v>165</v>
      </c>
      <c r="D245" t="s">
        <v>38</v>
      </c>
      <c r="E245" s="1">
        <v>45420</v>
      </c>
      <c r="F245" s="8">
        <f t="shared" si="33"/>
        <v>2024</v>
      </c>
      <c r="G245" s="1" t="str">
        <f t="shared" si="34"/>
        <v>May</v>
      </c>
      <c r="H245" s="1" t="str">
        <f t="shared" si="35"/>
        <v>Wednesday</v>
      </c>
      <c r="I245" s="2">
        <v>0.5718981481481481</v>
      </c>
      <c r="J245" s="8">
        <f t="shared" si="36"/>
        <v>13</v>
      </c>
      <c r="K245" s="8">
        <f t="shared" si="37"/>
        <v>43</v>
      </c>
      <c r="L245" t="s">
        <v>73</v>
      </c>
      <c r="M245" t="s">
        <v>74</v>
      </c>
      <c r="N245">
        <v>8</v>
      </c>
      <c r="O245" s="14">
        <v>148.58000000000001</v>
      </c>
      <c r="P245">
        <f>VLOOKUP(L245,'Product-cost'!A:B,2,FALSE)</f>
        <v>50</v>
      </c>
      <c r="Q245" t="s">
        <v>25</v>
      </c>
      <c r="R245" t="s">
        <v>84</v>
      </c>
      <c r="S245" t="s">
        <v>123</v>
      </c>
      <c r="T245" t="s">
        <v>893</v>
      </c>
      <c r="U245" s="14">
        <f t="shared" si="38"/>
        <v>1188.6400000000001</v>
      </c>
      <c r="V245" s="14">
        <f t="shared" si="39"/>
        <v>400</v>
      </c>
      <c r="W245" s="10">
        <f>VLOOKUP(Q245,Taxrate!A:B,2,FALSE)</f>
        <v>0.1</v>
      </c>
      <c r="X245" s="14">
        <f t="shared" si="40"/>
        <v>118.86400000000002</v>
      </c>
      <c r="Y245" s="10">
        <f>VLOOKUP(L245,'Discount Rate'!A:B,2,FALSE)</f>
        <v>0.03</v>
      </c>
      <c r="Z245" s="14">
        <f t="shared" si="41"/>
        <v>35.659199999999998</v>
      </c>
      <c r="AA245" s="14">
        <f t="shared" si="42"/>
        <v>1034.1168</v>
      </c>
      <c r="AB245" s="14">
        <f t="shared" si="43"/>
        <v>634.11680000000001</v>
      </c>
    </row>
    <row r="246" spans="1:28" x14ac:dyDescent="0.25">
      <c r="A246" t="s">
        <v>555</v>
      </c>
      <c r="B246" t="s">
        <v>556</v>
      </c>
      <c r="C246" t="s">
        <v>66</v>
      </c>
      <c r="D246" t="s">
        <v>67</v>
      </c>
      <c r="E246" s="1">
        <v>45394</v>
      </c>
      <c r="F246" s="8">
        <f t="shared" si="33"/>
        <v>2024</v>
      </c>
      <c r="G246" s="1" t="str">
        <f t="shared" si="34"/>
        <v>April</v>
      </c>
      <c r="H246" s="1" t="str">
        <f t="shared" si="35"/>
        <v>Friday</v>
      </c>
      <c r="I246" s="2">
        <v>0.55603009259259262</v>
      </c>
      <c r="J246" s="8">
        <f t="shared" si="36"/>
        <v>13</v>
      </c>
      <c r="K246" s="8">
        <f t="shared" si="37"/>
        <v>20</v>
      </c>
      <c r="L246" t="s">
        <v>30</v>
      </c>
      <c r="M246" t="s">
        <v>31</v>
      </c>
      <c r="N246">
        <v>10</v>
      </c>
      <c r="O246" s="14">
        <v>374.25</v>
      </c>
      <c r="P246">
        <f>VLOOKUP(L246,'Product-cost'!A:B,2,FALSE)</f>
        <v>200</v>
      </c>
      <c r="Q246" t="s">
        <v>39</v>
      </c>
      <c r="R246" t="s">
        <v>173</v>
      </c>
      <c r="S246" t="s">
        <v>158</v>
      </c>
      <c r="T246" t="s">
        <v>893</v>
      </c>
      <c r="U246" s="14">
        <f t="shared" si="38"/>
        <v>3742.5</v>
      </c>
      <c r="V246" s="14">
        <f t="shared" si="39"/>
        <v>2000</v>
      </c>
      <c r="W246" s="10">
        <f>VLOOKUP(Q246,Taxrate!A:B,2,FALSE)</f>
        <v>0.15</v>
      </c>
      <c r="X246" s="14">
        <f t="shared" si="40"/>
        <v>561.375</v>
      </c>
      <c r="Y246" s="10">
        <f>VLOOKUP(L246,'Discount Rate'!A:B,2,FALSE)</f>
        <v>0.08</v>
      </c>
      <c r="Z246" s="14">
        <f t="shared" si="41"/>
        <v>299.40000000000003</v>
      </c>
      <c r="AA246" s="14">
        <f t="shared" si="42"/>
        <v>2881.7249999999999</v>
      </c>
      <c r="AB246" s="14">
        <f t="shared" si="43"/>
        <v>881.72499999999991</v>
      </c>
    </row>
    <row r="247" spans="1:28" x14ac:dyDescent="0.25">
      <c r="A247" t="s">
        <v>557</v>
      </c>
      <c r="B247" t="s">
        <v>558</v>
      </c>
      <c r="C247" t="s">
        <v>129</v>
      </c>
      <c r="D247" t="s">
        <v>22</v>
      </c>
      <c r="E247" s="1">
        <v>45407</v>
      </c>
      <c r="F247" s="8">
        <f t="shared" si="33"/>
        <v>2024</v>
      </c>
      <c r="G247" s="1" t="str">
        <f t="shared" si="34"/>
        <v>April</v>
      </c>
      <c r="H247" s="1" t="str">
        <f t="shared" si="35"/>
        <v>Thursday</v>
      </c>
      <c r="I247" s="2">
        <v>0.82276620370370368</v>
      </c>
      <c r="J247" s="8">
        <f t="shared" si="36"/>
        <v>19</v>
      </c>
      <c r="K247" s="8">
        <f t="shared" si="37"/>
        <v>44</v>
      </c>
      <c r="L247" t="s">
        <v>15</v>
      </c>
      <c r="M247" t="s">
        <v>16</v>
      </c>
      <c r="N247">
        <v>7</v>
      </c>
      <c r="O247" s="14">
        <v>500</v>
      </c>
      <c r="P247">
        <f>VLOOKUP(L247,'Product-cost'!A:B,2,FALSE)</f>
        <v>600</v>
      </c>
      <c r="Q247" t="s">
        <v>51</v>
      </c>
      <c r="R247" t="s">
        <v>26</v>
      </c>
      <c r="S247" t="s">
        <v>132</v>
      </c>
      <c r="T247" t="s">
        <v>893</v>
      </c>
      <c r="U247" s="14">
        <f t="shared" si="38"/>
        <v>3500</v>
      </c>
      <c r="V247" s="14">
        <f t="shared" si="39"/>
        <v>4200</v>
      </c>
      <c r="W247" s="10">
        <f>VLOOKUP(Q247,Taxrate!A:B,2,FALSE)</f>
        <v>7.0000000000000007E-2</v>
      </c>
      <c r="X247" s="14">
        <f t="shared" si="40"/>
        <v>245.00000000000003</v>
      </c>
      <c r="Y247" s="10">
        <f>VLOOKUP(L247,'Discount Rate'!A:B,2,FALSE)</f>
        <v>0.05</v>
      </c>
      <c r="Z247" s="14">
        <f t="shared" si="41"/>
        <v>175</v>
      </c>
      <c r="AA247" s="14">
        <f t="shared" si="42"/>
        <v>3080</v>
      </c>
      <c r="AB247" s="14">
        <f t="shared" si="43"/>
        <v>-1120</v>
      </c>
    </row>
    <row r="248" spans="1:28" x14ac:dyDescent="0.25">
      <c r="A248" t="s">
        <v>559</v>
      </c>
      <c r="B248" t="s">
        <v>560</v>
      </c>
      <c r="C248" t="s">
        <v>129</v>
      </c>
      <c r="D248" t="s">
        <v>22</v>
      </c>
      <c r="E248" s="1">
        <v>46090</v>
      </c>
      <c r="F248" s="8">
        <f t="shared" si="33"/>
        <v>2026</v>
      </c>
      <c r="G248" s="1" t="str">
        <f t="shared" si="34"/>
        <v>March</v>
      </c>
      <c r="H248" s="1" t="str">
        <f t="shared" si="35"/>
        <v>Monday</v>
      </c>
      <c r="I248" s="2">
        <v>0.50989583333333333</v>
      </c>
      <c r="J248" s="8">
        <f t="shared" si="36"/>
        <v>12</v>
      </c>
      <c r="K248" s="8">
        <f t="shared" si="37"/>
        <v>14</v>
      </c>
      <c r="L248" t="s">
        <v>30</v>
      </c>
      <c r="M248" t="s">
        <v>31</v>
      </c>
      <c r="N248">
        <v>3</v>
      </c>
      <c r="O248" s="14">
        <v>487.7</v>
      </c>
      <c r="P248">
        <f>VLOOKUP(L248,'Product-cost'!A:B,2,FALSE)</f>
        <v>200</v>
      </c>
      <c r="Q248" t="s">
        <v>51</v>
      </c>
      <c r="R248" t="s">
        <v>52</v>
      </c>
      <c r="S248" t="s">
        <v>96</v>
      </c>
      <c r="T248" t="s">
        <v>893</v>
      </c>
      <c r="U248" s="14">
        <f t="shared" si="38"/>
        <v>1463.1</v>
      </c>
      <c r="V248" s="14">
        <f t="shared" si="39"/>
        <v>600</v>
      </c>
      <c r="W248" s="10">
        <f>VLOOKUP(Q248,Taxrate!A:B,2,FALSE)</f>
        <v>7.0000000000000007E-2</v>
      </c>
      <c r="X248" s="14">
        <f t="shared" si="40"/>
        <v>102.417</v>
      </c>
      <c r="Y248" s="10">
        <f>VLOOKUP(L248,'Discount Rate'!A:B,2,FALSE)</f>
        <v>0.08</v>
      </c>
      <c r="Z248" s="14">
        <f t="shared" si="41"/>
        <v>117.048</v>
      </c>
      <c r="AA248" s="14">
        <f t="shared" si="42"/>
        <v>1243.635</v>
      </c>
      <c r="AB248" s="14">
        <f t="shared" si="43"/>
        <v>643.63499999999999</v>
      </c>
    </row>
    <row r="249" spans="1:28" x14ac:dyDescent="0.25">
      <c r="A249" t="s">
        <v>561</v>
      </c>
      <c r="B249" t="s">
        <v>562</v>
      </c>
      <c r="C249" t="s">
        <v>139</v>
      </c>
      <c r="D249" t="s">
        <v>22</v>
      </c>
      <c r="E249" s="1">
        <v>46355</v>
      </c>
      <c r="F249" s="8">
        <f t="shared" si="33"/>
        <v>2026</v>
      </c>
      <c r="G249" s="1" t="str">
        <f t="shared" si="34"/>
        <v>November</v>
      </c>
      <c r="H249" s="1" t="str">
        <f t="shared" si="35"/>
        <v>Sunday</v>
      </c>
      <c r="I249" s="2">
        <v>0.7350578703703704</v>
      </c>
      <c r="J249" s="8">
        <f t="shared" si="36"/>
        <v>17</v>
      </c>
      <c r="K249" s="8">
        <f t="shared" si="37"/>
        <v>38</v>
      </c>
      <c r="L249" t="s">
        <v>46</v>
      </c>
      <c r="M249" t="s">
        <v>47</v>
      </c>
      <c r="N249">
        <v>11</v>
      </c>
      <c r="O249" s="14">
        <v>210.06</v>
      </c>
      <c r="P249">
        <f>VLOOKUP(L249,'Product-cost'!A:B,2,FALSE)</f>
        <v>150</v>
      </c>
      <c r="Q249" t="s">
        <v>25</v>
      </c>
      <c r="R249" t="s">
        <v>143</v>
      </c>
      <c r="T249" t="s">
        <v>895</v>
      </c>
      <c r="U249" s="14">
        <f t="shared" si="38"/>
        <v>2310.66</v>
      </c>
      <c r="V249" s="14">
        <f t="shared" si="39"/>
        <v>1650</v>
      </c>
      <c r="W249" s="10">
        <f>VLOOKUP(Q249,Taxrate!A:B,2,FALSE)</f>
        <v>0.1</v>
      </c>
      <c r="X249" s="14">
        <f t="shared" si="40"/>
        <v>231.066</v>
      </c>
      <c r="Y249" s="10">
        <f>VLOOKUP(L249,'Discount Rate'!A:B,2,FALSE)</f>
        <v>7.0000000000000007E-2</v>
      </c>
      <c r="Z249" s="14">
        <f t="shared" si="41"/>
        <v>161.74620000000002</v>
      </c>
      <c r="AA249" s="14">
        <f t="shared" si="42"/>
        <v>1917.8478</v>
      </c>
      <c r="AB249" s="14">
        <f t="shared" si="43"/>
        <v>267.84780000000001</v>
      </c>
    </row>
    <row r="250" spans="1:28" x14ac:dyDescent="0.25">
      <c r="A250" t="s">
        <v>563</v>
      </c>
      <c r="B250" t="s">
        <v>117</v>
      </c>
      <c r="C250" t="s">
        <v>126</v>
      </c>
      <c r="D250" t="s">
        <v>22</v>
      </c>
      <c r="E250" s="1">
        <v>45424</v>
      </c>
      <c r="F250" s="8">
        <f t="shared" si="33"/>
        <v>2024</v>
      </c>
      <c r="G250" s="1" t="str">
        <f t="shared" si="34"/>
        <v>May</v>
      </c>
      <c r="H250" s="1" t="str">
        <f t="shared" si="35"/>
        <v>Sunday</v>
      </c>
      <c r="I250" s="2">
        <v>0.64861111111111114</v>
      </c>
      <c r="J250" s="8">
        <f t="shared" si="36"/>
        <v>15</v>
      </c>
      <c r="K250" s="8">
        <f t="shared" si="37"/>
        <v>34</v>
      </c>
      <c r="L250" t="s">
        <v>73</v>
      </c>
      <c r="M250" t="s">
        <v>74</v>
      </c>
      <c r="N250">
        <v>8</v>
      </c>
      <c r="O250" s="14">
        <v>177.44</v>
      </c>
      <c r="P250">
        <f>VLOOKUP(L250,'Product-cost'!A:B,2,FALSE)</f>
        <v>50</v>
      </c>
      <c r="Q250" t="s">
        <v>25</v>
      </c>
      <c r="R250" t="s">
        <v>26</v>
      </c>
      <c r="S250" t="s">
        <v>69</v>
      </c>
      <c r="T250" t="s">
        <v>894</v>
      </c>
      <c r="U250" s="14">
        <f t="shared" si="38"/>
        <v>1419.52</v>
      </c>
      <c r="V250" s="14">
        <f t="shared" si="39"/>
        <v>400</v>
      </c>
      <c r="W250" s="10">
        <f>VLOOKUP(Q250,Taxrate!A:B,2,FALSE)</f>
        <v>0.1</v>
      </c>
      <c r="X250" s="14">
        <f t="shared" si="40"/>
        <v>141.952</v>
      </c>
      <c r="Y250" s="10">
        <f>VLOOKUP(L250,'Discount Rate'!A:B,2,FALSE)</f>
        <v>0.03</v>
      </c>
      <c r="Z250" s="14">
        <f t="shared" si="41"/>
        <v>42.585599999999999</v>
      </c>
      <c r="AA250" s="14">
        <f t="shared" si="42"/>
        <v>1234.9823999999999</v>
      </c>
      <c r="AB250" s="14">
        <f t="shared" si="43"/>
        <v>834.98239999999987</v>
      </c>
    </row>
    <row r="251" spans="1:28" x14ac:dyDescent="0.25">
      <c r="A251" t="s">
        <v>564</v>
      </c>
      <c r="B251" t="s">
        <v>565</v>
      </c>
      <c r="C251" t="s">
        <v>155</v>
      </c>
      <c r="D251" t="s">
        <v>156</v>
      </c>
      <c r="E251" s="1">
        <v>45378</v>
      </c>
      <c r="F251" s="8">
        <f t="shared" si="33"/>
        <v>2024</v>
      </c>
      <c r="G251" s="1" t="str">
        <f t="shared" si="34"/>
        <v>March</v>
      </c>
      <c r="H251" s="1" t="str">
        <f t="shared" si="35"/>
        <v>Wednesday</v>
      </c>
      <c r="I251" s="2">
        <v>0.39421296296296299</v>
      </c>
      <c r="J251" s="8">
        <f t="shared" si="36"/>
        <v>9</v>
      </c>
      <c r="K251" s="8">
        <f t="shared" si="37"/>
        <v>27</v>
      </c>
      <c r="L251" t="s">
        <v>23</v>
      </c>
      <c r="M251" t="s">
        <v>24</v>
      </c>
      <c r="N251">
        <v>13</v>
      </c>
      <c r="O251" s="14">
        <v>722.27</v>
      </c>
      <c r="P251">
        <f>VLOOKUP(L251,'Product-cost'!A:B,2,FALSE)</f>
        <v>300</v>
      </c>
      <c r="Q251" t="s">
        <v>25</v>
      </c>
      <c r="R251" t="s">
        <v>157</v>
      </c>
      <c r="S251" t="s">
        <v>213</v>
      </c>
      <c r="T251" t="s">
        <v>894</v>
      </c>
      <c r="U251" s="14">
        <f t="shared" si="38"/>
        <v>9389.51</v>
      </c>
      <c r="V251" s="14">
        <f t="shared" si="39"/>
        <v>3900</v>
      </c>
      <c r="W251" s="10">
        <f>VLOOKUP(Q251,Taxrate!A:B,2,FALSE)</f>
        <v>0.1</v>
      </c>
      <c r="X251" s="14">
        <f t="shared" si="40"/>
        <v>938.95100000000002</v>
      </c>
      <c r="Y251" s="10">
        <f>VLOOKUP(L251,'Discount Rate'!A:B,2,FALSE)</f>
        <v>0.1</v>
      </c>
      <c r="Z251" s="14">
        <f t="shared" si="41"/>
        <v>938.95100000000002</v>
      </c>
      <c r="AA251" s="14">
        <f t="shared" si="42"/>
        <v>7511.6080000000011</v>
      </c>
      <c r="AB251" s="14">
        <f t="shared" si="43"/>
        <v>3611.6080000000011</v>
      </c>
    </row>
    <row r="252" spans="1:28" x14ac:dyDescent="0.25">
      <c r="A252" t="s">
        <v>566</v>
      </c>
      <c r="B252" t="s">
        <v>567</v>
      </c>
      <c r="C252" t="s">
        <v>139</v>
      </c>
      <c r="D252" t="s">
        <v>22</v>
      </c>
      <c r="E252" s="1">
        <v>45603</v>
      </c>
      <c r="F252" s="8">
        <f t="shared" si="33"/>
        <v>2024</v>
      </c>
      <c r="G252" s="1" t="str">
        <f t="shared" si="34"/>
        <v>November</v>
      </c>
      <c r="H252" s="1" t="str">
        <f t="shared" si="35"/>
        <v>Thursday</v>
      </c>
      <c r="I252" s="2">
        <v>0.4722337962962963</v>
      </c>
      <c r="J252" s="8">
        <f t="shared" si="36"/>
        <v>11</v>
      </c>
      <c r="K252" s="8">
        <f t="shared" si="37"/>
        <v>20</v>
      </c>
      <c r="L252" t="s">
        <v>23</v>
      </c>
      <c r="M252" t="s">
        <v>24</v>
      </c>
      <c r="N252">
        <v>7</v>
      </c>
      <c r="O252" s="14">
        <v>535.78</v>
      </c>
      <c r="P252">
        <f>VLOOKUP(L252,'Product-cost'!A:B,2,FALSE)</f>
        <v>300</v>
      </c>
      <c r="Q252" t="s">
        <v>51</v>
      </c>
      <c r="R252" t="s">
        <v>26</v>
      </c>
      <c r="S252" t="s">
        <v>18</v>
      </c>
      <c r="T252" t="s">
        <v>893</v>
      </c>
      <c r="U252" s="14">
        <f t="shared" si="38"/>
        <v>3750.46</v>
      </c>
      <c r="V252" s="14">
        <f t="shared" si="39"/>
        <v>2100</v>
      </c>
      <c r="W252" s="10">
        <f>VLOOKUP(Q252,Taxrate!A:B,2,FALSE)</f>
        <v>7.0000000000000007E-2</v>
      </c>
      <c r="X252" s="14">
        <f t="shared" si="40"/>
        <v>262.53220000000005</v>
      </c>
      <c r="Y252" s="10">
        <f>VLOOKUP(L252,'Discount Rate'!A:B,2,FALSE)</f>
        <v>0.1</v>
      </c>
      <c r="Z252" s="14">
        <f t="shared" si="41"/>
        <v>375.04600000000005</v>
      </c>
      <c r="AA252" s="14">
        <f t="shared" si="42"/>
        <v>3112.8818000000001</v>
      </c>
      <c r="AB252" s="14">
        <f t="shared" si="43"/>
        <v>1012.8818000000001</v>
      </c>
    </row>
    <row r="253" spans="1:28" x14ac:dyDescent="0.25">
      <c r="A253" t="s">
        <v>568</v>
      </c>
      <c r="B253" t="s">
        <v>569</v>
      </c>
      <c r="C253" t="s">
        <v>99</v>
      </c>
      <c r="D253" t="s">
        <v>100</v>
      </c>
      <c r="E253" s="1">
        <v>45947</v>
      </c>
      <c r="F253" s="8">
        <f t="shared" si="33"/>
        <v>2025</v>
      </c>
      <c r="G253" s="1" t="str">
        <f t="shared" si="34"/>
        <v>October</v>
      </c>
      <c r="H253" s="1" t="str">
        <f t="shared" si="35"/>
        <v>Friday</v>
      </c>
      <c r="I253" s="2">
        <v>0.65613425925925928</v>
      </c>
      <c r="J253" s="8">
        <f t="shared" si="36"/>
        <v>15</v>
      </c>
      <c r="K253" s="8">
        <f t="shared" si="37"/>
        <v>44</v>
      </c>
      <c r="L253" t="s">
        <v>15</v>
      </c>
      <c r="M253" t="s">
        <v>16</v>
      </c>
      <c r="N253">
        <v>14</v>
      </c>
      <c r="O253" s="14">
        <v>873.04</v>
      </c>
      <c r="P253">
        <f>VLOOKUP(L253,'Product-cost'!A:B,2,FALSE)</f>
        <v>600</v>
      </c>
      <c r="Q253" t="s">
        <v>25</v>
      </c>
      <c r="R253" t="s">
        <v>101</v>
      </c>
      <c r="S253" t="s">
        <v>69</v>
      </c>
      <c r="T253" t="s">
        <v>894</v>
      </c>
      <c r="U253" s="14">
        <f t="shared" si="38"/>
        <v>12222.56</v>
      </c>
      <c r="V253" s="14">
        <f t="shared" si="39"/>
        <v>8400</v>
      </c>
      <c r="W253" s="10">
        <f>VLOOKUP(Q253,Taxrate!A:B,2,FALSE)</f>
        <v>0.1</v>
      </c>
      <c r="X253" s="14">
        <f t="shared" si="40"/>
        <v>1222.2560000000001</v>
      </c>
      <c r="Y253" s="10">
        <f>VLOOKUP(L253,'Discount Rate'!A:B,2,FALSE)</f>
        <v>0.05</v>
      </c>
      <c r="Z253" s="14">
        <f t="shared" si="41"/>
        <v>611.12800000000004</v>
      </c>
      <c r="AA253" s="14">
        <f t="shared" si="42"/>
        <v>10389.175999999999</v>
      </c>
      <c r="AB253" s="14">
        <f t="shared" si="43"/>
        <v>1989.1759999999995</v>
      </c>
    </row>
    <row r="254" spans="1:28" x14ac:dyDescent="0.25">
      <c r="A254" t="s">
        <v>570</v>
      </c>
      <c r="B254" t="s">
        <v>571</v>
      </c>
      <c r="C254" t="s">
        <v>13</v>
      </c>
      <c r="D254" t="s">
        <v>14</v>
      </c>
      <c r="E254" s="1">
        <v>45715</v>
      </c>
      <c r="F254" s="8">
        <f t="shared" si="33"/>
        <v>2025</v>
      </c>
      <c r="G254" s="1" t="str">
        <f t="shared" si="34"/>
        <v>February</v>
      </c>
      <c r="H254" s="1" t="str">
        <f t="shared" si="35"/>
        <v>Thursday</v>
      </c>
      <c r="I254" s="2">
        <v>0.49099537037037039</v>
      </c>
      <c r="J254" s="8">
        <f t="shared" si="36"/>
        <v>11</v>
      </c>
      <c r="K254" s="8">
        <f t="shared" si="37"/>
        <v>47</v>
      </c>
      <c r="L254" t="s">
        <v>23</v>
      </c>
      <c r="M254" t="s">
        <v>24</v>
      </c>
      <c r="N254">
        <v>13</v>
      </c>
      <c r="O254" s="14">
        <v>500</v>
      </c>
      <c r="P254">
        <f>VLOOKUP(L254,'Product-cost'!A:B,2,FALSE)</f>
        <v>300</v>
      </c>
      <c r="Q254" t="s">
        <v>32</v>
      </c>
      <c r="R254" t="s">
        <v>17</v>
      </c>
      <c r="S254" t="s">
        <v>123</v>
      </c>
      <c r="T254" t="s">
        <v>893</v>
      </c>
      <c r="U254" s="14">
        <f t="shared" si="38"/>
        <v>6500</v>
      </c>
      <c r="V254" s="14">
        <f t="shared" si="39"/>
        <v>3900</v>
      </c>
      <c r="W254" s="10">
        <f>VLOOKUP(Q254,Taxrate!A:B,2,FALSE)</f>
        <v>0.2</v>
      </c>
      <c r="X254" s="14">
        <f t="shared" si="40"/>
        <v>1300</v>
      </c>
      <c r="Y254" s="10">
        <f>VLOOKUP(L254,'Discount Rate'!A:B,2,FALSE)</f>
        <v>0.1</v>
      </c>
      <c r="Z254" s="14">
        <f t="shared" si="41"/>
        <v>650</v>
      </c>
      <c r="AA254" s="14">
        <f t="shared" si="42"/>
        <v>4550</v>
      </c>
      <c r="AB254" s="14">
        <f t="shared" si="43"/>
        <v>650</v>
      </c>
    </row>
    <row r="255" spans="1:28" x14ac:dyDescent="0.25">
      <c r="A255" t="s">
        <v>572</v>
      </c>
      <c r="B255" t="s">
        <v>302</v>
      </c>
      <c r="C255" t="s">
        <v>126</v>
      </c>
      <c r="D255" t="s">
        <v>22</v>
      </c>
      <c r="E255" s="1">
        <v>45328</v>
      </c>
      <c r="F255" s="8">
        <f t="shared" si="33"/>
        <v>2024</v>
      </c>
      <c r="G255" s="1" t="str">
        <f t="shared" si="34"/>
        <v>February</v>
      </c>
      <c r="H255" s="1" t="str">
        <f t="shared" si="35"/>
        <v>Tuesday</v>
      </c>
      <c r="I255" s="2">
        <v>0.76333333333333331</v>
      </c>
      <c r="J255" s="8">
        <f t="shared" si="36"/>
        <v>18</v>
      </c>
      <c r="K255" s="8">
        <f t="shared" si="37"/>
        <v>19</v>
      </c>
      <c r="L255" t="s">
        <v>30</v>
      </c>
      <c r="M255" t="s">
        <v>31</v>
      </c>
      <c r="N255">
        <v>14</v>
      </c>
      <c r="O255" s="14">
        <v>514.65</v>
      </c>
      <c r="P255">
        <f>VLOOKUP(L255,'Product-cost'!A:B,2,FALSE)</f>
        <v>200</v>
      </c>
      <c r="Q255" t="s">
        <v>32</v>
      </c>
      <c r="R255" t="s">
        <v>26</v>
      </c>
      <c r="T255" t="s">
        <v>895</v>
      </c>
      <c r="U255" s="14">
        <f t="shared" si="38"/>
        <v>7205.0999999999995</v>
      </c>
      <c r="V255" s="14">
        <f t="shared" si="39"/>
        <v>2800</v>
      </c>
      <c r="W255" s="10">
        <f>VLOOKUP(Q255,Taxrate!A:B,2,FALSE)</f>
        <v>0.2</v>
      </c>
      <c r="X255" s="14">
        <f t="shared" si="40"/>
        <v>1441.02</v>
      </c>
      <c r="Y255" s="10">
        <f>VLOOKUP(L255,'Discount Rate'!A:B,2,FALSE)</f>
        <v>0.08</v>
      </c>
      <c r="Z255" s="14">
        <f t="shared" si="41"/>
        <v>576.40800000000002</v>
      </c>
      <c r="AA255" s="14">
        <f t="shared" si="42"/>
        <v>5187.6719999999996</v>
      </c>
      <c r="AB255" s="14">
        <f t="shared" si="43"/>
        <v>2387.6719999999996</v>
      </c>
    </row>
    <row r="256" spans="1:28" x14ac:dyDescent="0.25">
      <c r="A256" t="s">
        <v>573</v>
      </c>
      <c r="B256" t="s">
        <v>574</v>
      </c>
      <c r="C256" t="s">
        <v>165</v>
      </c>
      <c r="D256" t="s">
        <v>38</v>
      </c>
      <c r="E256" s="1">
        <v>46306</v>
      </c>
      <c r="F256" s="8">
        <f t="shared" si="33"/>
        <v>2026</v>
      </c>
      <c r="G256" s="1" t="str">
        <f t="shared" si="34"/>
        <v>October</v>
      </c>
      <c r="H256" s="1" t="str">
        <f t="shared" si="35"/>
        <v>Sunday</v>
      </c>
      <c r="I256" s="2">
        <v>0.57575231481481481</v>
      </c>
      <c r="J256" s="8">
        <f t="shared" si="36"/>
        <v>13</v>
      </c>
      <c r="K256" s="8">
        <f t="shared" si="37"/>
        <v>49</v>
      </c>
      <c r="L256" t="s">
        <v>23</v>
      </c>
      <c r="M256" t="s">
        <v>24</v>
      </c>
      <c r="N256">
        <v>2</v>
      </c>
      <c r="O256" s="14">
        <v>581.53</v>
      </c>
      <c r="P256">
        <f>VLOOKUP(L256,'Product-cost'!A:B,2,FALSE)</f>
        <v>300</v>
      </c>
      <c r="Q256" t="s">
        <v>51</v>
      </c>
      <c r="R256" t="s">
        <v>40</v>
      </c>
      <c r="T256" t="s">
        <v>895</v>
      </c>
      <c r="U256" s="14">
        <f t="shared" si="38"/>
        <v>1163.06</v>
      </c>
      <c r="V256" s="14">
        <f t="shared" si="39"/>
        <v>600</v>
      </c>
      <c r="W256" s="10">
        <f>VLOOKUP(Q256,Taxrate!A:B,2,FALSE)</f>
        <v>7.0000000000000007E-2</v>
      </c>
      <c r="X256" s="14">
        <f t="shared" si="40"/>
        <v>81.414200000000008</v>
      </c>
      <c r="Y256" s="10">
        <f>VLOOKUP(L256,'Discount Rate'!A:B,2,FALSE)</f>
        <v>0.1</v>
      </c>
      <c r="Z256" s="14">
        <f t="shared" si="41"/>
        <v>116.306</v>
      </c>
      <c r="AA256" s="14">
        <f t="shared" si="42"/>
        <v>965.33979999999997</v>
      </c>
      <c r="AB256" s="14">
        <f t="shared" si="43"/>
        <v>365.33979999999997</v>
      </c>
    </row>
    <row r="257" spans="1:28" x14ac:dyDescent="0.25">
      <c r="A257" t="s">
        <v>575</v>
      </c>
      <c r="B257" t="s">
        <v>576</v>
      </c>
      <c r="C257" t="s">
        <v>37</v>
      </c>
      <c r="D257" t="s">
        <v>38</v>
      </c>
      <c r="E257" s="1">
        <v>45322</v>
      </c>
      <c r="F257" s="8">
        <f t="shared" si="33"/>
        <v>2024</v>
      </c>
      <c r="G257" s="1" t="str">
        <f t="shared" si="34"/>
        <v>January</v>
      </c>
      <c r="H257" s="1" t="str">
        <f t="shared" si="35"/>
        <v>Wednesday</v>
      </c>
      <c r="I257" s="2">
        <v>0.80858796296296298</v>
      </c>
      <c r="J257" s="8">
        <f t="shared" si="36"/>
        <v>19</v>
      </c>
      <c r="K257" s="8">
        <f t="shared" si="37"/>
        <v>24</v>
      </c>
      <c r="L257" t="s">
        <v>23</v>
      </c>
      <c r="M257" t="s">
        <v>24</v>
      </c>
      <c r="N257">
        <v>1</v>
      </c>
      <c r="O257" s="14">
        <v>611.25</v>
      </c>
      <c r="P257">
        <f>VLOOKUP(L257,'Product-cost'!A:B,2,FALSE)</f>
        <v>300</v>
      </c>
      <c r="Q257" t="s">
        <v>25</v>
      </c>
      <c r="R257" t="s">
        <v>40</v>
      </c>
      <c r="S257" t="s">
        <v>27</v>
      </c>
      <c r="T257" t="s">
        <v>893</v>
      </c>
      <c r="U257" s="14">
        <f t="shared" si="38"/>
        <v>611.25</v>
      </c>
      <c r="V257" s="14">
        <f t="shared" si="39"/>
        <v>300</v>
      </c>
      <c r="W257" s="10">
        <f>VLOOKUP(Q257,Taxrate!A:B,2,FALSE)</f>
        <v>0.1</v>
      </c>
      <c r="X257" s="14">
        <f t="shared" si="40"/>
        <v>61.125</v>
      </c>
      <c r="Y257" s="10">
        <f>VLOOKUP(L257,'Discount Rate'!A:B,2,FALSE)</f>
        <v>0.1</v>
      </c>
      <c r="Z257" s="14">
        <f t="shared" si="41"/>
        <v>61.125</v>
      </c>
      <c r="AA257" s="14">
        <f t="shared" si="42"/>
        <v>489</v>
      </c>
      <c r="AB257" s="14">
        <f t="shared" si="43"/>
        <v>189</v>
      </c>
    </row>
    <row r="258" spans="1:28" x14ac:dyDescent="0.25">
      <c r="A258" t="s">
        <v>577</v>
      </c>
      <c r="B258" t="s">
        <v>578</v>
      </c>
      <c r="C258" t="s">
        <v>63</v>
      </c>
      <c r="D258" t="s">
        <v>14</v>
      </c>
      <c r="E258" s="1">
        <v>45068</v>
      </c>
      <c r="F258" s="8">
        <f t="shared" si="33"/>
        <v>2023</v>
      </c>
      <c r="G258" s="1" t="str">
        <f t="shared" si="34"/>
        <v>May</v>
      </c>
      <c r="H258" s="1" t="str">
        <f t="shared" si="35"/>
        <v>Monday</v>
      </c>
      <c r="I258" s="2">
        <v>0.63810185185185186</v>
      </c>
      <c r="J258" s="8">
        <f t="shared" si="36"/>
        <v>15</v>
      </c>
      <c r="K258" s="8">
        <f t="shared" si="37"/>
        <v>18</v>
      </c>
      <c r="L258" t="s">
        <v>30</v>
      </c>
      <c r="M258" t="s">
        <v>31</v>
      </c>
      <c r="N258">
        <v>8</v>
      </c>
      <c r="O258" s="14">
        <v>500</v>
      </c>
      <c r="P258">
        <f>VLOOKUP(L258,'Product-cost'!A:B,2,FALSE)</f>
        <v>200</v>
      </c>
      <c r="Q258" t="s">
        <v>55</v>
      </c>
      <c r="R258" t="s">
        <v>33</v>
      </c>
      <c r="S258" t="s">
        <v>27</v>
      </c>
      <c r="T258" t="s">
        <v>893</v>
      </c>
      <c r="U258" s="14">
        <f t="shared" si="38"/>
        <v>4000</v>
      </c>
      <c r="V258" s="14">
        <f t="shared" si="39"/>
        <v>1600</v>
      </c>
      <c r="W258" s="10">
        <f>VLOOKUP(Q258,Taxrate!A:B,2,FALSE)</f>
        <v>0.12</v>
      </c>
      <c r="X258" s="14">
        <f t="shared" si="40"/>
        <v>480</v>
      </c>
      <c r="Y258" s="10">
        <f>VLOOKUP(L258,'Discount Rate'!A:B,2,FALSE)</f>
        <v>0.08</v>
      </c>
      <c r="Z258" s="14">
        <f t="shared" si="41"/>
        <v>320</v>
      </c>
      <c r="AA258" s="14">
        <f t="shared" si="42"/>
        <v>3200</v>
      </c>
      <c r="AB258" s="14">
        <f t="shared" si="43"/>
        <v>1600</v>
      </c>
    </row>
    <row r="259" spans="1:28" x14ac:dyDescent="0.25">
      <c r="A259" t="s">
        <v>579</v>
      </c>
      <c r="B259" t="s">
        <v>580</v>
      </c>
      <c r="C259" t="s">
        <v>63</v>
      </c>
      <c r="D259" t="s">
        <v>14</v>
      </c>
      <c r="E259" s="1">
        <v>45315</v>
      </c>
      <c r="F259" s="8">
        <f t="shared" ref="F259:F322" si="44">YEAR(E259)</f>
        <v>2024</v>
      </c>
      <c r="G259" s="1" t="str">
        <f t="shared" ref="G259:G322" si="45">TEXT(E259,"mmmm")</f>
        <v>January</v>
      </c>
      <c r="H259" s="1" t="str">
        <f t="shared" ref="H259:H322" si="46">TEXT(E259, "dddd")</f>
        <v>Wednesday</v>
      </c>
      <c r="I259" s="2">
        <v>0.85774305555555552</v>
      </c>
      <c r="J259" s="8">
        <f t="shared" ref="J259:J322" si="47">HOUR(I259)</f>
        <v>20</v>
      </c>
      <c r="K259" s="8">
        <f t="shared" ref="K259:K322" si="48">MINUTE(I259)</f>
        <v>35</v>
      </c>
      <c r="L259" t="s">
        <v>46</v>
      </c>
      <c r="M259" t="s">
        <v>47</v>
      </c>
      <c r="N259">
        <v>7</v>
      </c>
      <c r="O259" s="14">
        <v>188.15</v>
      </c>
      <c r="P259">
        <f>VLOOKUP(L259,'Product-cost'!A:B,2,FALSE)</f>
        <v>150</v>
      </c>
      <c r="Q259" t="s">
        <v>55</v>
      </c>
      <c r="R259" t="s">
        <v>17</v>
      </c>
      <c r="S259" t="s">
        <v>115</v>
      </c>
      <c r="T259" t="s">
        <v>893</v>
      </c>
      <c r="U259" s="14">
        <f t="shared" ref="U259:U322" si="49">O259*N259</f>
        <v>1317.05</v>
      </c>
      <c r="V259" s="14">
        <f t="shared" ref="V259:V322" si="50">P259*N259</f>
        <v>1050</v>
      </c>
      <c r="W259" s="10">
        <f>VLOOKUP(Q259,Taxrate!A:B,2,FALSE)</f>
        <v>0.12</v>
      </c>
      <c r="X259" s="14">
        <f t="shared" ref="X259:X322" si="51">U259*W259</f>
        <v>158.04599999999999</v>
      </c>
      <c r="Y259" s="10">
        <f>VLOOKUP(L259,'Discount Rate'!A:B,2,FALSE)</f>
        <v>7.0000000000000007E-2</v>
      </c>
      <c r="Z259" s="14">
        <f t="shared" ref="Z259:Z322" si="52">Y259*U259</f>
        <v>92.1935</v>
      </c>
      <c r="AA259" s="14">
        <f t="shared" ref="AA259:AA322" si="53">U259-X259-Z259</f>
        <v>1066.8104999999998</v>
      </c>
      <c r="AB259" s="14">
        <f t="shared" ref="AB259:AB322" si="54">AA259-V259</f>
        <v>16.81049999999982</v>
      </c>
    </row>
    <row r="260" spans="1:28" x14ac:dyDescent="0.25">
      <c r="A260" t="s">
        <v>581</v>
      </c>
      <c r="B260" t="s">
        <v>582</v>
      </c>
      <c r="C260" t="s">
        <v>44</v>
      </c>
      <c r="D260" t="s">
        <v>45</v>
      </c>
      <c r="E260" s="1">
        <v>46211</v>
      </c>
      <c r="F260" s="8">
        <f t="shared" si="44"/>
        <v>2026</v>
      </c>
      <c r="G260" s="1" t="str">
        <f t="shared" si="45"/>
        <v>July</v>
      </c>
      <c r="H260" s="1" t="str">
        <f t="shared" si="46"/>
        <v>Wednesday</v>
      </c>
      <c r="I260" s="2">
        <v>0.77190972222222221</v>
      </c>
      <c r="J260" s="8">
        <f t="shared" si="47"/>
        <v>18</v>
      </c>
      <c r="K260" s="8">
        <f t="shared" si="48"/>
        <v>31</v>
      </c>
      <c r="L260" t="s">
        <v>46</v>
      </c>
      <c r="M260" t="s">
        <v>47</v>
      </c>
      <c r="N260">
        <v>5</v>
      </c>
      <c r="O260" s="14">
        <v>500</v>
      </c>
      <c r="P260">
        <f>VLOOKUP(L260,'Product-cost'!A:B,2,FALSE)</f>
        <v>150</v>
      </c>
      <c r="Q260" t="s">
        <v>32</v>
      </c>
      <c r="R260" t="s">
        <v>87</v>
      </c>
      <c r="S260" t="s">
        <v>69</v>
      </c>
      <c r="T260" t="s">
        <v>894</v>
      </c>
      <c r="U260" s="14">
        <f t="shared" si="49"/>
        <v>2500</v>
      </c>
      <c r="V260" s="14">
        <f t="shared" si="50"/>
        <v>750</v>
      </c>
      <c r="W260" s="10">
        <f>VLOOKUP(Q260,Taxrate!A:B,2,FALSE)</f>
        <v>0.2</v>
      </c>
      <c r="X260" s="14">
        <f t="shared" si="51"/>
        <v>500</v>
      </c>
      <c r="Y260" s="10">
        <f>VLOOKUP(L260,'Discount Rate'!A:B,2,FALSE)</f>
        <v>7.0000000000000007E-2</v>
      </c>
      <c r="Z260" s="14">
        <f t="shared" si="52"/>
        <v>175.00000000000003</v>
      </c>
      <c r="AA260" s="14">
        <f t="shared" si="53"/>
        <v>1825</v>
      </c>
      <c r="AB260" s="14">
        <f t="shared" si="54"/>
        <v>1075</v>
      </c>
    </row>
    <row r="261" spans="1:28" x14ac:dyDescent="0.25">
      <c r="A261" t="s">
        <v>583</v>
      </c>
      <c r="B261" t="s">
        <v>584</v>
      </c>
      <c r="C261" t="s">
        <v>44</v>
      </c>
      <c r="D261" t="s">
        <v>45</v>
      </c>
      <c r="E261" s="1">
        <v>46069</v>
      </c>
      <c r="F261" s="8">
        <f t="shared" si="44"/>
        <v>2026</v>
      </c>
      <c r="G261" s="1" t="str">
        <f t="shared" si="45"/>
        <v>February</v>
      </c>
      <c r="H261" s="1" t="str">
        <f t="shared" si="46"/>
        <v>Monday</v>
      </c>
      <c r="I261" s="2">
        <v>0.89155092592592589</v>
      </c>
      <c r="J261" s="8">
        <f t="shared" si="47"/>
        <v>21</v>
      </c>
      <c r="K261" s="8">
        <f t="shared" si="48"/>
        <v>23</v>
      </c>
      <c r="L261" t="s">
        <v>15</v>
      </c>
      <c r="M261" t="s">
        <v>16</v>
      </c>
      <c r="N261">
        <v>5</v>
      </c>
      <c r="O261" s="14">
        <v>1167.1500000000001</v>
      </c>
      <c r="P261">
        <f>VLOOKUP(L261,'Product-cost'!A:B,2,FALSE)</f>
        <v>600</v>
      </c>
      <c r="Q261" t="s">
        <v>25</v>
      </c>
      <c r="R261" t="s">
        <v>48</v>
      </c>
      <c r="S261" t="s">
        <v>34</v>
      </c>
      <c r="T261" t="s">
        <v>893</v>
      </c>
      <c r="U261" s="14">
        <f t="shared" si="49"/>
        <v>5835.75</v>
      </c>
      <c r="V261" s="14">
        <f t="shared" si="50"/>
        <v>3000</v>
      </c>
      <c r="W261" s="10">
        <f>VLOOKUP(Q261,Taxrate!A:B,2,FALSE)</f>
        <v>0.1</v>
      </c>
      <c r="X261" s="14">
        <f t="shared" si="51"/>
        <v>583.57500000000005</v>
      </c>
      <c r="Y261" s="10">
        <f>VLOOKUP(L261,'Discount Rate'!A:B,2,FALSE)</f>
        <v>0.05</v>
      </c>
      <c r="Z261" s="14">
        <f t="shared" si="52"/>
        <v>291.78750000000002</v>
      </c>
      <c r="AA261" s="14">
        <f t="shared" si="53"/>
        <v>4960.3874999999998</v>
      </c>
      <c r="AB261" s="14">
        <f t="shared" si="54"/>
        <v>1960.3874999999998</v>
      </c>
    </row>
    <row r="262" spans="1:28" x14ac:dyDescent="0.25">
      <c r="A262" t="s">
        <v>585</v>
      </c>
      <c r="B262" t="s">
        <v>548</v>
      </c>
      <c r="C262" t="s">
        <v>21</v>
      </c>
      <c r="D262" t="s">
        <v>22</v>
      </c>
      <c r="E262" s="1">
        <v>46070</v>
      </c>
      <c r="F262" s="8">
        <f t="shared" si="44"/>
        <v>2026</v>
      </c>
      <c r="G262" s="1" t="str">
        <f t="shared" si="45"/>
        <v>February</v>
      </c>
      <c r="H262" s="1" t="str">
        <f t="shared" si="46"/>
        <v>Tuesday</v>
      </c>
      <c r="I262" s="2">
        <v>0.79640046296296296</v>
      </c>
      <c r="J262" s="8">
        <f t="shared" si="47"/>
        <v>19</v>
      </c>
      <c r="K262" s="8">
        <f t="shared" si="48"/>
        <v>6</v>
      </c>
      <c r="L262" t="s">
        <v>46</v>
      </c>
      <c r="M262" t="s">
        <v>47</v>
      </c>
      <c r="N262">
        <v>8</v>
      </c>
      <c r="O262" s="14">
        <v>222.98</v>
      </c>
      <c r="P262">
        <f>VLOOKUP(L262,'Product-cost'!A:B,2,FALSE)</f>
        <v>150</v>
      </c>
      <c r="Q262" t="s">
        <v>51</v>
      </c>
      <c r="R262" t="s">
        <v>52</v>
      </c>
      <c r="S262" t="s">
        <v>123</v>
      </c>
      <c r="T262" t="s">
        <v>893</v>
      </c>
      <c r="U262" s="14">
        <f t="shared" si="49"/>
        <v>1783.84</v>
      </c>
      <c r="V262" s="14">
        <f t="shared" si="50"/>
        <v>1200</v>
      </c>
      <c r="W262" s="10">
        <f>VLOOKUP(Q262,Taxrate!A:B,2,FALSE)</f>
        <v>7.0000000000000007E-2</v>
      </c>
      <c r="X262" s="14">
        <f t="shared" si="51"/>
        <v>124.86880000000001</v>
      </c>
      <c r="Y262" s="10">
        <f>VLOOKUP(L262,'Discount Rate'!A:B,2,FALSE)</f>
        <v>7.0000000000000007E-2</v>
      </c>
      <c r="Z262" s="14">
        <f t="shared" si="52"/>
        <v>124.86880000000001</v>
      </c>
      <c r="AA262" s="14">
        <f t="shared" si="53"/>
        <v>1534.1024</v>
      </c>
      <c r="AB262" s="14">
        <f t="shared" si="54"/>
        <v>334.10239999999999</v>
      </c>
    </row>
    <row r="263" spans="1:28" x14ac:dyDescent="0.25">
      <c r="A263" t="s">
        <v>586</v>
      </c>
      <c r="B263" t="s">
        <v>587</v>
      </c>
      <c r="C263" t="s">
        <v>83</v>
      </c>
      <c r="D263" t="s">
        <v>38</v>
      </c>
      <c r="E263" s="1">
        <v>45591</v>
      </c>
      <c r="F263" s="8">
        <f t="shared" si="44"/>
        <v>2024</v>
      </c>
      <c r="G263" s="1" t="str">
        <f t="shared" si="45"/>
        <v>October</v>
      </c>
      <c r="H263" s="1" t="str">
        <f t="shared" si="46"/>
        <v>Saturday</v>
      </c>
      <c r="I263" s="2">
        <v>0.61712962962962958</v>
      </c>
      <c r="J263" s="8">
        <f t="shared" si="47"/>
        <v>14</v>
      </c>
      <c r="K263" s="8">
        <f t="shared" si="48"/>
        <v>48</v>
      </c>
      <c r="L263" t="s">
        <v>73</v>
      </c>
      <c r="M263" t="s">
        <v>74</v>
      </c>
      <c r="N263">
        <v>6</v>
      </c>
      <c r="O263" s="14">
        <v>162.24</v>
      </c>
      <c r="P263">
        <f>VLOOKUP(L263,'Product-cost'!A:B,2,FALSE)</f>
        <v>50</v>
      </c>
      <c r="Q263" t="s">
        <v>32</v>
      </c>
      <c r="R263" t="s">
        <v>40</v>
      </c>
      <c r="S263" t="s">
        <v>27</v>
      </c>
      <c r="T263" t="s">
        <v>893</v>
      </c>
      <c r="U263" s="14">
        <f t="shared" si="49"/>
        <v>973.44</v>
      </c>
      <c r="V263" s="14">
        <f t="shared" si="50"/>
        <v>300</v>
      </c>
      <c r="W263" s="10">
        <f>VLOOKUP(Q263,Taxrate!A:B,2,FALSE)</f>
        <v>0.2</v>
      </c>
      <c r="X263" s="14">
        <f t="shared" si="51"/>
        <v>194.68800000000002</v>
      </c>
      <c r="Y263" s="10">
        <f>VLOOKUP(L263,'Discount Rate'!A:B,2,FALSE)</f>
        <v>0.03</v>
      </c>
      <c r="Z263" s="14">
        <f t="shared" si="52"/>
        <v>29.203199999999999</v>
      </c>
      <c r="AA263" s="14">
        <f t="shared" si="53"/>
        <v>749.54880000000003</v>
      </c>
      <c r="AB263" s="14">
        <f t="shared" si="54"/>
        <v>449.54880000000003</v>
      </c>
    </row>
    <row r="264" spans="1:28" x14ac:dyDescent="0.25">
      <c r="A264" t="s">
        <v>588</v>
      </c>
      <c r="B264" t="s">
        <v>589</v>
      </c>
      <c r="C264" t="s">
        <v>44</v>
      </c>
      <c r="D264" t="s">
        <v>45</v>
      </c>
      <c r="E264" s="1">
        <v>46147</v>
      </c>
      <c r="F264" s="8">
        <f t="shared" si="44"/>
        <v>2026</v>
      </c>
      <c r="G264" s="1" t="str">
        <f t="shared" si="45"/>
        <v>May</v>
      </c>
      <c r="H264" s="1" t="str">
        <f t="shared" si="46"/>
        <v>Tuesday</v>
      </c>
      <c r="I264" s="2">
        <v>0.67287037037037034</v>
      </c>
      <c r="J264" s="8">
        <f t="shared" si="47"/>
        <v>16</v>
      </c>
      <c r="K264" s="8">
        <f t="shared" si="48"/>
        <v>8</v>
      </c>
      <c r="L264" t="s">
        <v>30</v>
      </c>
      <c r="M264" t="s">
        <v>31</v>
      </c>
      <c r="N264">
        <v>7</v>
      </c>
      <c r="O264" s="14">
        <v>362.96</v>
      </c>
      <c r="P264">
        <f>VLOOKUP(L264,'Product-cost'!A:B,2,FALSE)</f>
        <v>200</v>
      </c>
      <c r="Q264" t="s">
        <v>25</v>
      </c>
      <c r="R264" t="s">
        <v>48</v>
      </c>
      <c r="T264" t="s">
        <v>895</v>
      </c>
      <c r="U264" s="14">
        <f t="shared" si="49"/>
        <v>2540.7199999999998</v>
      </c>
      <c r="V264" s="14">
        <f t="shared" si="50"/>
        <v>1400</v>
      </c>
      <c r="W264" s="10">
        <f>VLOOKUP(Q264,Taxrate!A:B,2,FALSE)</f>
        <v>0.1</v>
      </c>
      <c r="X264" s="14">
        <f t="shared" si="51"/>
        <v>254.072</v>
      </c>
      <c r="Y264" s="10">
        <f>VLOOKUP(L264,'Discount Rate'!A:B,2,FALSE)</f>
        <v>0.08</v>
      </c>
      <c r="Z264" s="14">
        <f t="shared" si="52"/>
        <v>203.2576</v>
      </c>
      <c r="AA264" s="14">
        <f t="shared" si="53"/>
        <v>2083.3903999999998</v>
      </c>
      <c r="AB264" s="14">
        <f t="shared" si="54"/>
        <v>683.39039999999977</v>
      </c>
    </row>
    <row r="265" spans="1:28" x14ac:dyDescent="0.25">
      <c r="A265" t="s">
        <v>590</v>
      </c>
      <c r="B265" t="s">
        <v>591</v>
      </c>
      <c r="C265" t="s">
        <v>129</v>
      </c>
      <c r="D265" t="s">
        <v>22</v>
      </c>
      <c r="E265" s="1">
        <v>45004</v>
      </c>
      <c r="F265" s="8">
        <f t="shared" si="44"/>
        <v>2023</v>
      </c>
      <c r="G265" s="1" t="str">
        <f t="shared" si="45"/>
        <v>March</v>
      </c>
      <c r="H265" s="1" t="str">
        <f t="shared" si="46"/>
        <v>Sunday</v>
      </c>
      <c r="I265" s="2">
        <v>0.54800925925925925</v>
      </c>
      <c r="J265" s="8">
        <f t="shared" si="47"/>
        <v>13</v>
      </c>
      <c r="K265" s="8">
        <f t="shared" si="48"/>
        <v>9</v>
      </c>
      <c r="L265" t="s">
        <v>30</v>
      </c>
      <c r="M265" t="s">
        <v>31</v>
      </c>
      <c r="N265">
        <v>10</v>
      </c>
      <c r="O265" s="14">
        <v>371.25</v>
      </c>
      <c r="P265">
        <f>VLOOKUP(L265,'Product-cost'!A:B,2,FALSE)</f>
        <v>200</v>
      </c>
      <c r="Q265" t="s">
        <v>25</v>
      </c>
      <c r="R265" t="s">
        <v>52</v>
      </c>
      <c r="S265" t="s">
        <v>230</v>
      </c>
      <c r="T265" t="s">
        <v>893</v>
      </c>
      <c r="U265" s="14">
        <f t="shared" si="49"/>
        <v>3712.5</v>
      </c>
      <c r="V265" s="14">
        <f t="shared" si="50"/>
        <v>2000</v>
      </c>
      <c r="W265" s="10">
        <f>VLOOKUP(Q265,Taxrate!A:B,2,FALSE)</f>
        <v>0.1</v>
      </c>
      <c r="X265" s="14">
        <f t="shared" si="51"/>
        <v>371.25</v>
      </c>
      <c r="Y265" s="10">
        <f>VLOOKUP(L265,'Discount Rate'!A:B,2,FALSE)</f>
        <v>0.08</v>
      </c>
      <c r="Z265" s="14">
        <f t="shared" si="52"/>
        <v>297</v>
      </c>
      <c r="AA265" s="14">
        <f t="shared" si="53"/>
        <v>3044.25</v>
      </c>
      <c r="AB265" s="14">
        <f t="shared" si="54"/>
        <v>1044.25</v>
      </c>
    </row>
    <row r="266" spans="1:28" x14ac:dyDescent="0.25">
      <c r="A266" t="s">
        <v>592</v>
      </c>
      <c r="B266" t="s">
        <v>593</v>
      </c>
      <c r="C266" t="s">
        <v>165</v>
      </c>
      <c r="D266" t="s">
        <v>38</v>
      </c>
      <c r="E266" s="1">
        <v>46117</v>
      </c>
      <c r="F266" s="8">
        <f t="shared" si="44"/>
        <v>2026</v>
      </c>
      <c r="G266" s="1" t="str">
        <f t="shared" si="45"/>
        <v>April</v>
      </c>
      <c r="H266" s="1" t="str">
        <f t="shared" si="46"/>
        <v>Sunday</v>
      </c>
      <c r="I266" s="2">
        <v>0.36586805555555557</v>
      </c>
      <c r="J266" s="8">
        <f t="shared" si="47"/>
        <v>8</v>
      </c>
      <c r="K266" s="8">
        <f t="shared" si="48"/>
        <v>46</v>
      </c>
      <c r="L266" t="s">
        <v>46</v>
      </c>
      <c r="M266" t="s">
        <v>47</v>
      </c>
      <c r="N266">
        <v>13</v>
      </c>
      <c r="O266" s="14">
        <v>500</v>
      </c>
      <c r="P266">
        <f>VLOOKUP(L266,'Product-cost'!A:B,2,FALSE)</f>
        <v>150</v>
      </c>
      <c r="Q266" t="s">
        <v>25</v>
      </c>
      <c r="R266" t="s">
        <v>84</v>
      </c>
      <c r="S266" t="s">
        <v>34</v>
      </c>
      <c r="T266" t="s">
        <v>893</v>
      </c>
      <c r="U266" s="14">
        <f t="shared" si="49"/>
        <v>6500</v>
      </c>
      <c r="V266" s="14">
        <f t="shared" si="50"/>
        <v>1950</v>
      </c>
      <c r="W266" s="10">
        <f>VLOOKUP(Q266,Taxrate!A:B,2,FALSE)</f>
        <v>0.1</v>
      </c>
      <c r="X266" s="14">
        <f t="shared" si="51"/>
        <v>650</v>
      </c>
      <c r="Y266" s="10">
        <f>VLOOKUP(L266,'Discount Rate'!A:B,2,FALSE)</f>
        <v>7.0000000000000007E-2</v>
      </c>
      <c r="Z266" s="14">
        <f t="shared" si="52"/>
        <v>455.00000000000006</v>
      </c>
      <c r="AA266" s="14">
        <f t="shared" si="53"/>
        <v>5395</v>
      </c>
      <c r="AB266" s="14">
        <f t="shared" si="54"/>
        <v>3445</v>
      </c>
    </row>
    <row r="267" spans="1:28" x14ac:dyDescent="0.25">
      <c r="A267" t="s">
        <v>594</v>
      </c>
      <c r="B267" t="s">
        <v>595</v>
      </c>
      <c r="C267" t="s">
        <v>386</v>
      </c>
      <c r="D267" t="s">
        <v>45</v>
      </c>
      <c r="E267" s="1">
        <v>46221</v>
      </c>
      <c r="F267" s="8">
        <f t="shared" si="44"/>
        <v>2026</v>
      </c>
      <c r="G267" s="1" t="str">
        <f t="shared" si="45"/>
        <v>July</v>
      </c>
      <c r="H267" s="1" t="str">
        <f t="shared" si="46"/>
        <v>Saturday</v>
      </c>
      <c r="I267" s="2">
        <v>0.34690972222222222</v>
      </c>
      <c r="J267" s="8">
        <f t="shared" si="47"/>
        <v>8</v>
      </c>
      <c r="K267" s="8">
        <f t="shared" si="48"/>
        <v>19</v>
      </c>
      <c r="L267" t="s">
        <v>15</v>
      </c>
      <c r="M267" t="s">
        <v>16</v>
      </c>
      <c r="N267">
        <v>10</v>
      </c>
      <c r="O267" s="14">
        <v>1051.2</v>
      </c>
      <c r="P267">
        <f>VLOOKUP(L267,'Product-cost'!A:B,2,FALSE)</f>
        <v>600</v>
      </c>
      <c r="Q267" t="s">
        <v>32</v>
      </c>
      <c r="R267" t="s">
        <v>87</v>
      </c>
      <c r="S267" t="s">
        <v>88</v>
      </c>
      <c r="T267" t="s">
        <v>893</v>
      </c>
      <c r="U267" s="14">
        <f t="shared" si="49"/>
        <v>10512</v>
      </c>
      <c r="V267" s="14">
        <f t="shared" si="50"/>
        <v>6000</v>
      </c>
      <c r="W267" s="10">
        <f>VLOOKUP(Q267,Taxrate!A:B,2,FALSE)</f>
        <v>0.2</v>
      </c>
      <c r="X267" s="14">
        <f t="shared" si="51"/>
        <v>2102.4</v>
      </c>
      <c r="Y267" s="10">
        <f>VLOOKUP(L267,'Discount Rate'!A:B,2,FALSE)</f>
        <v>0.05</v>
      </c>
      <c r="Z267" s="14">
        <f t="shared" si="52"/>
        <v>525.6</v>
      </c>
      <c r="AA267" s="14">
        <f t="shared" si="53"/>
        <v>7884</v>
      </c>
      <c r="AB267" s="14">
        <f t="shared" si="54"/>
        <v>1884</v>
      </c>
    </row>
    <row r="268" spans="1:28" x14ac:dyDescent="0.25">
      <c r="A268" t="s">
        <v>596</v>
      </c>
      <c r="B268" t="s">
        <v>597</v>
      </c>
      <c r="C268" t="s">
        <v>118</v>
      </c>
      <c r="D268" t="s">
        <v>59</v>
      </c>
      <c r="E268" s="1">
        <v>45230</v>
      </c>
      <c r="F268" s="8">
        <f t="shared" si="44"/>
        <v>2023</v>
      </c>
      <c r="G268" s="1" t="str">
        <f t="shared" si="45"/>
        <v>October</v>
      </c>
      <c r="H268" s="1" t="str">
        <f t="shared" si="46"/>
        <v>Tuesday</v>
      </c>
      <c r="I268" s="2">
        <v>0.54548611111111112</v>
      </c>
      <c r="J268" s="8">
        <f t="shared" si="47"/>
        <v>13</v>
      </c>
      <c r="K268" s="8">
        <f t="shared" si="48"/>
        <v>5</v>
      </c>
      <c r="L268" t="s">
        <v>46</v>
      </c>
      <c r="M268" t="s">
        <v>47</v>
      </c>
      <c r="N268">
        <v>9</v>
      </c>
      <c r="O268" s="14">
        <v>185.36</v>
      </c>
      <c r="P268">
        <f>VLOOKUP(L268,'Product-cost'!A:B,2,FALSE)</f>
        <v>150</v>
      </c>
      <c r="Q268" t="s">
        <v>55</v>
      </c>
      <c r="R268" t="s">
        <v>60</v>
      </c>
      <c r="S268" t="s">
        <v>96</v>
      </c>
      <c r="T268" t="s">
        <v>893</v>
      </c>
      <c r="U268" s="14">
        <f t="shared" si="49"/>
        <v>1668.2400000000002</v>
      </c>
      <c r="V268" s="14">
        <f t="shared" si="50"/>
        <v>1350</v>
      </c>
      <c r="W268" s="10">
        <f>VLOOKUP(Q268,Taxrate!A:B,2,FALSE)</f>
        <v>0.12</v>
      </c>
      <c r="X268" s="14">
        <f t="shared" si="51"/>
        <v>200.18880000000001</v>
      </c>
      <c r="Y268" s="10">
        <f>VLOOKUP(L268,'Discount Rate'!A:B,2,FALSE)</f>
        <v>7.0000000000000007E-2</v>
      </c>
      <c r="Z268" s="14">
        <f t="shared" si="52"/>
        <v>116.77680000000002</v>
      </c>
      <c r="AA268" s="14">
        <f t="shared" si="53"/>
        <v>1351.2744000000002</v>
      </c>
      <c r="AB268" s="14">
        <f t="shared" si="54"/>
        <v>1.2744000000002416</v>
      </c>
    </row>
    <row r="269" spans="1:28" x14ac:dyDescent="0.25">
      <c r="A269" t="s">
        <v>598</v>
      </c>
      <c r="B269" t="s">
        <v>599</v>
      </c>
      <c r="C269" t="s">
        <v>63</v>
      </c>
      <c r="D269" t="s">
        <v>14</v>
      </c>
      <c r="E269" s="1">
        <v>45601</v>
      </c>
      <c r="F269" s="8">
        <f t="shared" si="44"/>
        <v>2024</v>
      </c>
      <c r="G269" s="1" t="str">
        <f t="shared" si="45"/>
        <v>November</v>
      </c>
      <c r="H269" s="1" t="str">
        <f t="shared" si="46"/>
        <v>Tuesday</v>
      </c>
      <c r="I269" s="2">
        <v>0.53434027777777782</v>
      </c>
      <c r="J269" s="8">
        <f t="shared" si="47"/>
        <v>12</v>
      </c>
      <c r="K269" s="8">
        <f t="shared" si="48"/>
        <v>49</v>
      </c>
      <c r="L269" t="s">
        <v>30</v>
      </c>
      <c r="M269" t="s">
        <v>31</v>
      </c>
      <c r="N269">
        <v>10</v>
      </c>
      <c r="O269" s="14">
        <v>500</v>
      </c>
      <c r="P269">
        <f>VLOOKUP(L269,'Product-cost'!A:B,2,FALSE)</f>
        <v>200</v>
      </c>
      <c r="Q269" t="s">
        <v>39</v>
      </c>
      <c r="R269" t="s">
        <v>33</v>
      </c>
      <c r="S269" t="s">
        <v>18</v>
      </c>
      <c r="T269" t="s">
        <v>893</v>
      </c>
      <c r="U269" s="14">
        <f t="shared" si="49"/>
        <v>5000</v>
      </c>
      <c r="V269" s="14">
        <f t="shared" si="50"/>
        <v>2000</v>
      </c>
      <c r="W269" s="10">
        <f>VLOOKUP(Q269,Taxrate!A:B,2,FALSE)</f>
        <v>0.15</v>
      </c>
      <c r="X269" s="14">
        <f t="shared" si="51"/>
        <v>750</v>
      </c>
      <c r="Y269" s="10">
        <f>VLOOKUP(L269,'Discount Rate'!A:B,2,FALSE)</f>
        <v>0.08</v>
      </c>
      <c r="Z269" s="14">
        <f t="shared" si="52"/>
        <v>400</v>
      </c>
      <c r="AA269" s="14">
        <f t="shared" si="53"/>
        <v>3850</v>
      </c>
      <c r="AB269" s="14">
        <f t="shared" si="54"/>
        <v>1850</v>
      </c>
    </row>
    <row r="270" spans="1:28" x14ac:dyDescent="0.25">
      <c r="A270" t="s">
        <v>600</v>
      </c>
      <c r="B270" t="s">
        <v>601</v>
      </c>
      <c r="C270" t="s">
        <v>139</v>
      </c>
      <c r="D270" t="s">
        <v>22</v>
      </c>
      <c r="E270" s="1">
        <v>45829</v>
      </c>
      <c r="F270" s="8">
        <f t="shared" si="44"/>
        <v>2025</v>
      </c>
      <c r="G270" s="1" t="str">
        <f t="shared" si="45"/>
        <v>June</v>
      </c>
      <c r="H270" s="1" t="str">
        <f t="shared" si="46"/>
        <v>Saturday</v>
      </c>
      <c r="I270" s="2">
        <v>0.8848611111111111</v>
      </c>
      <c r="J270" s="8">
        <f t="shared" si="47"/>
        <v>21</v>
      </c>
      <c r="K270" s="8">
        <f t="shared" si="48"/>
        <v>14</v>
      </c>
      <c r="L270" t="s">
        <v>30</v>
      </c>
      <c r="M270" t="s">
        <v>31</v>
      </c>
      <c r="N270">
        <v>12</v>
      </c>
      <c r="O270" s="14">
        <v>342.47</v>
      </c>
      <c r="P270">
        <f>VLOOKUP(L270,'Product-cost'!A:B,2,FALSE)</f>
        <v>200</v>
      </c>
      <c r="Q270" t="s">
        <v>51</v>
      </c>
      <c r="R270" t="s">
        <v>143</v>
      </c>
      <c r="T270" t="s">
        <v>895</v>
      </c>
      <c r="U270" s="14">
        <f t="shared" si="49"/>
        <v>4109.6400000000003</v>
      </c>
      <c r="V270" s="14">
        <f t="shared" si="50"/>
        <v>2400</v>
      </c>
      <c r="W270" s="10">
        <f>VLOOKUP(Q270,Taxrate!A:B,2,FALSE)</f>
        <v>7.0000000000000007E-2</v>
      </c>
      <c r="X270" s="14">
        <f t="shared" si="51"/>
        <v>287.67480000000006</v>
      </c>
      <c r="Y270" s="10">
        <f>VLOOKUP(L270,'Discount Rate'!A:B,2,FALSE)</f>
        <v>0.08</v>
      </c>
      <c r="Z270" s="14">
        <f t="shared" si="52"/>
        <v>328.77120000000002</v>
      </c>
      <c r="AA270" s="14">
        <f t="shared" si="53"/>
        <v>3493.194</v>
      </c>
      <c r="AB270" s="14">
        <f t="shared" si="54"/>
        <v>1093.194</v>
      </c>
    </row>
    <row r="271" spans="1:28" x14ac:dyDescent="0.25">
      <c r="A271" t="s">
        <v>602</v>
      </c>
      <c r="B271" t="s">
        <v>603</v>
      </c>
      <c r="C271" t="s">
        <v>72</v>
      </c>
      <c r="D271" t="s">
        <v>59</v>
      </c>
      <c r="E271" s="1">
        <v>45576</v>
      </c>
      <c r="F271" s="8">
        <f t="shared" si="44"/>
        <v>2024</v>
      </c>
      <c r="G271" s="1" t="str">
        <f t="shared" si="45"/>
        <v>October</v>
      </c>
      <c r="H271" s="1" t="str">
        <f t="shared" si="46"/>
        <v>Friday</v>
      </c>
      <c r="I271" s="2">
        <v>0.81542824074074072</v>
      </c>
      <c r="J271" s="8">
        <f t="shared" si="47"/>
        <v>19</v>
      </c>
      <c r="K271" s="8">
        <f t="shared" si="48"/>
        <v>34</v>
      </c>
      <c r="L271" t="s">
        <v>23</v>
      </c>
      <c r="M271" t="s">
        <v>24</v>
      </c>
      <c r="N271">
        <v>13</v>
      </c>
      <c r="O271" s="14">
        <v>624.91</v>
      </c>
      <c r="P271">
        <f>VLOOKUP(L271,'Product-cost'!A:B,2,FALSE)</f>
        <v>300</v>
      </c>
      <c r="Q271" t="s">
        <v>32</v>
      </c>
      <c r="R271" t="s">
        <v>75</v>
      </c>
      <c r="T271" t="s">
        <v>895</v>
      </c>
      <c r="U271" s="14">
        <f t="shared" si="49"/>
        <v>8123.83</v>
      </c>
      <c r="V271" s="14">
        <f t="shared" si="50"/>
        <v>3900</v>
      </c>
      <c r="W271" s="10">
        <f>VLOOKUP(Q271,Taxrate!A:B,2,FALSE)</f>
        <v>0.2</v>
      </c>
      <c r="X271" s="14">
        <f t="shared" si="51"/>
        <v>1624.7660000000001</v>
      </c>
      <c r="Y271" s="10">
        <f>VLOOKUP(L271,'Discount Rate'!A:B,2,FALSE)</f>
        <v>0.1</v>
      </c>
      <c r="Z271" s="14">
        <f t="shared" si="52"/>
        <v>812.38300000000004</v>
      </c>
      <c r="AA271" s="14">
        <f t="shared" si="53"/>
        <v>5686.6810000000005</v>
      </c>
      <c r="AB271" s="14">
        <f t="shared" si="54"/>
        <v>1786.6810000000005</v>
      </c>
    </row>
    <row r="272" spans="1:28" x14ac:dyDescent="0.25">
      <c r="A272" t="s">
        <v>604</v>
      </c>
      <c r="B272" t="s">
        <v>605</v>
      </c>
      <c r="C272" t="s">
        <v>91</v>
      </c>
      <c r="D272" t="s">
        <v>92</v>
      </c>
      <c r="E272" s="1">
        <v>45035</v>
      </c>
      <c r="F272" s="8">
        <f t="shared" si="44"/>
        <v>2023</v>
      </c>
      <c r="G272" s="1" t="str">
        <f t="shared" si="45"/>
        <v>April</v>
      </c>
      <c r="H272" s="1" t="str">
        <f t="shared" si="46"/>
        <v>Wednesday</v>
      </c>
      <c r="I272" s="2">
        <v>0.75004629629629627</v>
      </c>
      <c r="J272" s="8">
        <f t="shared" si="47"/>
        <v>18</v>
      </c>
      <c r="K272" s="8">
        <f t="shared" si="48"/>
        <v>0</v>
      </c>
      <c r="L272" t="s">
        <v>73</v>
      </c>
      <c r="M272" t="s">
        <v>74</v>
      </c>
      <c r="N272">
        <v>11</v>
      </c>
      <c r="O272" s="14">
        <v>169.51</v>
      </c>
      <c r="P272">
        <f>VLOOKUP(L272,'Product-cost'!A:B,2,FALSE)</f>
        <v>50</v>
      </c>
      <c r="Q272" t="s">
        <v>51</v>
      </c>
      <c r="R272" t="s">
        <v>112</v>
      </c>
      <c r="S272" t="s">
        <v>41</v>
      </c>
      <c r="T272" t="s">
        <v>893</v>
      </c>
      <c r="U272" s="14">
        <f t="shared" si="49"/>
        <v>1864.61</v>
      </c>
      <c r="V272" s="14">
        <f t="shared" si="50"/>
        <v>550</v>
      </c>
      <c r="W272" s="10">
        <f>VLOOKUP(Q272,Taxrate!A:B,2,FALSE)</f>
        <v>7.0000000000000007E-2</v>
      </c>
      <c r="X272" s="14">
        <f t="shared" si="51"/>
        <v>130.52270000000001</v>
      </c>
      <c r="Y272" s="10">
        <f>VLOOKUP(L272,'Discount Rate'!A:B,2,FALSE)</f>
        <v>0.03</v>
      </c>
      <c r="Z272" s="14">
        <f t="shared" si="52"/>
        <v>55.938299999999998</v>
      </c>
      <c r="AA272" s="14">
        <f t="shared" si="53"/>
        <v>1678.1489999999999</v>
      </c>
      <c r="AB272" s="14">
        <f t="shared" si="54"/>
        <v>1128.1489999999999</v>
      </c>
    </row>
    <row r="273" spans="1:28" x14ac:dyDescent="0.25">
      <c r="A273" t="s">
        <v>606</v>
      </c>
      <c r="B273" t="s">
        <v>607</v>
      </c>
      <c r="C273" t="s">
        <v>72</v>
      </c>
      <c r="D273" t="s">
        <v>59</v>
      </c>
      <c r="E273" s="1">
        <v>45308</v>
      </c>
      <c r="F273" s="8">
        <f t="shared" si="44"/>
        <v>2024</v>
      </c>
      <c r="G273" s="1" t="str">
        <f t="shared" si="45"/>
        <v>January</v>
      </c>
      <c r="H273" s="1" t="str">
        <f t="shared" si="46"/>
        <v>Wednesday</v>
      </c>
      <c r="I273" s="2">
        <v>0.68721064814814814</v>
      </c>
      <c r="J273" s="8">
        <f t="shared" si="47"/>
        <v>16</v>
      </c>
      <c r="K273" s="8">
        <f t="shared" si="48"/>
        <v>29</v>
      </c>
      <c r="L273" t="s">
        <v>15</v>
      </c>
      <c r="M273" t="s">
        <v>16</v>
      </c>
      <c r="N273">
        <v>7</v>
      </c>
      <c r="O273" s="14">
        <v>952.46</v>
      </c>
      <c r="P273">
        <f>VLOOKUP(L273,'Product-cost'!A:B,2,FALSE)</f>
        <v>600</v>
      </c>
      <c r="Q273" t="s">
        <v>39</v>
      </c>
      <c r="R273" t="s">
        <v>75</v>
      </c>
      <c r="S273" t="s">
        <v>27</v>
      </c>
      <c r="T273" t="s">
        <v>893</v>
      </c>
      <c r="U273" s="14">
        <f t="shared" si="49"/>
        <v>6667.22</v>
      </c>
      <c r="V273" s="14">
        <f t="shared" si="50"/>
        <v>4200</v>
      </c>
      <c r="W273" s="10">
        <f>VLOOKUP(Q273,Taxrate!A:B,2,FALSE)</f>
        <v>0.15</v>
      </c>
      <c r="X273" s="14">
        <f t="shared" si="51"/>
        <v>1000.083</v>
      </c>
      <c r="Y273" s="10">
        <f>VLOOKUP(L273,'Discount Rate'!A:B,2,FALSE)</f>
        <v>0.05</v>
      </c>
      <c r="Z273" s="14">
        <f t="shared" si="52"/>
        <v>333.36100000000005</v>
      </c>
      <c r="AA273" s="14">
        <f t="shared" si="53"/>
        <v>5333.7760000000007</v>
      </c>
      <c r="AB273" s="14">
        <f t="shared" si="54"/>
        <v>1133.7760000000007</v>
      </c>
    </row>
    <row r="274" spans="1:28" x14ac:dyDescent="0.25">
      <c r="A274" t="s">
        <v>608</v>
      </c>
      <c r="B274" t="s">
        <v>609</v>
      </c>
      <c r="C274" t="s">
        <v>187</v>
      </c>
      <c r="D274" t="s">
        <v>156</v>
      </c>
      <c r="E274" s="1">
        <v>46149</v>
      </c>
      <c r="F274" s="8">
        <f t="shared" si="44"/>
        <v>2026</v>
      </c>
      <c r="G274" s="1" t="str">
        <f t="shared" si="45"/>
        <v>May</v>
      </c>
      <c r="H274" s="1" t="str">
        <f t="shared" si="46"/>
        <v>Thursday</v>
      </c>
      <c r="I274" s="2">
        <v>0.62282407407407403</v>
      </c>
      <c r="J274" s="8">
        <f t="shared" si="47"/>
        <v>14</v>
      </c>
      <c r="K274" s="8">
        <f t="shared" si="48"/>
        <v>56</v>
      </c>
      <c r="L274" t="s">
        <v>15</v>
      </c>
      <c r="M274" t="s">
        <v>16</v>
      </c>
      <c r="N274">
        <v>5</v>
      </c>
      <c r="O274" s="14">
        <v>970.89</v>
      </c>
      <c r="P274">
        <f>VLOOKUP(L274,'Product-cost'!A:B,2,FALSE)</f>
        <v>600</v>
      </c>
      <c r="Q274" t="s">
        <v>39</v>
      </c>
      <c r="R274" t="s">
        <v>252</v>
      </c>
      <c r="S274" t="s">
        <v>41</v>
      </c>
      <c r="T274" t="s">
        <v>893</v>
      </c>
      <c r="U274" s="14">
        <f t="shared" si="49"/>
        <v>4854.45</v>
      </c>
      <c r="V274" s="14">
        <f t="shared" si="50"/>
        <v>3000</v>
      </c>
      <c r="W274" s="10">
        <f>VLOOKUP(Q274,Taxrate!A:B,2,FALSE)</f>
        <v>0.15</v>
      </c>
      <c r="X274" s="14">
        <f t="shared" si="51"/>
        <v>728.1674999999999</v>
      </c>
      <c r="Y274" s="10">
        <f>VLOOKUP(L274,'Discount Rate'!A:B,2,FALSE)</f>
        <v>0.05</v>
      </c>
      <c r="Z274" s="14">
        <f t="shared" si="52"/>
        <v>242.7225</v>
      </c>
      <c r="AA274" s="14">
        <f t="shared" si="53"/>
        <v>3883.5600000000004</v>
      </c>
      <c r="AB274" s="14">
        <f t="shared" si="54"/>
        <v>883.5600000000004</v>
      </c>
    </row>
    <row r="275" spans="1:28" x14ac:dyDescent="0.25">
      <c r="A275" t="s">
        <v>610</v>
      </c>
      <c r="B275" t="s">
        <v>611</v>
      </c>
      <c r="C275" t="s">
        <v>91</v>
      </c>
      <c r="D275" t="s">
        <v>92</v>
      </c>
      <c r="E275" s="1">
        <v>45876</v>
      </c>
      <c r="F275" s="8">
        <f t="shared" si="44"/>
        <v>2025</v>
      </c>
      <c r="G275" s="1" t="str">
        <f t="shared" si="45"/>
        <v>August</v>
      </c>
      <c r="H275" s="1" t="str">
        <f t="shared" si="46"/>
        <v>Thursday</v>
      </c>
      <c r="I275" s="2">
        <v>0.48689814814814814</v>
      </c>
      <c r="J275" s="8">
        <f t="shared" si="47"/>
        <v>11</v>
      </c>
      <c r="K275" s="8">
        <f t="shared" si="48"/>
        <v>41</v>
      </c>
      <c r="L275" t="s">
        <v>46</v>
      </c>
      <c r="M275" t="s">
        <v>47</v>
      </c>
      <c r="N275">
        <v>13</v>
      </c>
      <c r="O275" s="14">
        <v>191.19</v>
      </c>
      <c r="P275">
        <f>VLOOKUP(L275,'Product-cost'!A:B,2,FALSE)</f>
        <v>150</v>
      </c>
      <c r="Q275" t="s">
        <v>55</v>
      </c>
      <c r="R275" t="s">
        <v>112</v>
      </c>
      <c r="S275" t="s">
        <v>102</v>
      </c>
      <c r="T275" t="s">
        <v>895</v>
      </c>
      <c r="U275" s="14">
        <f t="shared" si="49"/>
        <v>2485.4699999999998</v>
      </c>
      <c r="V275" s="14">
        <f t="shared" si="50"/>
        <v>1950</v>
      </c>
      <c r="W275" s="10">
        <f>VLOOKUP(Q275,Taxrate!A:B,2,FALSE)</f>
        <v>0.12</v>
      </c>
      <c r="X275" s="14">
        <f t="shared" si="51"/>
        <v>298.25639999999999</v>
      </c>
      <c r="Y275" s="10">
        <f>VLOOKUP(L275,'Discount Rate'!A:B,2,FALSE)</f>
        <v>7.0000000000000007E-2</v>
      </c>
      <c r="Z275" s="14">
        <f t="shared" si="52"/>
        <v>173.9829</v>
      </c>
      <c r="AA275" s="14">
        <f t="shared" si="53"/>
        <v>2013.2307000000001</v>
      </c>
      <c r="AB275" s="14">
        <f t="shared" si="54"/>
        <v>63.23070000000007</v>
      </c>
    </row>
    <row r="276" spans="1:28" x14ac:dyDescent="0.25">
      <c r="A276" t="s">
        <v>612</v>
      </c>
      <c r="B276" t="s">
        <v>229</v>
      </c>
      <c r="C276" t="s">
        <v>63</v>
      </c>
      <c r="D276" t="s">
        <v>14</v>
      </c>
      <c r="E276" s="1">
        <v>45304</v>
      </c>
      <c r="F276" s="8">
        <f t="shared" si="44"/>
        <v>2024</v>
      </c>
      <c r="G276" s="1" t="str">
        <f t="shared" si="45"/>
        <v>January</v>
      </c>
      <c r="H276" s="1" t="str">
        <f t="shared" si="46"/>
        <v>Saturday</v>
      </c>
      <c r="I276" s="2">
        <v>0.91399305555555554</v>
      </c>
      <c r="J276" s="8">
        <f t="shared" si="47"/>
        <v>21</v>
      </c>
      <c r="K276" s="8">
        <f t="shared" si="48"/>
        <v>56</v>
      </c>
      <c r="L276" t="s">
        <v>15</v>
      </c>
      <c r="M276" t="s">
        <v>16</v>
      </c>
      <c r="N276">
        <v>15</v>
      </c>
      <c r="O276" s="14">
        <v>1280.5999999999999</v>
      </c>
      <c r="P276">
        <f>VLOOKUP(L276,'Product-cost'!A:B,2,FALSE)</f>
        <v>600</v>
      </c>
      <c r="Q276" t="s">
        <v>25</v>
      </c>
      <c r="R276" t="s">
        <v>33</v>
      </c>
      <c r="T276" t="s">
        <v>895</v>
      </c>
      <c r="U276" s="14">
        <f t="shared" si="49"/>
        <v>19209</v>
      </c>
      <c r="V276" s="14">
        <f t="shared" si="50"/>
        <v>9000</v>
      </c>
      <c r="W276" s="10">
        <f>VLOOKUP(Q276,Taxrate!A:B,2,FALSE)</f>
        <v>0.1</v>
      </c>
      <c r="X276" s="14">
        <f t="shared" si="51"/>
        <v>1920.9</v>
      </c>
      <c r="Y276" s="10">
        <f>VLOOKUP(L276,'Discount Rate'!A:B,2,FALSE)</f>
        <v>0.05</v>
      </c>
      <c r="Z276" s="14">
        <f t="shared" si="52"/>
        <v>960.45</v>
      </c>
      <c r="AA276" s="14">
        <f t="shared" si="53"/>
        <v>16327.649999999998</v>
      </c>
      <c r="AB276" s="14">
        <f t="shared" si="54"/>
        <v>7327.6499999999978</v>
      </c>
    </row>
    <row r="277" spans="1:28" x14ac:dyDescent="0.25">
      <c r="A277" t="s">
        <v>613</v>
      </c>
      <c r="B277" t="s">
        <v>614</v>
      </c>
      <c r="C277" t="s">
        <v>91</v>
      </c>
      <c r="D277" t="s">
        <v>92</v>
      </c>
      <c r="E277" s="1">
        <v>45473</v>
      </c>
      <c r="F277" s="8">
        <f t="shared" si="44"/>
        <v>2024</v>
      </c>
      <c r="G277" s="1" t="str">
        <f t="shared" si="45"/>
        <v>June</v>
      </c>
      <c r="H277" s="1" t="str">
        <f t="shared" si="46"/>
        <v>Sunday</v>
      </c>
      <c r="I277" s="2">
        <v>0.71821759259259255</v>
      </c>
      <c r="J277" s="8">
        <f t="shared" si="47"/>
        <v>17</v>
      </c>
      <c r="K277" s="8">
        <f t="shared" si="48"/>
        <v>14</v>
      </c>
      <c r="L277" t="s">
        <v>15</v>
      </c>
      <c r="M277" t="s">
        <v>16</v>
      </c>
      <c r="N277">
        <v>12</v>
      </c>
      <c r="O277" s="14">
        <v>867.04</v>
      </c>
      <c r="P277">
        <f>VLOOKUP(L277,'Product-cost'!A:B,2,FALSE)</f>
        <v>600</v>
      </c>
      <c r="Q277" t="s">
        <v>55</v>
      </c>
      <c r="R277" t="s">
        <v>93</v>
      </c>
      <c r="S277" t="s">
        <v>132</v>
      </c>
      <c r="T277" t="s">
        <v>893</v>
      </c>
      <c r="U277" s="14">
        <f t="shared" si="49"/>
        <v>10404.48</v>
      </c>
      <c r="V277" s="14">
        <f t="shared" si="50"/>
        <v>7200</v>
      </c>
      <c r="W277" s="10">
        <f>VLOOKUP(Q277,Taxrate!A:B,2,FALSE)</f>
        <v>0.12</v>
      </c>
      <c r="X277" s="14">
        <f t="shared" si="51"/>
        <v>1248.5375999999999</v>
      </c>
      <c r="Y277" s="10">
        <f>VLOOKUP(L277,'Discount Rate'!A:B,2,FALSE)</f>
        <v>0.05</v>
      </c>
      <c r="Z277" s="14">
        <f t="shared" si="52"/>
        <v>520.22400000000005</v>
      </c>
      <c r="AA277" s="14">
        <f t="shared" si="53"/>
        <v>8635.7183999999997</v>
      </c>
      <c r="AB277" s="14">
        <f t="shared" si="54"/>
        <v>1435.7183999999997</v>
      </c>
    </row>
    <row r="278" spans="1:28" x14ac:dyDescent="0.25">
      <c r="A278" t="s">
        <v>615</v>
      </c>
      <c r="B278" t="s">
        <v>616</v>
      </c>
      <c r="C278" t="s">
        <v>99</v>
      </c>
      <c r="D278" t="s">
        <v>100</v>
      </c>
      <c r="E278" s="1">
        <v>45450</v>
      </c>
      <c r="F278" s="8">
        <f t="shared" si="44"/>
        <v>2024</v>
      </c>
      <c r="G278" s="1" t="str">
        <f t="shared" si="45"/>
        <v>June</v>
      </c>
      <c r="H278" s="1" t="str">
        <f t="shared" si="46"/>
        <v>Friday</v>
      </c>
      <c r="I278" s="2">
        <v>0.49145833333333333</v>
      </c>
      <c r="J278" s="8">
        <f t="shared" si="47"/>
        <v>11</v>
      </c>
      <c r="K278" s="8">
        <f t="shared" si="48"/>
        <v>47</v>
      </c>
      <c r="L278" t="s">
        <v>23</v>
      </c>
      <c r="M278" t="s">
        <v>24</v>
      </c>
      <c r="N278">
        <v>2</v>
      </c>
      <c r="O278" s="14">
        <v>766.41</v>
      </c>
      <c r="P278">
        <f>VLOOKUP(L278,'Product-cost'!A:B,2,FALSE)</f>
        <v>300</v>
      </c>
      <c r="Q278" t="s">
        <v>39</v>
      </c>
      <c r="R278" t="s">
        <v>105</v>
      </c>
      <c r="S278" t="s">
        <v>88</v>
      </c>
      <c r="T278" t="s">
        <v>893</v>
      </c>
      <c r="U278" s="14">
        <f t="shared" si="49"/>
        <v>1532.82</v>
      </c>
      <c r="V278" s="14">
        <f t="shared" si="50"/>
        <v>600</v>
      </c>
      <c r="W278" s="10">
        <f>VLOOKUP(Q278,Taxrate!A:B,2,FALSE)</f>
        <v>0.15</v>
      </c>
      <c r="X278" s="14">
        <f t="shared" si="51"/>
        <v>229.92299999999997</v>
      </c>
      <c r="Y278" s="10">
        <f>VLOOKUP(L278,'Discount Rate'!A:B,2,FALSE)</f>
        <v>0.1</v>
      </c>
      <c r="Z278" s="14">
        <f t="shared" si="52"/>
        <v>153.28200000000001</v>
      </c>
      <c r="AA278" s="14">
        <f t="shared" si="53"/>
        <v>1149.615</v>
      </c>
      <c r="AB278" s="14">
        <f t="shared" si="54"/>
        <v>549.61500000000001</v>
      </c>
    </row>
    <row r="279" spans="1:28" x14ac:dyDescent="0.25">
      <c r="A279" t="s">
        <v>617</v>
      </c>
      <c r="B279" t="s">
        <v>618</v>
      </c>
      <c r="C279" t="s">
        <v>155</v>
      </c>
      <c r="D279" t="s">
        <v>156</v>
      </c>
      <c r="E279" s="1">
        <v>45734</v>
      </c>
      <c r="F279" s="8">
        <f t="shared" si="44"/>
        <v>2025</v>
      </c>
      <c r="G279" s="1" t="str">
        <f t="shared" si="45"/>
        <v>March</v>
      </c>
      <c r="H279" s="1" t="str">
        <f t="shared" si="46"/>
        <v>Tuesday</v>
      </c>
      <c r="I279" s="2">
        <v>0.67115740740740737</v>
      </c>
      <c r="J279" s="8">
        <f t="shared" si="47"/>
        <v>16</v>
      </c>
      <c r="K279" s="8">
        <f t="shared" si="48"/>
        <v>6</v>
      </c>
      <c r="L279" t="s">
        <v>73</v>
      </c>
      <c r="M279" t="s">
        <v>74</v>
      </c>
      <c r="N279">
        <v>1</v>
      </c>
      <c r="O279" s="14">
        <v>138.43</v>
      </c>
      <c r="P279">
        <f>VLOOKUP(L279,'Product-cost'!A:B,2,FALSE)</f>
        <v>50</v>
      </c>
      <c r="Q279" t="s">
        <v>55</v>
      </c>
      <c r="R279" t="s">
        <v>157</v>
      </c>
      <c r="S279" t="s">
        <v>158</v>
      </c>
      <c r="T279" t="s">
        <v>893</v>
      </c>
      <c r="U279" s="14">
        <f t="shared" si="49"/>
        <v>138.43</v>
      </c>
      <c r="V279" s="14">
        <f t="shared" si="50"/>
        <v>50</v>
      </c>
      <c r="W279" s="10">
        <f>VLOOKUP(Q279,Taxrate!A:B,2,FALSE)</f>
        <v>0.12</v>
      </c>
      <c r="X279" s="14">
        <f t="shared" si="51"/>
        <v>16.611599999999999</v>
      </c>
      <c r="Y279" s="10">
        <f>VLOOKUP(L279,'Discount Rate'!A:B,2,FALSE)</f>
        <v>0.03</v>
      </c>
      <c r="Z279" s="14">
        <f t="shared" si="52"/>
        <v>4.1528999999999998</v>
      </c>
      <c r="AA279" s="14">
        <f t="shared" si="53"/>
        <v>117.66550000000001</v>
      </c>
      <c r="AB279" s="14">
        <f t="shared" si="54"/>
        <v>67.665500000000009</v>
      </c>
    </row>
    <row r="280" spans="1:28" x14ac:dyDescent="0.25">
      <c r="A280" t="s">
        <v>619</v>
      </c>
      <c r="B280" t="s">
        <v>520</v>
      </c>
      <c r="C280" t="s">
        <v>155</v>
      </c>
      <c r="D280" t="s">
        <v>156</v>
      </c>
      <c r="E280" s="1">
        <v>45512</v>
      </c>
      <c r="F280" s="8">
        <f t="shared" si="44"/>
        <v>2024</v>
      </c>
      <c r="G280" s="1" t="str">
        <f t="shared" si="45"/>
        <v>August</v>
      </c>
      <c r="H280" s="1" t="str">
        <f t="shared" si="46"/>
        <v>Thursday</v>
      </c>
      <c r="I280" s="2">
        <v>0.43562499999999998</v>
      </c>
      <c r="J280" s="8">
        <f t="shared" si="47"/>
        <v>10</v>
      </c>
      <c r="K280" s="8">
        <f t="shared" si="48"/>
        <v>27</v>
      </c>
      <c r="L280" t="s">
        <v>46</v>
      </c>
      <c r="M280" t="s">
        <v>47</v>
      </c>
      <c r="N280">
        <v>12</v>
      </c>
      <c r="O280" s="14">
        <v>191.65</v>
      </c>
      <c r="P280">
        <f>VLOOKUP(L280,'Product-cost'!A:B,2,FALSE)</f>
        <v>150</v>
      </c>
      <c r="Q280" t="s">
        <v>39</v>
      </c>
      <c r="R280" t="s">
        <v>157</v>
      </c>
      <c r="S280" t="s">
        <v>102</v>
      </c>
      <c r="T280" t="s">
        <v>895</v>
      </c>
      <c r="U280" s="14">
        <f t="shared" si="49"/>
        <v>2299.8000000000002</v>
      </c>
      <c r="V280" s="14">
        <f t="shared" si="50"/>
        <v>1800</v>
      </c>
      <c r="W280" s="10">
        <f>VLOOKUP(Q280,Taxrate!A:B,2,FALSE)</f>
        <v>0.15</v>
      </c>
      <c r="X280" s="14">
        <f t="shared" si="51"/>
        <v>344.97</v>
      </c>
      <c r="Y280" s="10">
        <f>VLOOKUP(L280,'Discount Rate'!A:B,2,FALSE)</f>
        <v>7.0000000000000007E-2</v>
      </c>
      <c r="Z280" s="14">
        <f t="shared" si="52"/>
        <v>160.98600000000002</v>
      </c>
      <c r="AA280" s="14">
        <f t="shared" si="53"/>
        <v>1793.8440000000001</v>
      </c>
      <c r="AB280" s="14">
        <f t="shared" si="54"/>
        <v>-6.1559999999999491</v>
      </c>
    </row>
    <row r="281" spans="1:28" x14ac:dyDescent="0.25">
      <c r="A281" t="s">
        <v>620</v>
      </c>
      <c r="B281" t="s">
        <v>621</v>
      </c>
      <c r="C281" t="s">
        <v>165</v>
      </c>
      <c r="D281" t="s">
        <v>38</v>
      </c>
      <c r="E281" s="1">
        <v>45858</v>
      </c>
      <c r="F281" s="8">
        <f t="shared" si="44"/>
        <v>2025</v>
      </c>
      <c r="G281" s="1" t="str">
        <f t="shared" si="45"/>
        <v>July</v>
      </c>
      <c r="H281" s="1" t="str">
        <f t="shared" si="46"/>
        <v>Sunday</v>
      </c>
      <c r="I281" s="2">
        <v>0.5143981481481481</v>
      </c>
      <c r="J281" s="8">
        <f t="shared" si="47"/>
        <v>12</v>
      </c>
      <c r="K281" s="8">
        <f t="shared" si="48"/>
        <v>20</v>
      </c>
      <c r="L281" t="s">
        <v>23</v>
      </c>
      <c r="M281" t="s">
        <v>24</v>
      </c>
      <c r="N281">
        <v>2</v>
      </c>
      <c r="O281" s="14">
        <v>500</v>
      </c>
      <c r="P281">
        <f>VLOOKUP(L281,'Product-cost'!A:B,2,FALSE)</f>
        <v>300</v>
      </c>
      <c r="Q281" t="s">
        <v>39</v>
      </c>
      <c r="R281" t="s">
        <v>84</v>
      </c>
      <c r="S281" t="s">
        <v>158</v>
      </c>
      <c r="T281" t="s">
        <v>893</v>
      </c>
      <c r="U281" s="14">
        <f t="shared" si="49"/>
        <v>1000</v>
      </c>
      <c r="V281" s="14">
        <f t="shared" si="50"/>
        <v>600</v>
      </c>
      <c r="W281" s="10">
        <f>VLOOKUP(Q281,Taxrate!A:B,2,FALSE)</f>
        <v>0.15</v>
      </c>
      <c r="X281" s="14">
        <f t="shared" si="51"/>
        <v>150</v>
      </c>
      <c r="Y281" s="10">
        <f>VLOOKUP(L281,'Discount Rate'!A:B,2,FALSE)</f>
        <v>0.1</v>
      </c>
      <c r="Z281" s="14">
        <f t="shared" si="52"/>
        <v>100</v>
      </c>
      <c r="AA281" s="14">
        <f t="shared" si="53"/>
        <v>750</v>
      </c>
      <c r="AB281" s="14">
        <f t="shared" si="54"/>
        <v>150</v>
      </c>
    </row>
    <row r="282" spans="1:28" x14ac:dyDescent="0.25">
      <c r="A282" t="s">
        <v>622</v>
      </c>
      <c r="B282" t="s">
        <v>623</v>
      </c>
      <c r="C282" t="s">
        <v>58</v>
      </c>
      <c r="D282" t="s">
        <v>59</v>
      </c>
      <c r="E282" s="1">
        <v>46115</v>
      </c>
      <c r="F282" s="8">
        <f t="shared" si="44"/>
        <v>2026</v>
      </c>
      <c r="G282" s="1" t="str">
        <f t="shared" si="45"/>
        <v>April</v>
      </c>
      <c r="H282" s="1" t="str">
        <f t="shared" si="46"/>
        <v>Friday</v>
      </c>
      <c r="I282" s="2">
        <v>0.45496527777777779</v>
      </c>
      <c r="J282" s="8">
        <f t="shared" si="47"/>
        <v>10</v>
      </c>
      <c r="K282" s="8">
        <f t="shared" si="48"/>
        <v>55</v>
      </c>
      <c r="L282" t="s">
        <v>23</v>
      </c>
      <c r="M282" t="s">
        <v>24</v>
      </c>
      <c r="N282">
        <v>1</v>
      </c>
      <c r="O282" s="14">
        <v>572.86</v>
      </c>
      <c r="P282">
        <f>VLOOKUP(L282,'Product-cost'!A:B,2,FALSE)</f>
        <v>300</v>
      </c>
      <c r="Q282" t="s">
        <v>39</v>
      </c>
      <c r="R282" t="s">
        <v>75</v>
      </c>
      <c r="T282" t="s">
        <v>895</v>
      </c>
      <c r="U282" s="14">
        <f t="shared" si="49"/>
        <v>572.86</v>
      </c>
      <c r="V282" s="14">
        <f t="shared" si="50"/>
        <v>300</v>
      </c>
      <c r="W282" s="10">
        <f>VLOOKUP(Q282,Taxrate!A:B,2,FALSE)</f>
        <v>0.15</v>
      </c>
      <c r="X282" s="14">
        <f t="shared" si="51"/>
        <v>85.929000000000002</v>
      </c>
      <c r="Y282" s="10">
        <f>VLOOKUP(L282,'Discount Rate'!A:B,2,FALSE)</f>
        <v>0.1</v>
      </c>
      <c r="Z282" s="14">
        <f t="shared" si="52"/>
        <v>57.286000000000001</v>
      </c>
      <c r="AA282" s="14">
        <f t="shared" si="53"/>
        <v>429.64500000000004</v>
      </c>
      <c r="AB282" s="14">
        <f t="shared" si="54"/>
        <v>129.64500000000004</v>
      </c>
    </row>
    <row r="283" spans="1:28" x14ac:dyDescent="0.25">
      <c r="A283" t="s">
        <v>624</v>
      </c>
      <c r="B283" t="s">
        <v>625</v>
      </c>
      <c r="C283" t="s">
        <v>72</v>
      </c>
      <c r="D283" t="s">
        <v>59</v>
      </c>
      <c r="E283" s="1">
        <v>46172</v>
      </c>
      <c r="F283" s="8">
        <f t="shared" si="44"/>
        <v>2026</v>
      </c>
      <c r="G283" s="1" t="str">
        <f t="shared" si="45"/>
        <v>May</v>
      </c>
      <c r="H283" s="1" t="str">
        <f t="shared" si="46"/>
        <v>Saturday</v>
      </c>
      <c r="I283" s="2">
        <v>0.46778935185185183</v>
      </c>
      <c r="J283" s="8">
        <f t="shared" si="47"/>
        <v>11</v>
      </c>
      <c r="K283" s="8">
        <f t="shared" si="48"/>
        <v>13</v>
      </c>
      <c r="L283" t="s">
        <v>73</v>
      </c>
      <c r="M283" t="s">
        <v>74</v>
      </c>
      <c r="N283">
        <v>8</v>
      </c>
      <c r="O283" s="14">
        <v>500</v>
      </c>
      <c r="P283">
        <f>VLOOKUP(L283,'Product-cost'!A:B,2,FALSE)</f>
        <v>50</v>
      </c>
      <c r="Q283" t="s">
        <v>55</v>
      </c>
      <c r="R283" t="s">
        <v>75</v>
      </c>
      <c r="T283" t="s">
        <v>895</v>
      </c>
      <c r="U283" s="14">
        <f t="shared" si="49"/>
        <v>4000</v>
      </c>
      <c r="V283" s="14">
        <f t="shared" si="50"/>
        <v>400</v>
      </c>
      <c r="W283" s="10">
        <f>VLOOKUP(Q283,Taxrate!A:B,2,FALSE)</f>
        <v>0.12</v>
      </c>
      <c r="X283" s="14">
        <f t="shared" si="51"/>
        <v>480</v>
      </c>
      <c r="Y283" s="10">
        <f>VLOOKUP(L283,'Discount Rate'!A:B,2,FALSE)</f>
        <v>0.03</v>
      </c>
      <c r="Z283" s="14">
        <f t="shared" si="52"/>
        <v>120</v>
      </c>
      <c r="AA283" s="14">
        <f t="shared" si="53"/>
        <v>3400</v>
      </c>
      <c r="AB283" s="14">
        <f t="shared" si="54"/>
        <v>3000</v>
      </c>
    </row>
    <row r="284" spans="1:28" x14ac:dyDescent="0.25">
      <c r="A284" t="s">
        <v>626</v>
      </c>
      <c r="B284" t="s">
        <v>347</v>
      </c>
      <c r="C284" t="s">
        <v>129</v>
      </c>
      <c r="D284" t="s">
        <v>22</v>
      </c>
      <c r="E284" s="1">
        <v>46293</v>
      </c>
      <c r="F284" s="8">
        <f t="shared" si="44"/>
        <v>2026</v>
      </c>
      <c r="G284" s="1" t="str">
        <f t="shared" si="45"/>
        <v>September</v>
      </c>
      <c r="H284" s="1" t="str">
        <f t="shared" si="46"/>
        <v>Monday</v>
      </c>
      <c r="I284" s="2">
        <v>0.58200231481481479</v>
      </c>
      <c r="J284" s="8">
        <f t="shared" si="47"/>
        <v>13</v>
      </c>
      <c r="K284" s="8">
        <f t="shared" si="48"/>
        <v>58</v>
      </c>
      <c r="L284" t="s">
        <v>15</v>
      </c>
      <c r="M284" t="s">
        <v>16</v>
      </c>
      <c r="N284">
        <v>3</v>
      </c>
      <c r="O284" s="14">
        <v>942.19</v>
      </c>
      <c r="P284">
        <f>VLOOKUP(L284,'Product-cost'!A:B,2,FALSE)</f>
        <v>600</v>
      </c>
      <c r="Q284" t="s">
        <v>55</v>
      </c>
      <c r="R284" t="s">
        <v>52</v>
      </c>
      <c r="S284" t="s">
        <v>27</v>
      </c>
      <c r="T284" t="s">
        <v>893</v>
      </c>
      <c r="U284" s="14">
        <f t="shared" si="49"/>
        <v>2826.57</v>
      </c>
      <c r="V284" s="14">
        <f t="shared" si="50"/>
        <v>1800</v>
      </c>
      <c r="W284" s="10">
        <f>VLOOKUP(Q284,Taxrate!A:B,2,FALSE)</f>
        <v>0.12</v>
      </c>
      <c r="X284" s="14">
        <f t="shared" si="51"/>
        <v>339.1884</v>
      </c>
      <c r="Y284" s="10">
        <f>VLOOKUP(L284,'Discount Rate'!A:B,2,FALSE)</f>
        <v>0.05</v>
      </c>
      <c r="Z284" s="14">
        <f t="shared" si="52"/>
        <v>141.32850000000002</v>
      </c>
      <c r="AA284" s="14">
        <f t="shared" si="53"/>
        <v>2346.0531000000001</v>
      </c>
      <c r="AB284" s="14">
        <f t="shared" si="54"/>
        <v>546.05310000000009</v>
      </c>
    </row>
    <row r="285" spans="1:28" x14ac:dyDescent="0.25">
      <c r="A285" t="s">
        <v>627</v>
      </c>
      <c r="B285" t="s">
        <v>628</v>
      </c>
      <c r="C285" t="s">
        <v>155</v>
      </c>
      <c r="D285" t="s">
        <v>156</v>
      </c>
      <c r="E285" s="1">
        <v>45802</v>
      </c>
      <c r="F285" s="8">
        <f t="shared" si="44"/>
        <v>2025</v>
      </c>
      <c r="G285" s="1" t="str">
        <f t="shared" si="45"/>
        <v>May</v>
      </c>
      <c r="H285" s="1" t="str">
        <f t="shared" si="46"/>
        <v>Sunday</v>
      </c>
      <c r="I285" s="2">
        <v>0.5209259259259259</v>
      </c>
      <c r="J285" s="8">
        <f t="shared" si="47"/>
        <v>12</v>
      </c>
      <c r="K285" s="8">
        <f t="shared" si="48"/>
        <v>30</v>
      </c>
      <c r="L285" t="s">
        <v>15</v>
      </c>
      <c r="M285" t="s">
        <v>16</v>
      </c>
      <c r="N285">
        <v>5</v>
      </c>
      <c r="O285" s="14">
        <v>1006.88</v>
      </c>
      <c r="P285">
        <f>VLOOKUP(L285,'Product-cost'!A:B,2,FALSE)</f>
        <v>600</v>
      </c>
      <c r="Q285" t="s">
        <v>32</v>
      </c>
      <c r="R285" t="s">
        <v>252</v>
      </c>
      <c r="S285" t="s">
        <v>158</v>
      </c>
      <c r="T285" t="s">
        <v>893</v>
      </c>
      <c r="U285" s="14">
        <f t="shared" si="49"/>
        <v>5034.3999999999996</v>
      </c>
      <c r="V285" s="14">
        <f t="shared" si="50"/>
        <v>3000</v>
      </c>
      <c r="W285" s="10">
        <f>VLOOKUP(Q285,Taxrate!A:B,2,FALSE)</f>
        <v>0.2</v>
      </c>
      <c r="X285" s="14">
        <f t="shared" si="51"/>
        <v>1006.88</v>
      </c>
      <c r="Y285" s="10">
        <f>VLOOKUP(L285,'Discount Rate'!A:B,2,FALSE)</f>
        <v>0.05</v>
      </c>
      <c r="Z285" s="14">
        <f t="shared" si="52"/>
        <v>251.72</v>
      </c>
      <c r="AA285" s="14">
        <f t="shared" si="53"/>
        <v>3775.7999999999997</v>
      </c>
      <c r="AB285" s="14">
        <f t="shared" si="54"/>
        <v>775.79999999999973</v>
      </c>
    </row>
    <row r="286" spans="1:28" x14ac:dyDescent="0.25">
      <c r="A286" t="s">
        <v>629</v>
      </c>
      <c r="B286" t="s">
        <v>576</v>
      </c>
      <c r="C286" t="s">
        <v>118</v>
      </c>
      <c r="D286" t="s">
        <v>59</v>
      </c>
      <c r="E286" s="1">
        <v>46173</v>
      </c>
      <c r="F286" s="8">
        <f t="shared" si="44"/>
        <v>2026</v>
      </c>
      <c r="G286" s="1" t="str">
        <f t="shared" si="45"/>
        <v>May</v>
      </c>
      <c r="H286" s="1" t="str">
        <f t="shared" si="46"/>
        <v>Sunday</v>
      </c>
      <c r="I286" s="2">
        <v>0.52333333333333332</v>
      </c>
      <c r="J286" s="8">
        <f t="shared" si="47"/>
        <v>12</v>
      </c>
      <c r="K286" s="8">
        <f t="shared" si="48"/>
        <v>33</v>
      </c>
      <c r="L286" t="s">
        <v>46</v>
      </c>
      <c r="M286" t="s">
        <v>47</v>
      </c>
      <c r="N286">
        <v>3</v>
      </c>
      <c r="O286" s="14">
        <v>230.6</v>
      </c>
      <c r="P286">
        <f>VLOOKUP(L286,'Product-cost'!A:B,2,FALSE)</f>
        <v>150</v>
      </c>
      <c r="Q286" t="s">
        <v>39</v>
      </c>
      <c r="R286" t="s">
        <v>60</v>
      </c>
      <c r="T286" t="s">
        <v>895</v>
      </c>
      <c r="U286" s="14">
        <f t="shared" si="49"/>
        <v>691.8</v>
      </c>
      <c r="V286" s="14">
        <f t="shared" si="50"/>
        <v>450</v>
      </c>
      <c r="W286" s="10">
        <f>VLOOKUP(Q286,Taxrate!A:B,2,FALSE)</f>
        <v>0.15</v>
      </c>
      <c r="X286" s="14">
        <f t="shared" si="51"/>
        <v>103.77</v>
      </c>
      <c r="Y286" s="10">
        <f>VLOOKUP(L286,'Discount Rate'!A:B,2,FALSE)</f>
        <v>7.0000000000000007E-2</v>
      </c>
      <c r="Z286" s="14">
        <f t="shared" si="52"/>
        <v>48.426000000000002</v>
      </c>
      <c r="AA286" s="14">
        <f t="shared" si="53"/>
        <v>539.60399999999993</v>
      </c>
      <c r="AB286" s="14">
        <f t="shared" si="54"/>
        <v>89.603999999999928</v>
      </c>
    </row>
    <row r="287" spans="1:28" x14ac:dyDescent="0.25">
      <c r="A287" t="s">
        <v>630</v>
      </c>
      <c r="B287" t="s">
        <v>631</v>
      </c>
      <c r="C287" t="s">
        <v>13</v>
      </c>
      <c r="D287" t="s">
        <v>14</v>
      </c>
      <c r="E287" s="1">
        <v>46187</v>
      </c>
      <c r="F287" s="8">
        <f t="shared" si="44"/>
        <v>2026</v>
      </c>
      <c r="G287" s="1" t="str">
        <f t="shared" si="45"/>
        <v>June</v>
      </c>
      <c r="H287" s="1" t="str">
        <f t="shared" si="46"/>
        <v>Sunday</v>
      </c>
      <c r="I287" s="2">
        <v>0.58496527777777774</v>
      </c>
      <c r="J287" s="8">
        <f t="shared" si="47"/>
        <v>14</v>
      </c>
      <c r="K287" s="8">
        <f t="shared" si="48"/>
        <v>2</v>
      </c>
      <c r="L287" t="s">
        <v>30</v>
      </c>
      <c r="M287" t="s">
        <v>31</v>
      </c>
      <c r="N287">
        <v>11</v>
      </c>
      <c r="O287" s="14">
        <v>448.12</v>
      </c>
      <c r="P287">
        <f>VLOOKUP(L287,'Product-cost'!A:B,2,FALSE)</f>
        <v>200</v>
      </c>
      <c r="Q287" t="s">
        <v>25</v>
      </c>
      <c r="R287" t="s">
        <v>17</v>
      </c>
      <c r="S287" t="s">
        <v>123</v>
      </c>
      <c r="T287" t="s">
        <v>893</v>
      </c>
      <c r="U287" s="14">
        <f t="shared" si="49"/>
        <v>4929.32</v>
      </c>
      <c r="V287" s="14">
        <f t="shared" si="50"/>
        <v>2200</v>
      </c>
      <c r="W287" s="10">
        <f>VLOOKUP(Q287,Taxrate!A:B,2,FALSE)</f>
        <v>0.1</v>
      </c>
      <c r="X287" s="14">
        <f t="shared" si="51"/>
        <v>492.93200000000002</v>
      </c>
      <c r="Y287" s="10">
        <f>VLOOKUP(L287,'Discount Rate'!A:B,2,FALSE)</f>
        <v>0.08</v>
      </c>
      <c r="Z287" s="14">
        <f t="shared" si="52"/>
        <v>394.34559999999999</v>
      </c>
      <c r="AA287" s="14">
        <f t="shared" si="53"/>
        <v>4042.0423999999998</v>
      </c>
      <c r="AB287" s="14">
        <f t="shared" si="54"/>
        <v>1842.0423999999998</v>
      </c>
    </row>
    <row r="288" spans="1:28" x14ac:dyDescent="0.25">
      <c r="A288" t="s">
        <v>632</v>
      </c>
      <c r="B288" t="s">
        <v>341</v>
      </c>
      <c r="C288" t="s">
        <v>165</v>
      </c>
      <c r="D288" t="s">
        <v>38</v>
      </c>
      <c r="E288" s="1">
        <v>45286</v>
      </c>
      <c r="F288" s="8">
        <f t="shared" si="44"/>
        <v>2023</v>
      </c>
      <c r="G288" s="1" t="str">
        <f t="shared" si="45"/>
        <v>December</v>
      </c>
      <c r="H288" s="1" t="str">
        <f t="shared" si="46"/>
        <v>Tuesday</v>
      </c>
      <c r="I288" s="2">
        <v>0.57871527777777776</v>
      </c>
      <c r="J288" s="8">
        <f t="shared" si="47"/>
        <v>13</v>
      </c>
      <c r="K288" s="8">
        <f t="shared" si="48"/>
        <v>53</v>
      </c>
      <c r="L288" t="s">
        <v>73</v>
      </c>
      <c r="M288" t="s">
        <v>74</v>
      </c>
      <c r="N288">
        <v>13</v>
      </c>
      <c r="O288" s="14">
        <v>500</v>
      </c>
      <c r="P288">
        <f>VLOOKUP(L288,'Product-cost'!A:B,2,FALSE)</f>
        <v>50</v>
      </c>
      <c r="Q288" t="s">
        <v>32</v>
      </c>
      <c r="R288" t="s">
        <v>84</v>
      </c>
      <c r="S288" t="s">
        <v>123</v>
      </c>
      <c r="T288" t="s">
        <v>893</v>
      </c>
      <c r="U288" s="14">
        <f t="shared" si="49"/>
        <v>6500</v>
      </c>
      <c r="V288" s="14">
        <f t="shared" si="50"/>
        <v>650</v>
      </c>
      <c r="W288" s="10">
        <f>VLOOKUP(Q288,Taxrate!A:B,2,FALSE)</f>
        <v>0.2</v>
      </c>
      <c r="X288" s="14">
        <f t="shared" si="51"/>
        <v>1300</v>
      </c>
      <c r="Y288" s="10">
        <f>VLOOKUP(L288,'Discount Rate'!A:B,2,FALSE)</f>
        <v>0.03</v>
      </c>
      <c r="Z288" s="14">
        <f t="shared" si="52"/>
        <v>195</v>
      </c>
      <c r="AA288" s="14">
        <f t="shared" si="53"/>
        <v>5005</v>
      </c>
      <c r="AB288" s="14">
        <f t="shared" si="54"/>
        <v>4355</v>
      </c>
    </row>
    <row r="289" spans="1:28" x14ac:dyDescent="0.25">
      <c r="A289" t="s">
        <v>633</v>
      </c>
      <c r="B289" t="s">
        <v>488</v>
      </c>
      <c r="C289" t="s">
        <v>126</v>
      </c>
      <c r="D289" t="s">
        <v>22</v>
      </c>
      <c r="E289" s="1">
        <v>46084</v>
      </c>
      <c r="F289" s="8">
        <f t="shared" si="44"/>
        <v>2026</v>
      </c>
      <c r="G289" s="1" t="str">
        <f t="shared" si="45"/>
        <v>March</v>
      </c>
      <c r="H289" s="1" t="str">
        <f t="shared" si="46"/>
        <v>Tuesday</v>
      </c>
      <c r="I289" s="2">
        <v>0.69028935185185181</v>
      </c>
      <c r="J289" s="8">
        <f t="shared" si="47"/>
        <v>16</v>
      </c>
      <c r="K289" s="8">
        <f t="shared" si="48"/>
        <v>34</v>
      </c>
      <c r="L289" t="s">
        <v>23</v>
      </c>
      <c r="M289" t="s">
        <v>24</v>
      </c>
      <c r="N289">
        <v>6</v>
      </c>
      <c r="O289" s="14">
        <v>746.41</v>
      </c>
      <c r="P289">
        <f>VLOOKUP(L289,'Product-cost'!A:B,2,FALSE)</f>
        <v>300</v>
      </c>
      <c r="Q289" t="s">
        <v>25</v>
      </c>
      <c r="R289" t="s">
        <v>52</v>
      </c>
      <c r="S289" t="s">
        <v>123</v>
      </c>
      <c r="T289" t="s">
        <v>893</v>
      </c>
      <c r="U289" s="14">
        <f t="shared" si="49"/>
        <v>4478.46</v>
      </c>
      <c r="V289" s="14">
        <f t="shared" si="50"/>
        <v>1800</v>
      </c>
      <c r="W289" s="10">
        <f>VLOOKUP(Q289,Taxrate!A:B,2,FALSE)</f>
        <v>0.1</v>
      </c>
      <c r="X289" s="14">
        <f t="shared" si="51"/>
        <v>447.846</v>
      </c>
      <c r="Y289" s="10">
        <f>VLOOKUP(L289,'Discount Rate'!A:B,2,FALSE)</f>
        <v>0.1</v>
      </c>
      <c r="Z289" s="14">
        <f t="shared" si="52"/>
        <v>447.846</v>
      </c>
      <c r="AA289" s="14">
        <f t="shared" si="53"/>
        <v>3582.768</v>
      </c>
      <c r="AB289" s="14">
        <f t="shared" si="54"/>
        <v>1782.768</v>
      </c>
    </row>
    <row r="290" spans="1:28" x14ac:dyDescent="0.25">
      <c r="A290" t="s">
        <v>634</v>
      </c>
      <c r="B290" t="s">
        <v>635</v>
      </c>
      <c r="C290" t="s">
        <v>91</v>
      </c>
      <c r="D290" t="s">
        <v>92</v>
      </c>
      <c r="E290" s="1">
        <v>45310</v>
      </c>
      <c r="F290" s="8">
        <f t="shared" si="44"/>
        <v>2024</v>
      </c>
      <c r="G290" s="1" t="str">
        <f t="shared" si="45"/>
        <v>January</v>
      </c>
      <c r="H290" s="1" t="str">
        <f t="shared" si="46"/>
        <v>Friday</v>
      </c>
      <c r="I290" s="2">
        <v>0.91027777777777774</v>
      </c>
      <c r="J290" s="8">
        <f t="shared" si="47"/>
        <v>21</v>
      </c>
      <c r="K290" s="8">
        <f t="shared" si="48"/>
        <v>50</v>
      </c>
      <c r="L290" t="s">
        <v>30</v>
      </c>
      <c r="M290" t="s">
        <v>31</v>
      </c>
      <c r="N290">
        <v>6</v>
      </c>
      <c r="O290" s="14">
        <v>374.3</v>
      </c>
      <c r="P290">
        <f>VLOOKUP(L290,'Product-cost'!A:B,2,FALSE)</f>
        <v>200</v>
      </c>
      <c r="Q290" t="s">
        <v>51</v>
      </c>
      <c r="R290" t="s">
        <v>112</v>
      </c>
      <c r="T290" t="s">
        <v>895</v>
      </c>
      <c r="U290" s="14">
        <f t="shared" si="49"/>
        <v>2245.8000000000002</v>
      </c>
      <c r="V290" s="14">
        <f t="shared" si="50"/>
        <v>1200</v>
      </c>
      <c r="W290" s="10">
        <f>VLOOKUP(Q290,Taxrate!A:B,2,FALSE)</f>
        <v>7.0000000000000007E-2</v>
      </c>
      <c r="X290" s="14">
        <f t="shared" si="51"/>
        <v>157.20600000000002</v>
      </c>
      <c r="Y290" s="10">
        <f>VLOOKUP(L290,'Discount Rate'!A:B,2,FALSE)</f>
        <v>0.08</v>
      </c>
      <c r="Z290" s="14">
        <f t="shared" si="52"/>
        <v>179.66400000000002</v>
      </c>
      <c r="AA290" s="14">
        <f t="shared" si="53"/>
        <v>1908.93</v>
      </c>
      <c r="AB290" s="14">
        <f t="shared" si="54"/>
        <v>708.93000000000006</v>
      </c>
    </row>
    <row r="291" spans="1:28" x14ac:dyDescent="0.25">
      <c r="A291" t="s">
        <v>636</v>
      </c>
      <c r="B291" t="s">
        <v>490</v>
      </c>
      <c r="C291" t="s">
        <v>44</v>
      </c>
      <c r="D291" t="s">
        <v>45</v>
      </c>
      <c r="E291" s="1">
        <v>45176</v>
      </c>
      <c r="F291" s="8">
        <f t="shared" si="44"/>
        <v>2023</v>
      </c>
      <c r="G291" s="1" t="str">
        <f t="shared" si="45"/>
        <v>September</v>
      </c>
      <c r="H291" s="1" t="str">
        <f t="shared" si="46"/>
        <v>Thursday</v>
      </c>
      <c r="I291" s="2">
        <v>0.66795138888888894</v>
      </c>
      <c r="J291" s="8">
        <f t="shared" si="47"/>
        <v>16</v>
      </c>
      <c r="K291" s="8">
        <f t="shared" si="48"/>
        <v>1</v>
      </c>
      <c r="L291" t="s">
        <v>73</v>
      </c>
      <c r="M291" t="s">
        <v>74</v>
      </c>
      <c r="N291">
        <v>3</v>
      </c>
      <c r="O291" s="14">
        <v>189.27</v>
      </c>
      <c r="P291">
        <f>VLOOKUP(L291,'Product-cost'!A:B,2,FALSE)</f>
        <v>50</v>
      </c>
      <c r="Q291" t="s">
        <v>55</v>
      </c>
      <c r="R291" t="s">
        <v>80</v>
      </c>
      <c r="S291" t="s">
        <v>34</v>
      </c>
      <c r="T291" t="s">
        <v>893</v>
      </c>
      <c r="U291" s="14">
        <f t="shared" si="49"/>
        <v>567.81000000000006</v>
      </c>
      <c r="V291" s="14">
        <f t="shared" si="50"/>
        <v>150</v>
      </c>
      <c r="W291" s="10">
        <f>VLOOKUP(Q291,Taxrate!A:B,2,FALSE)</f>
        <v>0.12</v>
      </c>
      <c r="X291" s="14">
        <f t="shared" si="51"/>
        <v>68.137200000000007</v>
      </c>
      <c r="Y291" s="10">
        <f>VLOOKUP(L291,'Discount Rate'!A:B,2,FALSE)</f>
        <v>0.03</v>
      </c>
      <c r="Z291" s="14">
        <f t="shared" si="52"/>
        <v>17.034300000000002</v>
      </c>
      <c r="AA291" s="14">
        <f t="shared" si="53"/>
        <v>482.63850000000002</v>
      </c>
      <c r="AB291" s="14">
        <f t="shared" si="54"/>
        <v>332.63850000000002</v>
      </c>
    </row>
    <row r="292" spans="1:28" x14ac:dyDescent="0.25">
      <c r="A292" t="s">
        <v>637</v>
      </c>
      <c r="B292" t="s">
        <v>638</v>
      </c>
      <c r="C292" t="s">
        <v>178</v>
      </c>
      <c r="D292" t="s">
        <v>59</v>
      </c>
      <c r="E292" s="1">
        <v>45867</v>
      </c>
      <c r="F292" s="8">
        <f t="shared" si="44"/>
        <v>2025</v>
      </c>
      <c r="G292" s="1" t="str">
        <f t="shared" si="45"/>
        <v>July</v>
      </c>
      <c r="H292" s="1" t="str">
        <f t="shared" si="46"/>
        <v>Tuesday</v>
      </c>
      <c r="I292" s="2">
        <v>0.83024305555555555</v>
      </c>
      <c r="J292" s="8">
        <f t="shared" si="47"/>
        <v>19</v>
      </c>
      <c r="K292" s="8">
        <f t="shared" si="48"/>
        <v>55</v>
      </c>
      <c r="L292" t="s">
        <v>15</v>
      </c>
      <c r="M292" t="s">
        <v>16</v>
      </c>
      <c r="N292">
        <v>7</v>
      </c>
      <c r="O292" s="14">
        <v>1143.53</v>
      </c>
      <c r="P292">
        <f>VLOOKUP(L292,'Product-cost'!A:B,2,FALSE)</f>
        <v>600</v>
      </c>
      <c r="Q292" t="s">
        <v>55</v>
      </c>
      <c r="R292" t="s">
        <v>60</v>
      </c>
      <c r="S292" t="s">
        <v>34</v>
      </c>
      <c r="T292" t="s">
        <v>893</v>
      </c>
      <c r="U292" s="14">
        <f t="shared" si="49"/>
        <v>8004.71</v>
      </c>
      <c r="V292" s="14">
        <f t="shared" si="50"/>
        <v>4200</v>
      </c>
      <c r="W292" s="10">
        <f>VLOOKUP(Q292,Taxrate!A:B,2,FALSE)</f>
        <v>0.12</v>
      </c>
      <c r="X292" s="14">
        <f t="shared" si="51"/>
        <v>960.5652</v>
      </c>
      <c r="Y292" s="10">
        <f>VLOOKUP(L292,'Discount Rate'!A:B,2,FALSE)</f>
        <v>0.05</v>
      </c>
      <c r="Z292" s="14">
        <f t="shared" si="52"/>
        <v>400.2355</v>
      </c>
      <c r="AA292" s="14">
        <f t="shared" si="53"/>
        <v>6643.9093000000003</v>
      </c>
      <c r="AB292" s="14">
        <f t="shared" si="54"/>
        <v>2443.9093000000003</v>
      </c>
    </row>
    <row r="293" spans="1:28" x14ac:dyDescent="0.25">
      <c r="A293" t="s">
        <v>639</v>
      </c>
      <c r="B293" t="s">
        <v>640</v>
      </c>
      <c r="C293" t="s">
        <v>118</v>
      </c>
      <c r="D293" t="s">
        <v>59</v>
      </c>
      <c r="E293" s="1">
        <v>45584</v>
      </c>
      <c r="F293" s="8">
        <f t="shared" si="44"/>
        <v>2024</v>
      </c>
      <c r="G293" s="1" t="str">
        <f t="shared" si="45"/>
        <v>October</v>
      </c>
      <c r="H293" s="1" t="str">
        <f t="shared" si="46"/>
        <v>Saturday</v>
      </c>
      <c r="I293" s="2">
        <v>0.4710300925925926</v>
      </c>
      <c r="J293" s="8">
        <f t="shared" si="47"/>
        <v>11</v>
      </c>
      <c r="K293" s="8">
        <f t="shared" si="48"/>
        <v>18</v>
      </c>
      <c r="L293" t="s">
        <v>46</v>
      </c>
      <c r="M293" t="s">
        <v>47</v>
      </c>
      <c r="N293">
        <v>8</v>
      </c>
      <c r="O293" s="14">
        <v>205.99</v>
      </c>
      <c r="P293">
        <f>VLOOKUP(L293,'Product-cost'!A:B,2,FALSE)</f>
        <v>150</v>
      </c>
      <c r="Q293" t="s">
        <v>32</v>
      </c>
      <c r="R293" t="s">
        <v>222</v>
      </c>
      <c r="T293" t="s">
        <v>895</v>
      </c>
      <c r="U293" s="14">
        <f t="shared" si="49"/>
        <v>1647.92</v>
      </c>
      <c r="V293" s="14">
        <f t="shared" si="50"/>
        <v>1200</v>
      </c>
      <c r="W293" s="10">
        <f>VLOOKUP(Q293,Taxrate!A:B,2,FALSE)</f>
        <v>0.2</v>
      </c>
      <c r="X293" s="14">
        <f t="shared" si="51"/>
        <v>329.58400000000006</v>
      </c>
      <c r="Y293" s="10">
        <f>VLOOKUP(L293,'Discount Rate'!A:B,2,FALSE)</f>
        <v>7.0000000000000007E-2</v>
      </c>
      <c r="Z293" s="14">
        <f t="shared" si="52"/>
        <v>115.35440000000001</v>
      </c>
      <c r="AA293" s="14">
        <f t="shared" si="53"/>
        <v>1202.9816000000001</v>
      </c>
      <c r="AB293" s="14">
        <f t="shared" si="54"/>
        <v>2.9816000000000713</v>
      </c>
    </row>
    <row r="294" spans="1:28" x14ac:dyDescent="0.25">
      <c r="A294" t="s">
        <v>641</v>
      </c>
      <c r="B294" t="s">
        <v>642</v>
      </c>
      <c r="C294" t="s">
        <v>129</v>
      </c>
      <c r="D294" t="s">
        <v>22</v>
      </c>
      <c r="E294" s="1">
        <v>45359</v>
      </c>
      <c r="F294" s="8">
        <f t="shared" si="44"/>
        <v>2024</v>
      </c>
      <c r="G294" s="1" t="str">
        <f t="shared" si="45"/>
        <v>March</v>
      </c>
      <c r="H294" s="1" t="str">
        <f t="shared" si="46"/>
        <v>Friday</v>
      </c>
      <c r="I294" s="2">
        <v>0.41966435185185186</v>
      </c>
      <c r="J294" s="8">
        <f t="shared" si="47"/>
        <v>10</v>
      </c>
      <c r="K294" s="8">
        <f t="shared" si="48"/>
        <v>4</v>
      </c>
      <c r="L294" t="s">
        <v>46</v>
      </c>
      <c r="M294" t="s">
        <v>47</v>
      </c>
      <c r="N294">
        <v>9</v>
      </c>
      <c r="O294" s="14">
        <v>190.31</v>
      </c>
      <c r="P294">
        <f>VLOOKUP(L294,'Product-cost'!A:B,2,FALSE)</f>
        <v>150</v>
      </c>
      <c r="Q294" t="s">
        <v>39</v>
      </c>
      <c r="R294" t="s">
        <v>26</v>
      </c>
      <c r="S294" t="s">
        <v>230</v>
      </c>
      <c r="T294" t="s">
        <v>893</v>
      </c>
      <c r="U294" s="14">
        <f t="shared" si="49"/>
        <v>1712.79</v>
      </c>
      <c r="V294" s="14">
        <f t="shared" si="50"/>
        <v>1350</v>
      </c>
      <c r="W294" s="10">
        <f>VLOOKUP(Q294,Taxrate!A:B,2,FALSE)</f>
        <v>0.15</v>
      </c>
      <c r="X294" s="14">
        <f t="shared" si="51"/>
        <v>256.91849999999999</v>
      </c>
      <c r="Y294" s="10">
        <f>VLOOKUP(L294,'Discount Rate'!A:B,2,FALSE)</f>
        <v>7.0000000000000007E-2</v>
      </c>
      <c r="Z294" s="14">
        <f t="shared" si="52"/>
        <v>119.89530000000001</v>
      </c>
      <c r="AA294" s="14">
        <f t="shared" si="53"/>
        <v>1335.9762000000001</v>
      </c>
      <c r="AB294" s="14">
        <f t="shared" si="54"/>
        <v>-14.023799999999937</v>
      </c>
    </row>
    <row r="295" spans="1:28" x14ac:dyDescent="0.25">
      <c r="A295" t="s">
        <v>643</v>
      </c>
      <c r="B295" t="s">
        <v>644</v>
      </c>
      <c r="C295" t="s">
        <v>139</v>
      </c>
      <c r="D295" t="s">
        <v>22</v>
      </c>
      <c r="E295" s="1">
        <v>45301</v>
      </c>
      <c r="F295" s="8">
        <f t="shared" si="44"/>
        <v>2024</v>
      </c>
      <c r="G295" s="1" t="str">
        <f t="shared" si="45"/>
        <v>January</v>
      </c>
      <c r="H295" s="1" t="str">
        <f t="shared" si="46"/>
        <v>Wednesday</v>
      </c>
      <c r="I295" s="2">
        <v>0.88385416666666672</v>
      </c>
      <c r="J295" s="8">
        <f t="shared" si="47"/>
        <v>21</v>
      </c>
      <c r="K295" s="8">
        <f t="shared" si="48"/>
        <v>12</v>
      </c>
      <c r="L295" t="s">
        <v>46</v>
      </c>
      <c r="M295" t="s">
        <v>47</v>
      </c>
      <c r="N295">
        <v>7</v>
      </c>
      <c r="O295" s="14">
        <v>260.08999999999997</v>
      </c>
      <c r="P295">
        <f>VLOOKUP(L295,'Product-cost'!A:B,2,FALSE)</f>
        <v>150</v>
      </c>
      <c r="Q295" t="s">
        <v>55</v>
      </c>
      <c r="R295" t="s">
        <v>26</v>
      </c>
      <c r="T295" t="s">
        <v>895</v>
      </c>
      <c r="U295" s="14">
        <f t="shared" si="49"/>
        <v>1820.6299999999999</v>
      </c>
      <c r="V295" s="14">
        <f t="shared" si="50"/>
        <v>1050</v>
      </c>
      <c r="W295" s="10">
        <f>VLOOKUP(Q295,Taxrate!A:B,2,FALSE)</f>
        <v>0.12</v>
      </c>
      <c r="X295" s="14">
        <f t="shared" si="51"/>
        <v>218.47559999999999</v>
      </c>
      <c r="Y295" s="10">
        <f>VLOOKUP(L295,'Discount Rate'!A:B,2,FALSE)</f>
        <v>7.0000000000000007E-2</v>
      </c>
      <c r="Z295" s="14">
        <f t="shared" si="52"/>
        <v>127.44410000000001</v>
      </c>
      <c r="AA295" s="14">
        <f t="shared" si="53"/>
        <v>1474.7103</v>
      </c>
      <c r="AB295" s="14">
        <f t="shared" si="54"/>
        <v>424.71029999999996</v>
      </c>
    </row>
    <row r="296" spans="1:28" x14ac:dyDescent="0.25">
      <c r="A296" t="s">
        <v>645</v>
      </c>
      <c r="B296" t="s">
        <v>646</v>
      </c>
      <c r="C296" t="s">
        <v>139</v>
      </c>
      <c r="D296" t="s">
        <v>22</v>
      </c>
      <c r="E296" s="1">
        <v>45401</v>
      </c>
      <c r="F296" s="8">
        <f t="shared" si="44"/>
        <v>2024</v>
      </c>
      <c r="G296" s="1" t="str">
        <f t="shared" si="45"/>
        <v>April</v>
      </c>
      <c r="H296" s="1" t="str">
        <f t="shared" si="46"/>
        <v>Friday</v>
      </c>
      <c r="I296" s="2">
        <v>0.45552083333333332</v>
      </c>
      <c r="J296" s="8">
        <f t="shared" si="47"/>
        <v>10</v>
      </c>
      <c r="K296" s="8">
        <f t="shared" si="48"/>
        <v>55</v>
      </c>
      <c r="L296" t="s">
        <v>46</v>
      </c>
      <c r="M296" t="s">
        <v>47</v>
      </c>
      <c r="N296">
        <v>6</v>
      </c>
      <c r="O296" s="14">
        <v>252.96</v>
      </c>
      <c r="P296">
        <f>VLOOKUP(L296,'Product-cost'!A:B,2,FALSE)</f>
        <v>150</v>
      </c>
      <c r="Q296" t="s">
        <v>25</v>
      </c>
      <c r="R296" t="s">
        <v>26</v>
      </c>
      <c r="T296" t="s">
        <v>895</v>
      </c>
      <c r="U296" s="14">
        <f t="shared" si="49"/>
        <v>1517.76</v>
      </c>
      <c r="V296" s="14">
        <f t="shared" si="50"/>
        <v>900</v>
      </c>
      <c r="W296" s="10">
        <f>VLOOKUP(Q296,Taxrate!A:B,2,FALSE)</f>
        <v>0.1</v>
      </c>
      <c r="X296" s="14">
        <f t="shared" si="51"/>
        <v>151.77600000000001</v>
      </c>
      <c r="Y296" s="10">
        <f>VLOOKUP(L296,'Discount Rate'!A:B,2,FALSE)</f>
        <v>7.0000000000000007E-2</v>
      </c>
      <c r="Z296" s="14">
        <f t="shared" si="52"/>
        <v>106.24320000000002</v>
      </c>
      <c r="AA296" s="14">
        <f t="shared" si="53"/>
        <v>1259.7407999999998</v>
      </c>
      <c r="AB296" s="14">
        <f t="shared" si="54"/>
        <v>359.74079999999981</v>
      </c>
    </row>
    <row r="297" spans="1:28" x14ac:dyDescent="0.25">
      <c r="A297" t="s">
        <v>647</v>
      </c>
      <c r="B297" t="s">
        <v>195</v>
      </c>
      <c r="C297" t="s">
        <v>58</v>
      </c>
      <c r="D297" t="s">
        <v>59</v>
      </c>
      <c r="E297" s="1">
        <v>45640</v>
      </c>
      <c r="F297" s="8">
        <f t="shared" si="44"/>
        <v>2024</v>
      </c>
      <c r="G297" s="1" t="str">
        <f t="shared" si="45"/>
        <v>December</v>
      </c>
      <c r="H297" s="1" t="str">
        <f t="shared" si="46"/>
        <v>Saturday</v>
      </c>
      <c r="I297" s="2">
        <v>0.67112268518518514</v>
      </c>
      <c r="J297" s="8">
        <f t="shared" si="47"/>
        <v>16</v>
      </c>
      <c r="K297" s="8">
        <f t="shared" si="48"/>
        <v>6</v>
      </c>
      <c r="L297" t="s">
        <v>15</v>
      </c>
      <c r="M297" t="s">
        <v>16</v>
      </c>
      <c r="N297">
        <v>11</v>
      </c>
      <c r="O297" s="14">
        <v>500</v>
      </c>
      <c r="P297">
        <f>VLOOKUP(L297,'Product-cost'!A:B,2,FALSE)</f>
        <v>600</v>
      </c>
      <c r="Q297" t="s">
        <v>25</v>
      </c>
      <c r="R297" t="s">
        <v>75</v>
      </c>
      <c r="S297" t="s">
        <v>41</v>
      </c>
      <c r="T297" t="s">
        <v>893</v>
      </c>
      <c r="U297" s="14">
        <f t="shared" si="49"/>
        <v>5500</v>
      </c>
      <c r="V297" s="14">
        <f t="shared" si="50"/>
        <v>6600</v>
      </c>
      <c r="W297" s="10">
        <f>VLOOKUP(Q297,Taxrate!A:B,2,FALSE)</f>
        <v>0.1</v>
      </c>
      <c r="X297" s="14">
        <f t="shared" si="51"/>
        <v>550</v>
      </c>
      <c r="Y297" s="10">
        <f>VLOOKUP(L297,'Discount Rate'!A:B,2,FALSE)</f>
        <v>0.05</v>
      </c>
      <c r="Z297" s="14">
        <f t="shared" si="52"/>
        <v>275</v>
      </c>
      <c r="AA297" s="14">
        <f t="shared" si="53"/>
        <v>4675</v>
      </c>
      <c r="AB297" s="14">
        <f t="shared" si="54"/>
        <v>-1925</v>
      </c>
    </row>
    <row r="298" spans="1:28" x14ac:dyDescent="0.25">
      <c r="A298" t="s">
        <v>648</v>
      </c>
      <c r="B298" t="s">
        <v>334</v>
      </c>
      <c r="C298" t="s">
        <v>178</v>
      </c>
      <c r="D298" t="s">
        <v>59</v>
      </c>
      <c r="E298" s="1">
        <v>45936</v>
      </c>
      <c r="F298" s="8">
        <f t="shared" si="44"/>
        <v>2025</v>
      </c>
      <c r="G298" s="1" t="str">
        <f t="shared" si="45"/>
        <v>October</v>
      </c>
      <c r="H298" s="1" t="str">
        <f t="shared" si="46"/>
        <v>Monday</v>
      </c>
      <c r="I298" s="2">
        <v>0.69739583333333333</v>
      </c>
      <c r="J298" s="8">
        <f t="shared" si="47"/>
        <v>16</v>
      </c>
      <c r="K298" s="8">
        <f t="shared" si="48"/>
        <v>44</v>
      </c>
      <c r="L298" t="s">
        <v>23</v>
      </c>
      <c r="M298" t="s">
        <v>24</v>
      </c>
      <c r="N298">
        <v>2</v>
      </c>
      <c r="O298" s="14">
        <v>693.57</v>
      </c>
      <c r="P298">
        <f>VLOOKUP(L298,'Product-cost'!A:B,2,FALSE)</f>
        <v>300</v>
      </c>
      <c r="Q298" t="s">
        <v>39</v>
      </c>
      <c r="R298" t="s">
        <v>222</v>
      </c>
      <c r="S298" t="s">
        <v>34</v>
      </c>
      <c r="T298" t="s">
        <v>893</v>
      </c>
      <c r="U298" s="14">
        <f t="shared" si="49"/>
        <v>1387.14</v>
      </c>
      <c r="V298" s="14">
        <f t="shared" si="50"/>
        <v>600</v>
      </c>
      <c r="W298" s="10">
        <f>VLOOKUP(Q298,Taxrate!A:B,2,FALSE)</f>
        <v>0.15</v>
      </c>
      <c r="X298" s="14">
        <f t="shared" si="51"/>
        <v>208.071</v>
      </c>
      <c r="Y298" s="10">
        <f>VLOOKUP(L298,'Discount Rate'!A:B,2,FALSE)</f>
        <v>0.1</v>
      </c>
      <c r="Z298" s="14">
        <f t="shared" si="52"/>
        <v>138.71400000000003</v>
      </c>
      <c r="AA298" s="14">
        <f t="shared" si="53"/>
        <v>1040.3550000000002</v>
      </c>
      <c r="AB298" s="14">
        <f t="shared" si="54"/>
        <v>440.35500000000025</v>
      </c>
    </row>
    <row r="299" spans="1:28" x14ac:dyDescent="0.25">
      <c r="A299" t="s">
        <v>649</v>
      </c>
      <c r="B299" t="s">
        <v>650</v>
      </c>
      <c r="C299" t="s">
        <v>91</v>
      </c>
      <c r="D299" t="s">
        <v>92</v>
      </c>
      <c r="E299" s="1">
        <v>46123</v>
      </c>
      <c r="F299" s="8">
        <f t="shared" si="44"/>
        <v>2026</v>
      </c>
      <c r="G299" s="1" t="str">
        <f t="shared" si="45"/>
        <v>April</v>
      </c>
      <c r="H299" s="1" t="str">
        <f t="shared" si="46"/>
        <v>Saturday</v>
      </c>
      <c r="I299" s="2">
        <v>0.56366898148148148</v>
      </c>
      <c r="J299" s="8">
        <f t="shared" si="47"/>
        <v>13</v>
      </c>
      <c r="K299" s="8">
        <f t="shared" si="48"/>
        <v>31</v>
      </c>
      <c r="L299" t="s">
        <v>15</v>
      </c>
      <c r="M299" t="s">
        <v>16</v>
      </c>
      <c r="N299">
        <v>7</v>
      </c>
      <c r="O299" s="14">
        <v>1243.6300000000001</v>
      </c>
      <c r="P299">
        <f>VLOOKUP(L299,'Product-cost'!A:B,2,FALSE)</f>
        <v>600</v>
      </c>
      <c r="Q299" t="s">
        <v>51</v>
      </c>
      <c r="R299" t="s">
        <v>198</v>
      </c>
      <c r="T299" t="s">
        <v>895</v>
      </c>
      <c r="U299" s="14">
        <f t="shared" si="49"/>
        <v>8705.41</v>
      </c>
      <c r="V299" s="14">
        <f t="shared" si="50"/>
        <v>4200</v>
      </c>
      <c r="W299" s="10">
        <f>VLOOKUP(Q299,Taxrate!A:B,2,FALSE)</f>
        <v>7.0000000000000007E-2</v>
      </c>
      <c r="X299" s="14">
        <f t="shared" si="51"/>
        <v>609.37870000000009</v>
      </c>
      <c r="Y299" s="10">
        <f>VLOOKUP(L299,'Discount Rate'!A:B,2,FALSE)</f>
        <v>0.05</v>
      </c>
      <c r="Z299" s="14">
        <f t="shared" si="52"/>
        <v>435.27050000000003</v>
      </c>
      <c r="AA299" s="14">
        <f t="shared" si="53"/>
        <v>7660.7608</v>
      </c>
      <c r="AB299" s="14">
        <f t="shared" si="54"/>
        <v>3460.7608</v>
      </c>
    </row>
    <row r="300" spans="1:28" x14ac:dyDescent="0.25">
      <c r="A300" t="s">
        <v>651</v>
      </c>
      <c r="B300" t="s">
        <v>454</v>
      </c>
      <c r="C300" t="s">
        <v>83</v>
      </c>
      <c r="D300" t="s">
        <v>38</v>
      </c>
      <c r="E300" s="1">
        <v>46094</v>
      </c>
      <c r="F300" s="8">
        <f t="shared" si="44"/>
        <v>2026</v>
      </c>
      <c r="G300" s="1" t="str">
        <f t="shared" si="45"/>
        <v>March</v>
      </c>
      <c r="H300" s="1" t="str">
        <f t="shared" si="46"/>
        <v>Friday</v>
      </c>
      <c r="I300" s="2">
        <v>0.61525462962962962</v>
      </c>
      <c r="J300" s="8">
        <f t="shared" si="47"/>
        <v>14</v>
      </c>
      <c r="K300" s="8">
        <f t="shared" si="48"/>
        <v>45</v>
      </c>
      <c r="L300" t="s">
        <v>30</v>
      </c>
      <c r="M300" t="s">
        <v>31</v>
      </c>
      <c r="N300">
        <v>10</v>
      </c>
      <c r="O300" s="14">
        <v>500</v>
      </c>
      <c r="P300">
        <f>VLOOKUP(L300,'Product-cost'!A:B,2,FALSE)</f>
        <v>200</v>
      </c>
      <c r="Q300" t="s">
        <v>55</v>
      </c>
      <c r="R300" t="s">
        <v>415</v>
      </c>
      <c r="S300" t="s">
        <v>27</v>
      </c>
      <c r="T300" t="s">
        <v>893</v>
      </c>
      <c r="U300" s="14">
        <f t="shared" si="49"/>
        <v>5000</v>
      </c>
      <c r="V300" s="14">
        <f t="shared" si="50"/>
        <v>2000</v>
      </c>
      <c r="W300" s="10">
        <f>VLOOKUP(Q300,Taxrate!A:B,2,FALSE)</f>
        <v>0.12</v>
      </c>
      <c r="X300" s="14">
        <f t="shared" si="51"/>
        <v>600</v>
      </c>
      <c r="Y300" s="10">
        <f>VLOOKUP(L300,'Discount Rate'!A:B,2,FALSE)</f>
        <v>0.08</v>
      </c>
      <c r="Z300" s="14">
        <f t="shared" si="52"/>
        <v>400</v>
      </c>
      <c r="AA300" s="14">
        <f t="shared" si="53"/>
        <v>4000</v>
      </c>
      <c r="AB300" s="14">
        <f t="shared" si="54"/>
        <v>2000</v>
      </c>
    </row>
    <row r="301" spans="1:28" x14ac:dyDescent="0.25">
      <c r="A301" t="s">
        <v>652</v>
      </c>
      <c r="B301" t="s">
        <v>653</v>
      </c>
      <c r="C301" t="s">
        <v>37</v>
      </c>
      <c r="D301" t="s">
        <v>38</v>
      </c>
      <c r="E301" s="1">
        <v>45504</v>
      </c>
      <c r="F301" s="8">
        <f t="shared" si="44"/>
        <v>2024</v>
      </c>
      <c r="G301" s="1" t="str">
        <f t="shared" si="45"/>
        <v>July</v>
      </c>
      <c r="H301" s="1" t="str">
        <f t="shared" si="46"/>
        <v>Wednesday</v>
      </c>
      <c r="I301" s="2">
        <v>0.47759259259259257</v>
      </c>
      <c r="J301" s="8">
        <f t="shared" si="47"/>
        <v>11</v>
      </c>
      <c r="K301" s="8">
        <f t="shared" si="48"/>
        <v>27</v>
      </c>
      <c r="L301" t="s">
        <v>46</v>
      </c>
      <c r="M301" t="s">
        <v>47</v>
      </c>
      <c r="N301">
        <v>6</v>
      </c>
      <c r="O301" s="14">
        <v>220.66</v>
      </c>
      <c r="P301">
        <f>VLOOKUP(L301,'Product-cost'!A:B,2,FALSE)</f>
        <v>150</v>
      </c>
      <c r="Q301" t="s">
        <v>39</v>
      </c>
      <c r="R301" t="s">
        <v>84</v>
      </c>
      <c r="S301" t="s">
        <v>69</v>
      </c>
      <c r="T301" t="s">
        <v>894</v>
      </c>
      <c r="U301" s="14">
        <f t="shared" si="49"/>
        <v>1323.96</v>
      </c>
      <c r="V301" s="14">
        <f t="shared" si="50"/>
        <v>900</v>
      </c>
      <c r="W301" s="10">
        <f>VLOOKUP(Q301,Taxrate!A:B,2,FALSE)</f>
        <v>0.15</v>
      </c>
      <c r="X301" s="14">
        <f t="shared" si="51"/>
        <v>198.59399999999999</v>
      </c>
      <c r="Y301" s="10">
        <f>VLOOKUP(L301,'Discount Rate'!A:B,2,FALSE)</f>
        <v>7.0000000000000007E-2</v>
      </c>
      <c r="Z301" s="14">
        <f t="shared" si="52"/>
        <v>92.677200000000013</v>
      </c>
      <c r="AA301" s="14">
        <f t="shared" si="53"/>
        <v>1032.6887999999999</v>
      </c>
      <c r="AB301" s="14">
        <f t="shared" si="54"/>
        <v>132.6887999999999</v>
      </c>
    </row>
    <row r="302" spans="1:28" x14ac:dyDescent="0.25">
      <c r="A302" t="s">
        <v>654</v>
      </c>
      <c r="B302" t="s">
        <v>655</v>
      </c>
      <c r="C302" t="s">
        <v>129</v>
      </c>
      <c r="D302" t="s">
        <v>22</v>
      </c>
      <c r="E302" s="1">
        <v>46122</v>
      </c>
      <c r="F302" s="8">
        <f t="shared" si="44"/>
        <v>2026</v>
      </c>
      <c r="G302" s="1" t="str">
        <f t="shared" si="45"/>
        <v>April</v>
      </c>
      <c r="H302" s="1" t="str">
        <f t="shared" si="46"/>
        <v>Friday</v>
      </c>
      <c r="I302" s="2">
        <v>0.41671296296296295</v>
      </c>
      <c r="J302" s="8">
        <f t="shared" si="47"/>
        <v>10</v>
      </c>
      <c r="K302" s="8">
        <f t="shared" si="48"/>
        <v>0</v>
      </c>
      <c r="L302" t="s">
        <v>15</v>
      </c>
      <c r="M302" t="s">
        <v>16</v>
      </c>
      <c r="N302">
        <v>15</v>
      </c>
      <c r="O302" s="14">
        <v>1018.37</v>
      </c>
      <c r="P302">
        <f>VLOOKUP(L302,'Product-cost'!A:B,2,FALSE)</f>
        <v>600</v>
      </c>
      <c r="Q302" t="s">
        <v>32</v>
      </c>
      <c r="R302" t="s">
        <v>143</v>
      </c>
      <c r="S302" t="s">
        <v>88</v>
      </c>
      <c r="T302" t="s">
        <v>893</v>
      </c>
      <c r="U302" s="14">
        <f t="shared" si="49"/>
        <v>15275.55</v>
      </c>
      <c r="V302" s="14">
        <f t="shared" si="50"/>
        <v>9000</v>
      </c>
      <c r="W302" s="10">
        <f>VLOOKUP(Q302,Taxrate!A:B,2,FALSE)</f>
        <v>0.2</v>
      </c>
      <c r="X302" s="14">
        <f t="shared" si="51"/>
        <v>3055.11</v>
      </c>
      <c r="Y302" s="10">
        <f>VLOOKUP(L302,'Discount Rate'!A:B,2,FALSE)</f>
        <v>0.05</v>
      </c>
      <c r="Z302" s="14">
        <f t="shared" si="52"/>
        <v>763.77750000000003</v>
      </c>
      <c r="AA302" s="14">
        <f t="shared" si="53"/>
        <v>11456.662499999999</v>
      </c>
      <c r="AB302" s="14">
        <f t="shared" si="54"/>
        <v>2456.6624999999985</v>
      </c>
    </row>
    <row r="303" spans="1:28" x14ac:dyDescent="0.25">
      <c r="A303" t="s">
        <v>656</v>
      </c>
      <c r="B303" t="s">
        <v>447</v>
      </c>
      <c r="C303" t="s">
        <v>58</v>
      </c>
      <c r="D303" t="s">
        <v>59</v>
      </c>
      <c r="E303" s="1">
        <v>45911</v>
      </c>
      <c r="F303" s="8">
        <f t="shared" si="44"/>
        <v>2025</v>
      </c>
      <c r="G303" s="1" t="str">
        <f t="shared" si="45"/>
        <v>September</v>
      </c>
      <c r="H303" s="1" t="str">
        <f t="shared" si="46"/>
        <v>Thursday</v>
      </c>
      <c r="I303" s="2">
        <v>0.70310185185185181</v>
      </c>
      <c r="J303" s="8">
        <f t="shared" si="47"/>
        <v>16</v>
      </c>
      <c r="K303" s="8">
        <f t="shared" si="48"/>
        <v>52</v>
      </c>
      <c r="L303" t="s">
        <v>73</v>
      </c>
      <c r="M303" t="s">
        <v>74</v>
      </c>
      <c r="N303">
        <v>3</v>
      </c>
      <c r="O303" s="14">
        <v>120.56</v>
      </c>
      <c r="P303">
        <f>VLOOKUP(L303,'Product-cost'!A:B,2,FALSE)</f>
        <v>50</v>
      </c>
      <c r="Q303" t="s">
        <v>39</v>
      </c>
      <c r="R303" t="s">
        <v>75</v>
      </c>
      <c r="S303" t="s">
        <v>213</v>
      </c>
      <c r="T303" t="s">
        <v>894</v>
      </c>
      <c r="U303" s="14">
        <f t="shared" si="49"/>
        <v>361.68</v>
      </c>
      <c r="V303" s="14">
        <f t="shared" si="50"/>
        <v>150</v>
      </c>
      <c r="W303" s="10">
        <f>VLOOKUP(Q303,Taxrate!A:B,2,FALSE)</f>
        <v>0.15</v>
      </c>
      <c r="X303" s="14">
        <f t="shared" si="51"/>
        <v>54.252000000000002</v>
      </c>
      <c r="Y303" s="10">
        <f>VLOOKUP(L303,'Discount Rate'!A:B,2,FALSE)</f>
        <v>0.03</v>
      </c>
      <c r="Z303" s="14">
        <f t="shared" si="52"/>
        <v>10.8504</v>
      </c>
      <c r="AA303" s="14">
        <f t="shared" si="53"/>
        <v>296.57760000000002</v>
      </c>
      <c r="AB303" s="14">
        <f t="shared" si="54"/>
        <v>146.57760000000002</v>
      </c>
    </row>
    <row r="304" spans="1:28" x14ac:dyDescent="0.25">
      <c r="A304" t="s">
        <v>657</v>
      </c>
      <c r="B304" t="s">
        <v>658</v>
      </c>
      <c r="C304" t="s">
        <v>165</v>
      </c>
      <c r="D304" t="s">
        <v>38</v>
      </c>
      <c r="E304" s="1">
        <v>46370</v>
      </c>
      <c r="F304" s="8">
        <f t="shared" si="44"/>
        <v>2026</v>
      </c>
      <c r="G304" s="1" t="str">
        <f t="shared" si="45"/>
        <v>December</v>
      </c>
      <c r="H304" s="1" t="str">
        <f t="shared" si="46"/>
        <v>Monday</v>
      </c>
      <c r="I304" s="2">
        <v>0.40104166666666669</v>
      </c>
      <c r="J304" s="8">
        <f t="shared" si="47"/>
        <v>9</v>
      </c>
      <c r="K304" s="8">
        <f t="shared" si="48"/>
        <v>37</v>
      </c>
      <c r="L304" t="s">
        <v>15</v>
      </c>
      <c r="M304" t="s">
        <v>16</v>
      </c>
      <c r="N304">
        <v>12</v>
      </c>
      <c r="O304" s="14">
        <v>1229.68</v>
      </c>
      <c r="P304">
        <f>VLOOKUP(L304,'Product-cost'!A:B,2,FALSE)</f>
        <v>600</v>
      </c>
      <c r="Q304" t="s">
        <v>25</v>
      </c>
      <c r="R304" t="s">
        <v>40</v>
      </c>
      <c r="S304" t="s">
        <v>230</v>
      </c>
      <c r="T304" t="s">
        <v>893</v>
      </c>
      <c r="U304" s="14">
        <f t="shared" si="49"/>
        <v>14756.16</v>
      </c>
      <c r="V304" s="14">
        <f t="shared" si="50"/>
        <v>7200</v>
      </c>
      <c r="W304" s="10">
        <f>VLOOKUP(Q304,Taxrate!A:B,2,FALSE)</f>
        <v>0.1</v>
      </c>
      <c r="X304" s="14">
        <f t="shared" si="51"/>
        <v>1475.616</v>
      </c>
      <c r="Y304" s="10">
        <f>VLOOKUP(L304,'Discount Rate'!A:B,2,FALSE)</f>
        <v>0.05</v>
      </c>
      <c r="Z304" s="14">
        <f t="shared" si="52"/>
        <v>737.80799999999999</v>
      </c>
      <c r="AA304" s="14">
        <f t="shared" si="53"/>
        <v>12542.736000000001</v>
      </c>
      <c r="AB304" s="14">
        <f t="shared" si="54"/>
        <v>5342.7360000000008</v>
      </c>
    </row>
    <row r="305" spans="1:28" x14ac:dyDescent="0.25">
      <c r="A305" t="s">
        <v>659</v>
      </c>
      <c r="B305" t="s">
        <v>429</v>
      </c>
      <c r="C305" t="s">
        <v>66</v>
      </c>
      <c r="D305" t="s">
        <v>67</v>
      </c>
      <c r="E305" s="1">
        <v>46271</v>
      </c>
      <c r="F305" s="8">
        <f t="shared" si="44"/>
        <v>2026</v>
      </c>
      <c r="G305" s="1" t="str">
        <f t="shared" si="45"/>
        <v>September</v>
      </c>
      <c r="H305" s="1" t="str">
        <f t="shared" si="46"/>
        <v>Sunday</v>
      </c>
      <c r="I305" s="2">
        <v>0.56584490740740745</v>
      </c>
      <c r="J305" s="8">
        <f t="shared" si="47"/>
        <v>13</v>
      </c>
      <c r="K305" s="8">
        <f t="shared" si="48"/>
        <v>34</v>
      </c>
      <c r="L305" t="s">
        <v>15</v>
      </c>
      <c r="M305" t="s">
        <v>16</v>
      </c>
      <c r="N305">
        <v>9</v>
      </c>
      <c r="O305" s="14">
        <v>1086.98</v>
      </c>
      <c r="P305">
        <f>VLOOKUP(L305,'Product-cost'!A:B,2,FALSE)</f>
        <v>600</v>
      </c>
      <c r="Q305" t="s">
        <v>25</v>
      </c>
      <c r="R305" t="s">
        <v>68</v>
      </c>
      <c r="T305" t="s">
        <v>895</v>
      </c>
      <c r="U305" s="14">
        <f t="shared" si="49"/>
        <v>9782.82</v>
      </c>
      <c r="V305" s="14">
        <f t="shared" si="50"/>
        <v>5400</v>
      </c>
      <c r="W305" s="10">
        <f>VLOOKUP(Q305,Taxrate!A:B,2,FALSE)</f>
        <v>0.1</v>
      </c>
      <c r="X305" s="14">
        <f t="shared" si="51"/>
        <v>978.28200000000004</v>
      </c>
      <c r="Y305" s="10">
        <f>VLOOKUP(L305,'Discount Rate'!A:B,2,FALSE)</f>
        <v>0.05</v>
      </c>
      <c r="Z305" s="14">
        <f t="shared" si="52"/>
        <v>489.14100000000002</v>
      </c>
      <c r="AA305" s="14">
        <f t="shared" si="53"/>
        <v>8315.3970000000008</v>
      </c>
      <c r="AB305" s="14">
        <f t="shared" si="54"/>
        <v>2915.3970000000008</v>
      </c>
    </row>
    <row r="306" spans="1:28" x14ac:dyDescent="0.25">
      <c r="A306" t="s">
        <v>660</v>
      </c>
      <c r="B306" t="s">
        <v>661</v>
      </c>
      <c r="C306" t="s">
        <v>165</v>
      </c>
      <c r="D306" t="s">
        <v>38</v>
      </c>
      <c r="E306" s="1">
        <v>45082</v>
      </c>
      <c r="F306" s="8">
        <f t="shared" si="44"/>
        <v>2023</v>
      </c>
      <c r="G306" s="1" t="str">
        <f t="shared" si="45"/>
        <v>June</v>
      </c>
      <c r="H306" s="1" t="str">
        <f t="shared" si="46"/>
        <v>Monday</v>
      </c>
      <c r="I306" s="2">
        <v>0.71569444444444441</v>
      </c>
      <c r="J306" s="8">
        <f t="shared" si="47"/>
        <v>17</v>
      </c>
      <c r="K306" s="8">
        <f t="shared" si="48"/>
        <v>10</v>
      </c>
      <c r="L306" t="s">
        <v>15</v>
      </c>
      <c r="M306" t="s">
        <v>16</v>
      </c>
      <c r="N306">
        <v>5</v>
      </c>
      <c r="O306" s="14">
        <v>1112.1600000000001</v>
      </c>
      <c r="P306">
        <f>VLOOKUP(L306,'Product-cost'!A:B,2,FALSE)</f>
        <v>600</v>
      </c>
      <c r="Q306" t="s">
        <v>25</v>
      </c>
      <c r="R306" t="s">
        <v>40</v>
      </c>
      <c r="T306" t="s">
        <v>895</v>
      </c>
      <c r="U306" s="14">
        <f t="shared" si="49"/>
        <v>5560.8</v>
      </c>
      <c r="V306" s="14">
        <f t="shared" si="50"/>
        <v>3000</v>
      </c>
      <c r="W306" s="10">
        <f>VLOOKUP(Q306,Taxrate!A:B,2,FALSE)</f>
        <v>0.1</v>
      </c>
      <c r="X306" s="14">
        <f t="shared" si="51"/>
        <v>556.08000000000004</v>
      </c>
      <c r="Y306" s="10">
        <f>VLOOKUP(L306,'Discount Rate'!A:B,2,FALSE)</f>
        <v>0.05</v>
      </c>
      <c r="Z306" s="14">
        <f t="shared" si="52"/>
        <v>278.04000000000002</v>
      </c>
      <c r="AA306" s="14">
        <f t="shared" si="53"/>
        <v>4726.68</v>
      </c>
      <c r="AB306" s="14">
        <f t="shared" si="54"/>
        <v>1726.6800000000003</v>
      </c>
    </row>
    <row r="307" spans="1:28" x14ac:dyDescent="0.25">
      <c r="A307" t="s">
        <v>662</v>
      </c>
      <c r="B307" t="s">
        <v>663</v>
      </c>
      <c r="C307" t="s">
        <v>386</v>
      </c>
      <c r="D307" t="s">
        <v>45</v>
      </c>
      <c r="E307" s="1">
        <v>45155</v>
      </c>
      <c r="F307" s="8">
        <f t="shared" si="44"/>
        <v>2023</v>
      </c>
      <c r="G307" s="1" t="str">
        <f t="shared" si="45"/>
        <v>August</v>
      </c>
      <c r="H307" s="1" t="str">
        <f t="shared" si="46"/>
        <v>Thursday</v>
      </c>
      <c r="I307" s="2">
        <v>0.74107638888888894</v>
      </c>
      <c r="J307" s="8">
        <f t="shared" si="47"/>
        <v>17</v>
      </c>
      <c r="K307" s="8">
        <f t="shared" si="48"/>
        <v>47</v>
      </c>
      <c r="L307" t="s">
        <v>73</v>
      </c>
      <c r="M307" t="s">
        <v>74</v>
      </c>
      <c r="N307">
        <v>3</v>
      </c>
      <c r="O307" s="14">
        <v>172.56</v>
      </c>
      <c r="P307">
        <f>VLOOKUP(L307,'Product-cost'!A:B,2,FALSE)</f>
        <v>50</v>
      </c>
      <c r="Q307" t="s">
        <v>39</v>
      </c>
      <c r="R307" t="s">
        <v>87</v>
      </c>
      <c r="S307" t="s">
        <v>230</v>
      </c>
      <c r="T307" t="s">
        <v>893</v>
      </c>
      <c r="U307" s="14">
        <f t="shared" si="49"/>
        <v>517.68000000000006</v>
      </c>
      <c r="V307" s="14">
        <f t="shared" si="50"/>
        <v>150</v>
      </c>
      <c r="W307" s="10">
        <f>VLOOKUP(Q307,Taxrate!A:B,2,FALSE)</f>
        <v>0.15</v>
      </c>
      <c r="X307" s="14">
        <f t="shared" si="51"/>
        <v>77.652000000000001</v>
      </c>
      <c r="Y307" s="10">
        <f>VLOOKUP(L307,'Discount Rate'!A:B,2,FALSE)</f>
        <v>0.03</v>
      </c>
      <c r="Z307" s="14">
        <f t="shared" si="52"/>
        <v>15.530400000000002</v>
      </c>
      <c r="AA307" s="14">
        <f t="shared" si="53"/>
        <v>424.49760000000009</v>
      </c>
      <c r="AB307" s="14">
        <f t="shared" si="54"/>
        <v>274.49760000000009</v>
      </c>
    </row>
    <row r="308" spans="1:28" x14ac:dyDescent="0.25">
      <c r="A308" t="s">
        <v>664</v>
      </c>
      <c r="B308" t="s">
        <v>665</v>
      </c>
      <c r="C308" t="s">
        <v>72</v>
      </c>
      <c r="D308" t="s">
        <v>59</v>
      </c>
      <c r="E308" s="1">
        <v>45711</v>
      </c>
      <c r="F308" s="8">
        <f t="shared" si="44"/>
        <v>2025</v>
      </c>
      <c r="G308" s="1" t="str">
        <f t="shared" si="45"/>
        <v>February</v>
      </c>
      <c r="H308" s="1" t="str">
        <f t="shared" si="46"/>
        <v>Sunday</v>
      </c>
      <c r="I308" s="2">
        <v>0.76997685185185183</v>
      </c>
      <c r="J308" s="8">
        <f t="shared" si="47"/>
        <v>18</v>
      </c>
      <c r="K308" s="8">
        <f t="shared" si="48"/>
        <v>28</v>
      </c>
      <c r="L308" t="s">
        <v>23</v>
      </c>
      <c r="M308" t="s">
        <v>24</v>
      </c>
      <c r="N308">
        <v>12</v>
      </c>
      <c r="O308" s="14">
        <v>496.3</v>
      </c>
      <c r="P308">
        <f>VLOOKUP(L308,'Product-cost'!A:B,2,FALSE)</f>
        <v>300</v>
      </c>
      <c r="Q308" t="s">
        <v>25</v>
      </c>
      <c r="R308" t="s">
        <v>222</v>
      </c>
      <c r="S308" t="s">
        <v>132</v>
      </c>
      <c r="T308" t="s">
        <v>893</v>
      </c>
      <c r="U308" s="14">
        <f t="shared" si="49"/>
        <v>5955.6</v>
      </c>
      <c r="V308" s="14">
        <f t="shared" si="50"/>
        <v>3600</v>
      </c>
      <c r="W308" s="10">
        <f>VLOOKUP(Q308,Taxrate!A:B,2,FALSE)</f>
        <v>0.1</v>
      </c>
      <c r="X308" s="14">
        <f t="shared" si="51"/>
        <v>595.56000000000006</v>
      </c>
      <c r="Y308" s="10">
        <f>VLOOKUP(L308,'Discount Rate'!A:B,2,FALSE)</f>
        <v>0.1</v>
      </c>
      <c r="Z308" s="14">
        <f t="shared" si="52"/>
        <v>595.56000000000006</v>
      </c>
      <c r="AA308" s="14">
        <f t="shared" si="53"/>
        <v>4764.4799999999996</v>
      </c>
      <c r="AB308" s="14">
        <f t="shared" si="54"/>
        <v>1164.4799999999996</v>
      </c>
    </row>
    <row r="309" spans="1:28" x14ac:dyDescent="0.25">
      <c r="A309" t="s">
        <v>666</v>
      </c>
      <c r="B309" t="s">
        <v>667</v>
      </c>
      <c r="C309" t="s">
        <v>21</v>
      </c>
      <c r="D309" t="s">
        <v>22</v>
      </c>
      <c r="E309" s="1">
        <v>46326</v>
      </c>
      <c r="F309" s="8">
        <f t="shared" si="44"/>
        <v>2026</v>
      </c>
      <c r="G309" s="1" t="str">
        <f t="shared" si="45"/>
        <v>October</v>
      </c>
      <c r="H309" s="1" t="str">
        <f t="shared" si="46"/>
        <v>Saturday</v>
      </c>
      <c r="I309" s="2">
        <v>0.63621527777777775</v>
      </c>
      <c r="J309" s="8">
        <f t="shared" si="47"/>
        <v>15</v>
      </c>
      <c r="K309" s="8">
        <f t="shared" si="48"/>
        <v>16</v>
      </c>
      <c r="L309" t="s">
        <v>46</v>
      </c>
      <c r="M309" t="s">
        <v>47</v>
      </c>
      <c r="N309">
        <v>1</v>
      </c>
      <c r="O309" s="14">
        <v>263.7</v>
      </c>
      <c r="P309">
        <f>VLOOKUP(L309,'Product-cost'!A:B,2,FALSE)</f>
        <v>150</v>
      </c>
      <c r="Q309" t="s">
        <v>39</v>
      </c>
      <c r="R309" t="s">
        <v>26</v>
      </c>
      <c r="T309" t="s">
        <v>895</v>
      </c>
      <c r="U309" s="14">
        <f t="shared" si="49"/>
        <v>263.7</v>
      </c>
      <c r="V309" s="14">
        <f t="shared" si="50"/>
        <v>150</v>
      </c>
      <c r="W309" s="10">
        <f>VLOOKUP(Q309,Taxrate!A:B,2,FALSE)</f>
        <v>0.15</v>
      </c>
      <c r="X309" s="14">
        <f t="shared" si="51"/>
        <v>39.555</v>
      </c>
      <c r="Y309" s="10">
        <f>VLOOKUP(L309,'Discount Rate'!A:B,2,FALSE)</f>
        <v>7.0000000000000007E-2</v>
      </c>
      <c r="Z309" s="14">
        <f t="shared" si="52"/>
        <v>18.459</v>
      </c>
      <c r="AA309" s="14">
        <f t="shared" si="53"/>
        <v>205.68599999999998</v>
      </c>
      <c r="AB309" s="14">
        <f t="shared" si="54"/>
        <v>55.685999999999979</v>
      </c>
    </row>
    <row r="310" spans="1:28" x14ac:dyDescent="0.25">
      <c r="A310" t="s">
        <v>668</v>
      </c>
      <c r="B310" t="s">
        <v>669</v>
      </c>
      <c r="C310" t="s">
        <v>99</v>
      </c>
      <c r="D310" t="s">
        <v>100</v>
      </c>
      <c r="E310" s="1">
        <v>45613</v>
      </c>
      <c r="F310" s="8">
        <f t="shared" si="44"/>
        <v>2024</v>
      </c>
      <c r="G310" s="1" t="str">
        <f t="shared" si="45"/>
        <v>November</v>
      </c>
      <c r="H310" s="1" t="str">
        <f t="shared" si="46"/>
        <v>Sunday</v>
      </c>
      <c r="I310" s="2">
        <v>0.53548611111111111</v>
      </c>
      <c r="J310" s="8">
        <f t="shared" si="47"/>
        <v>12</v>
      </c>
      <c r="K310" s="8">
        <f t="shared" si="48"/>
        <v>51</v>
      </c>
      <c r="L310" t="s">
        <v>30</v>
      </c>
      <c r="M310" t="s">
        <v>31</v>
      </c>
      <c r="N310">
        <v>7</v>
      </c>
      <c r="O310" s="14">
        <v>455.06</v>
      </c>
      <c r="P310">
        <f>VLOOKUP(L310,'Product-cost'!A:B,2,FALSE)</f>
        <v>200</v>
      </c>
      <c r="Q310" t="s">
        <v>32</v>
      </c>
      <c r="R310" t="s">
        <v>101</v>
      </c>
      <c r="S310" t="s">
        <v>123</v>
      </c>
      <c r="T310" t="s">
        <v>893</v>
      </c>
      <c r="U310" s="14">
        <f t="shared" si="49"/>
        <v>3185.42</v>
      </c>
      <c r="V310" s="14">
        <f t="shared" si="50"/>
        <v>1400</v>
      </c>
      <c r="W310" s="10">
        <f>VLOOKUP(Q310,Taxrate!A:B,2,FALSE)</f>
        <v>0.2</v>
      </c>
      <c r="X310" s="14">
        <f t="shared" si="51"/>
        <v>637.08400000000006</v>
      </c>
      <c r="Y310" s="10">
        <f>VLOOKUP(L310,'Discount Rate'!A:B,2,FALSE)</f>
        <v>0.08</v>
      </c>
      <c r="Z310" s="14">
        <f t="shared" si="52"/>
        <v>254.83360000000002</v>
      </c>
      <c r="AA310" s="14">
        <f t="shared" si="53"/>
        <v>2293.5024000000003</v>
      </c>
      <c r="AB310" s="14">
        <f t="shared" si="54"/>
        <v>893.50240000000031</v>
      </c>
    </row>
    <row r="311" spans="1:28" x14ac:dyDescent="0.25">
      <c r="A311" t="s">
        <v>670</v>
      </c>
      <c r="B311" t="s">
        <v>671</v>
      </c>
      <c r="C311" t="s">
        <v>386</v>
      </c>
      <c r="D311" t="s">
        <v>45</v>
      </c>
      <c r="E311" s="1">
        <v>44951</v>
      </c>
      <c r="F311" s="8">
        <f t="shared" si="44"/>
        <v>2023</v>
      </c>
      <c r="G311" s="1" t="str">
        <f t="shared" si="45"/>
        <v>January</v>
      </c>
      <c r="H311" s="1" t="str">
        <f t="shared" si="46"/>
        <v>Wednesday</v>
      </c>
      <c r="I311" s="2">
        <v>0.3979861111111111</v>
      </c>
      <c r="J311" s="8">
        <f t="shared" si="47"/>
        <v>9</v>
      </c>
      <c r="K311" s="8">
        <f t="shared" si="48"/>
        <v>33</v>
      </c>
      <c r="L311" t="s">
        <v>73</v>
      </c>
      <c r="M311" t="s">
        <v>74</v>
      </c>
      <c r="N311">
        <v>12</v>
      </c>
      <c r="O311" s="14">
        <v>134.47999999999999</v>
      </c>
      <c r="P311">
        <f>VLOOKUP(L311,'Product-cost'!A:B,2,FALSE)</f>
        <v>50</v>
      </c>
      <c r="Q311" t="s">
        <v>51</v>
      </c>
      <c r="R311" t="s">
        <v>80</v>
      </c>
      <c r="S311" t="s">
        <v>69</v>
      </c>
      <c r="T311" t="s">
        <v>894</v>
      </c>
      <c r="U311" s="14">
        <f t="shared" si="49"/>
        <v>1613.7599999999998</v>
      </c>
      <c r="V311" s="14">
        <f t="shared" si="50"/>
        <v>600</v>
      </c>
      <c r="W311" s="10">
        <f>VLOOKUP(Q311,Taxrate!A:B,2,FALSE)</f>
        <v>7.0000000000000007E-2</v>
      </c>
      <c r="X311" s="14">
        <f t="shared" si="51"/>
        <v>112.9632</v>
      </c>
      <c r="Y311" s="10">
        <f>VLOOKUP(L311,'Discount Rate'!A:B,2,FALSE)</f>
        <v>0.03</v>
      </c>
      <c r="Z311" s="14">
        <f t="shared" si="52"/>
        <v>48.41279999999999</v>
      </c>
      <c r="AA311" s="14">
        <f t="shared" si="53"/>
        <v>1452.3839999999998</v>
      </c>
      <c r="AB311" s="14">
        <f t="shared" si="54"/>
        <v>852.38399999999979</v>
      </c>
    </row>
    <row r="312" spans="1:28" x14ac:dyDescent="0.25">
      <c r="A312" t="s">
        <v>672</v>
      </c>
      <c r="B312" t="s">
        <v>385</v>
      </c>
      <c r="C312" t="s">
        <v>66</v>
      </c>
      <c r="D312" t="s">
        <v>67</v>
      </c>
      <c r="E312" s="1">
        <v>45871</v>
      </c>
      <c r="F312" s="8">
        <f t="shared" si="44"/>
        <v>2025</v>
      </c>
      <c r="G312" s="1" t="str">
        <f t="shared" si="45"/>
        <v>August</v>
      </c>
      <c r="H312" s="1" t="str">
        <f t="shared" si="46"/>
        <v>Saturday</v>
      </c>
      <c r="I312" s="2">
        <v>0.40568287037037037</v>
      </c>
      <c r="J312" s="8">
        <f t="shared" si="47"/>
        <v>9</v>
      </c>
      <c r="K312" s="8">
        <f t="shared" si="48"/>
        <v>44</v>
      </c>
      <c r="L312" t="s">
        <v>30</v>
      </c>
      <c r="M312" t="s">
        <v>31</v>
      </c>
      <c r="N312">
        <v>11</v>
      </c>
      <c r="O312" s="14">
        <v>447.76</v>
      </c>
      <c r="P312">
        <f>VLOOKUP(L312,'Product-cost'!A:B,2,FALSE)</f>
        <v>200</v>
      </c>
      <c r="Q312" t="s">
        <v>25</v>
      </c>
      <c r="R312" t="s">
        <v>173</v>
      </c>
      <c r="S312" t="s">
        <v>123</v>
      </c>
      <c r="T312" t="s">
        <v>893</v>
      </c>
      <c r="U312" s="14">
        <f t="shared" si="49"/>
        <v>4925.3599999999997</v>
      </c>
      <c r="V312" s="14">
        <f t="shared" si="50"/>
        <v>2200</v>
      </c>
      <c r="W312" s="10">
        <f>VLOOKUP(Q312,Taxrate!A:B,2,FALSE)</f>
        <v>0.1</v>
      </c>
      <c r="X312" s="14">
        <f t="shared" si="51"/>
        <v>492.536</v>
      </c>
      <c r="Y312" s="10">
        <f>VLOOKUP(L312,'Discount Rate'!A:B,2,FALSE)</f>
        <v>0.08</v>
      </c>
      <c r="Z312" s="14">
        <f t="shared" si="52"/>
        <v>394.02879999999999</v>
      </c>
      <c r="AA312" s="14">
        <f t="shared" si="53"/>
        <v>4038.7951999999996</v>
      </c>
      <c r="AB312" s="14">
        <f t="shared" si="54"/>
        <v>1838.7951999999996</v>
      </c>
    </row>
    <row r="313" spans="1:28" x14ac:dyDescent="0.25">
      <c r="A313" t="s">
        <v>673</v>
      </c>
      <c r="B313" t="s">
        <v>397</v>
      </c>
      <c r="C313" t="s">
        <v>155</v>
      </c>
      <c r="D313" t="s">
        <v>156</v>
      </c>
      <c r="E313" s="1">
        <v>45637</v>
      </c>
      <c r="F313" s="8">
        <f t="shared" si="44"/>
        <v>2024</v>
      </c>
      <c r="G313" s="1" t="str">
        <f t="shared" si="45"/>
        <v>December</v>
      </c>
      <c r="H313" s="1" t="str">
        <f t="shared" si="46"/>
        <v>Wednesday</v>
      </c>
      <c r="I313" s="2">
        <v>0.53629629629629627</v>
      </c>
      <c r="J313" s="8">
        <f t="shared" si="47"/>
        <v>12</v>
      </c>
      <c r="K313" s="8">
        <f t="shared" si="48"/>
        <v>52</v>
      </c>
      <c r="L313" t="s">
        <v>23</v>
      </c>
      <c r="M313" t="s">
        <v>24</v>
      </c>
      <c r="N313">
        <v>8</v>
      </c>
      <c r="O313" s="14">
        <v>540.20000000000005</v>
      </c>
      <c r="P313">
        <f>VLOOKUP(L313,'Product-cost'!A:B,2,FALSE)</f>
        <v>300</v>
      </c>
      <c r="Q313" t="s">
        <v>39</v>
      </c>
      <c r="R313" t="s">
        <v>157</v>
      </c>
      <c r="S313" t="s">
        <v>213</v>
      </c>
      <c r="T313" t="s">
        <v>894</v>
      </c>
      <c r="U313" s="14">
        <f t="shared" si="49"/>
        <v>4321.6000000000004</v>
      </c>
      <c r="V313" s="14">
        <f t="shared" si="50"/>
        <v>2400</v>
      </c>
      <c r="W313" s="10">
        <f>VLOOKUP(Q313,Taxrate!A:B,2,FALSE)</f>
        <v>0.15</v>
      </c>
      <c r="X313" s="14">
        <f t="shared" si="51"/>
        <v>648.24</v>
      </c>
      <c r="Y313" s="10">
        <f>VLOOKUP(L313,'Discount Rate'!A:B,2,FALSE)</f>
        <v>0.1</v>
      </c>
      <c r="Z313" s="14">
        <f t="shared" si="52"/>
        <v>432.16000000000008</v>
      </c>
      <c r="AA313" s="14">
        <f t="shared" si="53"/>
        <v>3241.2000000000007</v>
      </c>
      <c r="AB313" s="14">
        <f t="shared" si="54"/>
        <v>841.20000000000073</v>
      </c>
    </row>
    <row r="314" spans="1:28" x14ac:dyDescent="0.25">
      <c r="A314" t="s">
        <v>674</v>
      </c>
      <c r="B314" t="s">
        <v>675</v>
      </c>
      <c r="C314" t="s">
        <v>187</v>
      </c>
      <c r="D314" t="s">
        <v>156</v>
      </c>
      <c r="E314" s="1">
        <v>44998</v>
      </c>
      <c r="F314" s="8">
        <f t="shared" si="44"/>
        <v>2023</v>
      </c>
      <c r="G314" s="1" t="str">
        <f t="shared" si="45"/>
        <v>March</v>
      </c>
      <c r="H314" s="1" t="str">
        <f t="shared" si="46"/>
        <v>Monday</v>
      </c>
      <c r="I314" s="2">
        <v>0.40053240740740742</v>
      </c>
      <c r="J314" s="8">
        <f t="shared" si="47"/>
        <v>9</v>
      </c>
      <c r="K314" s="8">
        <f t="shared" si="48"/>
        <v>36</v>
      </c>
      <c r="L314" t="s">
        <v>30</v>
      </c>
      <c r="M314" t="s">
        <v>31</v>
      </c>
      <c r="N314">
        <v>1</v>
      </c>
      <c r="O314" s="14">
        <v>349.77</v>
      </c>
      <c r="P314">
        <f>VLOOKUP(L314,'Product-cost'!A:B,2,FALSE)</f>
        <v>200</v>
      </c>
      <c r="Q314" t="s">
        <v>51</v>
      </c>
      <c r="R314" t="s">
        <v>252</v>
      </c>
      <c r="S314" t="s">
        <v>123</v>
      </c>
      <c r="T314" t="s">
        <v>893</v>
      </c>
      <c r="U314" s="14">
        <f t="shared" si="49"/>
        <v>349.77</v>
      </c>
      <c r="V314" s="14">
        <f t="shared" si="50"/>
        <v>200</v>
      </c>
      <c r="W314" s="10">
        <f>VLOOKUP(Q314,Taxrate!A:B,2,FALSE)</f>
        <v>7.0000000000000007E-2</v>
      </c>
      <c r="X314" s="14">
        <f t="shared" si="51"/>
        <v>24.483900000000002</v>
      </c>
      <c r="Y314" s="10">
        <f>VLOOKUP(L314,'Discount Rate'!A:B,2,FALSE)</f>
        <v>0.08</v>
      </c>
      <c r="Z314" s="14">
        <f t="shared" si="52"/>
        <v>27.9816</v>
      </c>
      <c r="AA314" s="14">
        <f t="shared" si="53"/>
        <v>297.30449999999996</v>
      </c>
      <c r="AB314" s="14">
        <f t="shared" si="54"/>
        <v>97.304499999999962</v>
      </c>
    </row>
    <row r="315" spans="1:28" x14ac:dyDescent="0.25">
      <c r="A315" t="s">
        <v>676</v>
      </c>
      <c r="B315" t="s">
        <v>677</v>
      </c>
      <c r="C315" t="s">
        <v>72</v>
      </c>
      <c r="D315" t="s">
        <v>59</v>
      </c>
      <c r="E315" s="1">
        <v>45997</v>
      </c>
      <c r="F315" s="8">
        <f t="shared" si="44"/>
        <v>2025</v>
      </c>
      <c r="G315" s="1" t="str">
        <f t="shared" si="45"/>
        <v>December</v>
      </c>
      <c r="H315" s="1" t="str">
        <f t="shared" si="46"/>
        <v>Saturday</v>
      </c>
      <c r="I315" s="2">
        <v>0.90751157407407412</v>
      </c>
      <c r="J315" s="8">
        <f t="shared" si="47"/>
        <v>21</v>
      </c>
      <c r="K315" s="8">
        <f t="shared" si="48"/>
        <v>46</v>
      </c>
      <c r="L315" t="s">
        <v>15</v>
      </c>
      <c r="M315" t="s">
        <v>16</v>
      </c>
      <c r="N315">
        <v>1</v>
      </c>
      <c r="O315" s="14">
        <v>1144.6300000000001</v>
      </c>
      <c r="P315">
        <f>VLOOKUP(L315,'Product-cost'!A:B,2,FALSE)</f>
        <v>600</v>
      </c>
      <c r="Q315" t="s">
        <v>39</v>
      </c>
      <c r="R315" t="s">
        <v>222</v>
      </c>
      <c r="S315" t="s">
        <v>123</v>
      </c>
      <c r="T315" t="s">
        <v>893</v>
      </c>
      <c r="U315" s="14">
        <f t="shared" si="49"/>
        <v>1144.6300000000001</v>
      </c>
      <c r="V315" s="14">
        <f t="shared" si="50"/>
        <v>600</v>
      </c>
      <c r="W315" s="10">
        <f>VLOOKUP(Q315,Taxrate!A:B,2,FALSE)</f>
        <v>0.15</v>
      </c>
      <c r="X315" s="14">
        <f t="shared" si="51"/>
        <v>171.69450000000001</v>
      </c>
      <c r="Y315" s="10">
        <f>VLOOKUP(L315,'Discount Rate'!A:B,2,FALSE)</f>
        <v>0.05</v>
      </c>
      <c r="Z315" s="14">
        <f t="shared" si="52"/>
        <v>57.231500000000011</v>
      </c>
      <c r="AA315" s="14">
        <f t="shared" si="53"/>
        <v>915.70400000000006</v>
      </c>
      <c r="AB315" s="14">
        <f t="shared" si="54"/>
        <v>315.70400000000006</v>
      </c>
    </row>
    <row r="316" spans="1:28" x14ac:dyDescent="0.25">
      <c r="A316" t="s">
        <v>678</v>
      </c>
      <c r="B316" t="s">
        <v>679</v>
      </c>
      <c r="C316" t="s">
        <v>66</v>
      </c>
      <c r="D316" t="s">
        <v>67</v>
      </c>
      <c r="E316" s="1">
        <v>46021</v>
      </c>
      <c r="F316" s="8">
        <f t="shared" si="44"/>
        <v>2025</v>
      </c>
      <c r="G316" s="1" t="str">
        <f t="shared" si="45"/>
        <v>December</v>
      </c>
      <c r="H316" s="1" t="str">
        <f t="shared" si="46"/>
        <v>Tuesday</v>
      </c>
      <c r="I316" s="2">
        <v>0.41214120370370372</v>
      </c>
      <c r="J316" s="8">
        <f t="shared" si="47"/>
        <v>9</v>
      </c>
      <c r="K316" s="8">
        <f t="shared" si="48"/>
        <v>53</v>
      </c>
      <c r="L316" t="s">
        <v>30</v>
      </c>
      <c r="M316" t="s">
        <v>31</v>
      </c>
      <c r="N316">
        <v>3</v>
      </c>
      <c r="O316" s="14">
        <v>513.5</v>
      </c>
      <c r="P316">
        <f>VLOOKUP(L316,'Product-cost'!A:B,2,FALSE)</f>
        <v>200</v>
      </c>
      <c r="Q316" t="s">
        <v>32</v>
      </c>
      <c r="R316" t="s">
        <v>68</v>
      </c>
      <c r="S316" t="s">
        <v>27</v>
      </c>
      <c r="T316" t="s">
        <v>893</v>
      </c>
      <c r="U316" s="14">
        <f t="shared" si="49"/>
        <v>1540.5</v>
      </c>
      <c r="V316" s="14">
        <f t="shared" si="50"/>
        <v>600</v>
      </c>
      <c r="W316" s="10">
        <f>VLOOKUP(Q316,Taxrate!A:B,2,FALSE)</f>
        <v>0.2</v>
      </c>
      <c r="X316" s="14">
        <f t="shared" si="51"/>
        <v>308.10000000000002</v>
      </c>
      <c r="Y316" s="10">
        <f>VLOOKUP(L316,'Discount Rate'!A:B,2,FALSE)</f>
        <v>0.08</v>
      </c>
      <c r="Z316" s="14">
        <f t="shared" si="52"/>
        <v>123.24000000000001</v>
      </c>
      <c r="AA316" s="14">
        <f t="shared" si="53"/>
        <v>1109.1600000000001</v>
      </c>
      <c r="AB316" s="14">
        <f t="shared" si="54"/>
        <v>509.16000000000008</v>
      </c>
    </row>
    <row r="317" spans="1:28" x14ac:dyDescent="0.25">
      <c r="A317" t="s">
        <v>680</v>
      </c>
      <c r="B317" t="s">
        <v>681</v>
      </c>
      <c r="C317" t="s">
        <v>129</v>
      </c>
      <c r="D317" t="s">
        <v>22</v>
      </c>
      <c r="E317" s="1">
        <v>45322</v>
      </c>
      <c r="F317" s="8">
        <f t="shared" si="44"/>
        <v>2024</v>
      </c>
      <c r="G317" s="1" t="str">
        <f t="shared" si="45"/>
        <v>January</v>
      </c>
      <c r="H317" s="1" t="str">
        <f t="shared" si="46"/>
        <v>Wednesday</v>
      </c>
      <c r="I317" s="2">
        <v>0.81753472222222223</v>
      </c>
      <c r="J317" s="8">
        <f t="shared" si="47"/>
        <v>19</v>
      </c>
      <c r="K317" s="8">
        <f t="shared" si="48"/>
        <v>37</v>
      </c>
      <c r="L317" t="s">
        <v>73</v>
      </c>
      <c r="M317" t="s">
        <v>74</v>
      </c>
      <c r="N317">
        <v>13</v>
      </c>
      <c r="O317" s="14">
        <v>143.08000000000001</v>
      </c>
      <c r="P317">
        <f>VLOOKUP(L317,'Product-cost'!A:B,2,FALSE)</f>
        <v>50</v>
      </c>
      <c r="Q317" t="s">
        <v>55</v>
      </c>
      <c r="R317" t="s">
        <v>52</v>
      </c>
      <c r="T317" t="s">
        <v>895</v>
      </c>
      <c r="U317" s="14">
        <f t="shared" si="49"/>
        <v>1860.0400000000002</v>
      </c>
      <c r="V317" s="14">
        <f t="shared" si="50"/>
        <v>650</v>
      </c>
      <c r="W317" s="10">
        <f>VLOOKUP(Q317,Taxrate!A:B,2,FALSE)</f>
        <v>0.12</v>
      </c>
      <c r="X317" s="14">
        <f t="shared" si="51"/>
        <v>223.20480000000001</v>
      </c>
      <c r="Y317" s="10">
        <f>VLOOKUP(L317,'Discount Rate'!A:B,2,FALSE)</f>
        <v>0.03</v>
      </c>
      <c r="Z317" s="14">
        <f t="shared" si="52"/>
        <v>55.801200000000001</v>
      </c>
      <c r="AA317" s="14">
        <f t="shared" si="53"/>
        <v>1581.0340000000001</v>
      </c>
      <c r="AB317" s="14">
        <f t="shared" si="54"/>
        <v>931.03400000000011</v>
      </c>
    </row>
    <row r="318" spans="1:28" x14ac:dyDescent="0.25">
      <c r="A318" t="s">
        <v>682</v>
      </c>
      <c r="B318" t="s">
        <v>574</v>
      </c>
      <c r="C318" t="s">
        <v>155</v>
      </c>
      <c r="D318" t="s">
        <v>156</v>
      </c>
      <c r="E318" s="1">
        <v>45538</v>
      </c>
      <c r="F318" s="8">
        <f t="shared" si="44"/>
        <v>2024</v>
      </c>
      <c r="G318" s="1" t="str">
        <f t="shared" si="45"/>
        <v>September</v>
      </c>
      <c r="H318" s="1" t="str">
        <f t="shared" si="46"/>
        <v>Tuesday</v>
      </c>
      <c r="I318" s="2">
        <v>0.78883101851851856</v>
      </c>
      <c r="J318" s="8">
        <f t="shared" si="47"/>
        <v>18</v>
      </c>
      <c r="K318" s="8">
        <f t="shared" si="48"/>
        <v>55</v>
      </c>
      <c r="L318" t="s">
        <v>46</v>
      </c>
      <c r="M318" t="s">
        <v>47</v>
      </c>
      <c r="N318">
        <v>10</v>
      </c>
      <c r="O318" s="14">
        <v>183.92</v>
      </c>
      <c r="P318">
        <f>VLOOKUP(L318,'Product-cost'!A:B,2,FALSE)</f>
        <v>150</v>
      </c>
      <c r="Q318" t="s">
        <v>32</v>
      </c>
      <c r="R318" t="s">
        <v>252</v>
      </c>
      <c r="S318" t="s">
        <v>152</v>
      </c>
      <c r="T318" t="s">
        <v>893</v>
      </c>
      <c r="U318" s="14">
        <f t="shared" si="49"/>
        <v>1839.1999999999998</v>
      </c>
      <c r="V318" s="14">
        <f t="shared" si="50"/>
        <v>1500</v>
      </c>
      <c r="W318" s="10">
        <f>VLOOKUP(Q318,Taxrate!A:B,2,FALSE)</f>
        <v>0.2</v>
      </c>
      <c r="X318" s="14">
        <f t="shared" si="51"/>
        <v>367.84</v>
      </c>
      <c r="Y318" s="10">
        <f>VLOOKUP(L318,'Discount Rate'!A:B,2,FALSE)</f>
        <v>7.0000000000000007E-2</v>
      </c>
      <c r="Z318" s="14">
        <f t="shared" si="52"/>
        <v>128.744</v>
      </c>
      <c r="AA318" s="14">
        <f t="shared" si="53"/>
        <v>1342.616</v>
      </c>
      <c r="AB318" s="14">
        <f t="shared" si="54"/>
        <v>-157.38400000000001</v>
      </c>
    </row>
    <row r="319" spans="1:28" x14ac:dyDescent="0.25">
      <c r="A319" t="s">
        <v>683</v>
      </c>
      <c r="B319" t="s">
        <v>684</v>
      </c>
      <c r="C319" t="s">
        <v>44</v>
      </c>
      <c r="D319" t="s">
        <v>45</v>
      </c>
      <c r="E319" s="1">
        <v>45126</v>
      </c>
      <c r="F319" s="8">
        <f t="shared" si="44"/>
        <v>2023</v>
      </c>
      <c r="G319" s="1" t="str">
        <f t="shared" si="45"/>
        <v>July</v>
      </c>
      <c r="H319" s="1" t="str">
        <f t="shared" si="46"/>
        <v>Wednesday</v>
      </c>
      <c r="I319" s="2">
        <v>0.71589120370370374</v>
      </c>
      <c r="J319" s="8">
        <f t="shared" si="47"/>
        <v>17</v>
      </c>
      <c r="K319" s="8">
        <f t="shared" si="48"/>
        <v>10</v>
      </c>
      <c r="L319" t="s">
        <v>46</v>
      </c>
      <c r="M319" t="s">
        <v>47</v>
      </c>
      <c r="N319">
        <v>7</v>
      </c>
      <c r="O319" s="14">
        <v>188.56</v>
      </c>
      <c r="P319">
        <f>VLOOKUP(L319,'Product-cost'!A:B,2,FALSE)</f>
        <v>150</v>
      </c>
      <c r="Q319" t="s">
        <v>55</v>
      </c>
      <c r="R319" t="s">
        <v>48</v>
      </c>
      <c r="S319" t="s">
        <v>213</v>
      </c>
      <c r="T319" t="s">
        <v>894</v>
      </c>
      <c r="U319" s="14">
        <f t="shared" si="49"/>
        <v>1319.92</v>
      </c>
      <c r="V319" s="14">
        <f t="shared" si="50"/>
        <v>1050</v>
      </c>
      <c r="W319" s="10">
        <f>VLOOKUP(Q319,Taxrate!A:B,2,FALSE)</f>
        <v>0.12</v>
      </c>
      <c r="X319" s="14">
        <f t="shared" si="51"/>
        <v>158.3904</v>
      </c>
      <c r="Y319" s="10">
        <f>VLOOKUP(L319,'Discount Rate'!A:B,2,FALSE)</f>
        <v>7.0000000000000007E-2</v>
      </c>
      <c r="Z319" s="14">
        <f t="shared" si="52"/>
        <v>92.394400000000019</v>
      </c>
      <c r="AA319" s="14">
        <f t="shared" si="53"/>
        <v>1069.1352000000002</v>
      </c>
      <c r="AB319" s="14">
        <f t="shared" si="54"/>
        <v>19.135200000000168</v>
      </c>
    </row>
    <row r="320" spans="1:28" x14ac:dyDescent="0.25">
      <c r="A320" t="s">
        <v>685</v>
      </c>
      <c r="B320" t="s">
        <v>686</v>
      </c>
      <c r="C320" t="s">
        <v>83</v>
      </c>
      <c r="D320" t="s">
        <v>38</v>
      </c>
      <c r="E320" s="1">
        <v>46064</v>
      </c>
      <c r="F320" s="8">
        <f t="shared" si="44"/>
        <v>2026</v>
      </c>
      <c r="G320" s="1" t="str">
        <f t="shared" si="45"/>
        <v>February</v>
      </c>
      <c r="H320" s="1" t="str">
        <f t="shared" si="46"/>
        <v>Wednesday</v>
      </c>
      <c r="I320" s="2">
        <v>0.57905092592592589</v>
      </c>
      <c r="J320" s="8">
        <f t="shared" si="47"/>
        <v>13</v>
      </c>
      <c r="K320" s="8">
        <f t="shared" si="48"/>
        <v>53</v>
      </c>
      <c r="L320" t="s">
        <v>23</v>
      </c>
      <c r="M320" t="s">
        <v>24</v>
      </c>
      <c r="N320">
        <v>10</v>
      </c>
      <c r="O320" s="14">
        <v>498.97</v>
      </c>
      <c r="P320">
        <f>VLOOKUP(L320,'Product-cost'!A:B,2,FALSE)</f>
        <v>300</v>
      </c>
      <c r="Q320" t="s">
        <v>25</v>
      </c>
      <c r="R320" t="s">
        <v>84</v>
      </c>
      <c r="S320" t="s">
        <v>115</v>
      </c>
      <c r="T320" t="s">
        <v>893</v>
      </c>
      <c r="U320" s="14">
        <f t="shared" si="49"/>
        <v>4989.7000000000007</v>
      </c>
      <c r="V320" s="14">
        <f t="shared" si="50"/>
        <v>3000</v>
      </c>
      <c r="W320" s="10">
        <f>VLOOKUP(Q320,Taxrate!A:B,2,FALSE)</f>
        <v>0.1</v>
      </c>
      <c r="X320" s="14">
        <f t="shared" si="51"/>
        <v>498.97000000000008</v>
      </c>
      <c r="Y320" s="10">
        <f>VLOOKUP(L320,'Discount Rate'!A:B,2,FALSE)</f>
        <v>0.1</v>
      </c>
      <c r="Z320" s="14">
        <f t="shared" si="52"/>
        <v>498.97000000000008</v>
      </c>
      <c r="AA320" s="14">
        <f t="shared" si="53"/>
        <v>3991.76</v>
      </c>
      <c r="AB320" s="14">
        <f t="shared" si="54"/>
        <v>991.76000000000022</v>
      </c>
    </row>
    <row r="321" spans="1:28" x14ac:dyDescent="0.25">
      <c r="A321" t="s">
        <v>687</v>
      </c>
      <c r="B321" t="s">
        <v>688</v>
      </c>
      <c r="C321" t="s">
        <v>91</v>
      </c>
      <c r="D321" t="s">
        <v>92</v>
      </c>
      <c r="E321" s="1">
        <v>45250</v>
      </c>
      <c r="F321" s="8">
        <f t="shared" si="44"/>
        <v>2023</v>
      </c>
      <c r="G321" s="1" t="str">
        <f t="shared" si="45"/>
        <v>November</v>
      </c>
      <c r="H321" s="1" t="str">
        <f t="shared" si="46"/>
        <v>Monday</v>
      </c>
      <c r="I321" s="2">
        <v>0.62847222222222221</v>
      </c>
      <c r="J321" s="8">
        <f t="shared" si="47"/>
        <v>15</v>
      </c>
      <c r="K321" s="8">
        <f t="shared" si="48"/>
        <v>5</v>
      </c>
      <c r="L321" t="s">
        <v>15</v>
      </c>
      <c r="M321" t="s">
        <v>16</v>
      </c>
      <c r="N321">
        <v>2</v>
      </c>
      <c r="O321" s="14">
        <v>1096.8699999999999</v>
      </c>
      <c r="P321">
        <f>VLOOKUP(L321,'Product-cost'!A:B,2,FALSE)</f>
        <v>600</v>
      </c>
      <c r="Q321" t="s">
        <v>25</v>
      </c>
      <c r="R321" t="s">
        <v>112</v>
      </c>
      <c r="S321" t="s">
        <v>102</v>
      </c>
      <c r="T321" t="s">
        <v>895</v>
      </c>
      <c r="U321" s="14">
        <f t="shared" si="49"/>
        <v>2193.7399999999998</v>
      </c>
      <c r="V321" s="14">
        <f t="shared" si="50"/>
        <v>1200</v>
      </c>
      <c r="W321" s="10">
        <f>VLOOKUP(Q321,Taxrate!A:B,2,FALSE)</f>
        <v>0.1</v>
      </c>
      <c r="X321" s="14">
        <f t="shared" si="51"/>
        <v>219.374</v>
      </c>
      <c r="Y321" s="10">
        <f>VLOOKUP(L321,'Discount Rate'!A:B,2,FALSE)</f>
        <v>0.05</v>
      </c>
      <c r="Z321" s="14">
        <f t="shared" si="52"/>
        <v>109.687</v>
      </c>
      <c r="AA321" s="14">
        <f t="shared" si="53"/>
        <v>1864.6789999999999</v>
      </c>
      <c r="AB321" s="14">
        <f t="shared" si="54"/>
        <v>664.67899999999986</v>
      </c>
    </row>
    <row r="322" spans="1:28" x14ac:dyDescent="0.25">
      <c r="A322" t="s">
        <v>689</v>
      </c>
      <c r="B322" t="s">
        <v>690</v>
      </c>
      <c r="C322" t="s">
        <v>21</v>
      </c>
      <c r="D322" t="s">
        <v>22</v>
      </c>
      <c r="E322" s="1">
        <v>46118</v>
      </c>
      <c r="F322" s="8">
        <f t="shared" si="44"/>
        <v>2026</v>
      </c>
      <c r="G322" s="1" t="str">
        <f t="shared" si="45"/>
        <v>April</v>
      </c>
      <c r="H322" s="1" t="str">
        <f t="shared" si="46"/>
        <v>Monday</v>
      </c>
      <c r="I322" s="2">
        <v>0.71649305555555554</v>
      </c>
      <c r="J322" s="8">
        <f t="shared" si="47"/>
        <v>17</v>
      </c>
      <c r="K322" s="8">
        <f t="shared" si="48"/>
        <v>11</v>
      </c>
      <c r="L322" t="s">
        <v>73</v>
      </c>
      <c r="M322" t="s">
        <v>74</v>
      </c>
      <c r="N322">
        <v>2</v>
      </c>
      <c r="O322" s="14">
        <v>178.69</v>
      </c>
      <c r="P322">
        <f>VLOOKUP(L322,'Product-cost'!A:B,2,FALSE)</f>
        <v>50</v>
      </c>
      <c r="Q322" t="s">
        <v>25</v>
      </c>
      <c r="R322" t="s">
        <v>52</v>
      </c>
      <c r="S322" t="s">
        <v>158</v>
      </c>
      <c r="T322" t="s">
        <v>893</v>
      </c>
      <c r="U322" s="14">
        <f t="shared" si="49"/>
        <v>357.38</v>
      </c>
      <c r="V322" s="14">
        <f t="shared" si="50"/>
        <v>100</v>
      </c>
      <c r="W322" s="10">
        <f>VLOOKUP(Q322,Taxrate!A:B,2,FALSE)</f>
        <v>0.1</v>
      </c>
      <c r="X322" s="14">
        <f t="shared" si="51"/>
        <v>35.738</v>
      </c>
      <c r="Y322" s="10">
        <f>VLOOKUP(L322,'Discount Rate'!A:B,2,FALSE)</f>
        <v>0.03</v>
      </c>
      <c r="Z322" s="14">
        <f t="shared" si="52"/>
        <v>10.721399999999999</v>
      </c>
      <c r="AA322" s="14">
        <f t="shared" si="53"/>
        <v>310.92059999999998</v>
      </c>
      <c r="AB322" s="14">
        <f t="shared" si="54"/>
        <v>210.92059999999998</v>
      </c>
    </row>
    <row r="323" spans="1:28" x14ac:dyDescent="0.25">
      <c r="A323" t="s">
        <v>691</v>
      </c>
      <c r="B323" t="s">
        <v>308</v>
      </c>
      <c r="C323" t="s">
        <v>126</v>
      </c>
      <c r="D323" t="s">
        <v>22</v>
      </c>
      <c r="E323" s="1">
        <v>45877</v>
      </c>
      <c r="F323" s="8">
        <f t="shared" ref="F323:F386" si="55">YEAR(E323)</f>
        <v>2025</v>
      </c>
      <c r="G323" s="1" t="str">
        <f t="shared" ref="G323:G386" si="56">TEXT(E323,"mmmm")</f>
        <v>August</v>
      </c>
      <c r="H323" s="1" t="str">
        <f t="shared" ref="H323:H386" si="57">TEXT(E323, "dddd")</f>
        <v>Friday</v>
      </c>
      <c r="I323" s="2">
        <v>0.50222222222222224</v>
      </c>
      <c r="J323" s="8">
        <f t="shared" ref="J323:J386" si="58">HOUR(I323)</f>
        <v>12</v>
      </c>
      <c r="K323" s="8">
        <f t="shared" ref="K323:K386" si="59">MINUTE(I323)</f>
        <v>3</v>
      </c>
      <c r="L323" t="s">
        <v>15</v>
      </c>
      <c r="M323" t="s">
        <v>16</v>
      </c>
      <c r="N323">
        <v>11</v>
      </c>
      <c r="O323" s="14">
        <v>1255.74</v>
      </c>
      <c r="P323">
        <f>VLOOKUP(L323,'Product-cost'!A:B,2,FALSE)</f>
        <v>600</v>
      </c>
      <c r="Q323" t="s">
        <v>39</v>
      </c>
      <c r="R323" t="s">
        <v>26</v>
      </c>
      <c r="S323" t="s">
        <v>27</v>
      </c>
      <c r="T323" t="s">
        <v>893</v>
      </c>
      <c r="U323" s="14">
        <f t="shared" ref="U323:U386" si="60">O323*N323</f>
        <v>13813.14</v>
      </c>
      <c r="V323" s="14">
        <f t="shared" ref="V323:V386" si="61">P323*N323</f>
        <v>6600</v>
      </c>
      <c r="W323" s="10">
        <f>VLOOKUP(Q323,Taxrate!A:B,2,FALSE)</f>
        <v>0.15</v>
      </c>
      <c r="X323" s="14">
        <f t="shared" ref="X323:X386" si="62">U323*W323</f>
        <v>2071.971</v>
      </c>
      <c r="Y323" s="10">
        <f>VLOOKUP(L323,'Discount Rate'!A:B,2,FALSE)</f>
        <v>0.05</v>
      </c>
      <c r="Z323" s="14">
        <f t="shared" ref="Z323:Z386" si="63">Y323*U323</f>
        <v>690.65700000000004</v>
      </c>
      <c r="AA323" s="14">
        <f t="shared" ref="AA323:AA386" si="64">U323-X323-Z323</f>
        <v>11050.512000000001</v>
      </c>
      <c r="AB323" s="14">
        <f t="shared" ref="AB323:AB386" si="65">AA323-V323</f>
        <v>4450.5120000000006</v>
      </c>
    </row>
    <row r="324" spans="1:28" x14ac:dyDescent="0.25">
      <c r="A324" t="s">
        <v>692</v>
      </c>
      <c r="B324" t="s">
        <v>693</v>
      </c>
      <c r="C324" t="s">
        <v>139</v>
      </c>
      <c r="D324" t="s">
        <v>22</v>
      </c>
      <c r="E324" s="1">
        <v>44965</v>
      </c>
      <c r="F324" s="8">
        <f t="shared" si="55"/>
        <v>2023</v>
      </c>
      <c r="G324" s="1" t="str">
        <f t="shared" si="56"/>
        <v>February</v>
      </c>
      <c r="H324" s="1" t="str">
        <f t="shared" si="57"/>
        <v>Wednesday</v>
      </c>
      <c r="I324" s="2">
        <v>0.67442129629629632</v>
      </c>
      <c r="J324" s="8">
        <f t="shared" si="58"/>
        <v>16</v>
      </c>
      <c r="K324" s="8">
        <f t="shared" si="59"/>
        <v>11</v>
      </c>
      <c r="L324" t="s">
        <v>15</v>
      </c>
      <c r="M324" t="s">
        <v>16</v>
      </c>
      <c r="N324">
        <v>2</v>
      </c>
      <c r="O324" s="14">
        <v>500</v>
      </c>
      <c r="P324">
        <f>VLOOKUP(L324,'Product-cost'!A:B,2,FALSE)</f>
        <v>600</v>
      </c>
      <c r="Q324" t="s">
        <v>32</v>
      </c>
      <c r="R324" t="s">
        <v>143</v>
      </c>
      <c r="S324" t="s">
        <v>69</v>
      </c>
      <c r="T324" t="s">
        <v>894</v>
      </c>
      <c r="U324" s="14">
        <f t="shared" si="60"/>
        <v>1000</v>
      </c>
      <c r="V324" s="14">
        <f t="shared" si="61"/>
        <v>1200</v>
      </c>
      <c r="W324" s="10">
        <f>VLOOKUP(Q324,Taxrate!A:B,2,FALSE)</f>
        <v>0.2</v>
      </c>
      <c r="X324" s="14">
        <f t="shared" si="62"/>
        <v>200</v>
      </c>
      <c r="Y324" s="10">
        <f>VLOOKUP(L324,'Discount Rate'!A:B,2,FALSE)</f>
        <v>0.05</v>
      </c>
      <c r="Z324" s="14">
        <f t="shared" si="63"/>
        <v>50</v>
      </c>
      <c r="AA324" s="14">
        <f t="shared" si="64"/>
        <v>750</v>
      </c>
      <c r="AB324" s="14">
        <f t="shared" si="65"/>
        <v>-450</v>
      </c>
    </row>
    <row r="325" spans="1:28" x14ac:dyDescent="0.25">
      <c r="A325" t="s">
        <v>694</v>
      </c>
      <c r="B325" t="s">
        <v>695</v>
      </c>
      <c r="C325" t="s">
        <v>83</v>
      </c>
      <c r="D325" t="s">
        <v>38</v>
      </c>
      <c r="E325" s="1">
        <v>45127</v>
      </c>
      <c r="F325" s="8">
        <f t="shared" si="55"/>
        <v>2023</v>
      </c>
      <c r="G325" s="1" t="str">
        <f t="shared" si="56"/>
        <v>July</v>
      </c>
      <c r="H325" s="1" t="str">
        <f t="shared" si="57"/>
        <v>Thursday</v>
      </c>
      <c r="I325" s="2">
        <v>0.81035879629629626</v>
      </c>
      <c r="J325" s="8">
        <f t="shared" si="58"/>
        <v>19</v>
      </c>
      <c r="K325" s="8">
        <f t="shared" si="59"/>
        <v>26</v>
      </c>
      <c r="L325" t="s">
        <v>23</v>
      </c>
      <c r="M325" t="s">
        <v>24</v>
      </c>
      <c r="N325">
        <v>4</v>
      </c>
      <c r="O325" s="14">
        <v>500</v>
      </c>
      <c r="P325">
        <f>VLOOKUP(L325,'Product-cost'!A:B,2,FALSE)</f>
        <v>300</v>
      </c>
      <c r="Q325" t="s">
        <v>55</v>
      </c>
      <c r="R325" t="s">
        <v>84</v>
      </c>
      <c r="S325" t="s">
        <v>88</v>
      </c>
      <c r="T325" t="s">
        <v>893</v>
      </c>
      <c r="U325" s="14">
        <f t="shared" si="60"/>
        <v>2000</v>
      </c>
      <c r="V325" s="14">
        <f t="shared" si="61"/>
        <v>1200</v>
      </c>
      <c r="W325" s="10">
        <f>VLOOKUP(Q325,Taxrate!A:B,2,FALSE)</f>
        <v>0.12</v>
      </c>
      <c r="X325" s="14">
        <f t="shared" si="62"/>
        <v>240</v>
      </c>
      <c r="Y325" s="10">
        <f>VLOOKUP(L325,'Discount Rate'!A:B,2,FALSE)</f>
        <v>0.1</v>
      </c>
      <c r="Z325" s="14">
        <f t="shared" si="63"/>
        <v>200</v>
      </c>
      <c r="AA325" s="14">
        <f t="shared" si="64"/>
        <v>1560</v>
      </c>
      <c r="AB325" s="14">
        <f t="shared" si="65"/>
        <v>360</v>
      </c>
    </row>
    <row r="326" spans="1:28" x14ac:dyDescent="0.25">
      <c r="A326" t="s">
        <v>696</v>
      </c>
      <c r="B326" t="s">
        <v>697</v>
      </c>
      <c r="C326" t="s">
        <v>37</v>
      </c>
      <c r="D326" t="s">
        <v>38</v>
      </c>
      <c r="E326" s="1">
        <v>45341</v>
      </c>
      <c r="F326" s="8">
        <f t="shared" si="55"/>
        <v>2024</v>
      </c>
      <c r="G326" s="1" t="str">
        <f t="shared" si="56"/>
        <v>February</v>
      </c>
      <c r="H326" s="1" t="str">
        <f t="shared" si="57"/>
        <v>Monday</v>
      </c>
      <c r="I326" s="2">
        <v>0.41856481481481483</v>
      </c>
      <c r="J326" s="8">
        <f t="shared" si="58"/>
        <v>10</v>
      </c>
      <c r="K326" s="8">
        <f t="shared" si="59"/>
        <v>2</v>
      </c>
      <c r="L326" t="s">
        <v>46</v>
      </c>
      <c r="M326" t="s">
        <v>47</v>
      </c>
      <c r="N326">
        <v>7</v>
      </c>
      <c r="O326" s="14">
        <v>269.68</v>
      </c>
      <c r="P326">
        <f>VLOOKUP(L326,'Product-cost'!A:B,2,FALSE)</f>
        <v>150</v>
      </c>
      <c r="Q326" t="s">
        <v>39</v>
      </c>
      <c r="R326" t="s">
        <v>40</v>
      </c>
      <c r="T326" t="s">
        <v>895</v>
      </c>
      <c r="U326" s="14">
        <f t="shared" si="60"/>
        <v>1887.76</v>
      </c>
      <c r="V326" s="14">
        <f t="shared" si="61"/>
        <v>1050</v>
      </c>
      <c r="W326" s="10">
        <f>VLOOKUP(Q326,Taxrate!A:B,2,FALSE)</f>
        <v>0.15</v>
      </c>
      <c r="X326" s="14">
        <f t="shared" si="62"/>
        <v>283.16399999999999</v>
      </c>
      <c r="Y326" s="10">
        <f>VLOOKUP(L326,'Discount Rate'!A:B,2,FALSE)</f>
        <v>7.0000000000000007E-2</v>
      </c>
      <c r="Z326" s="14">
        <f t="shared" si="63"/>
        <v>132.14320000000001</v>
      </c>
      <c r="AA326" s="14">
        <f t="shared" si="64"/>
        <v>1472.4528</v>
      </c>
      <c r="AB326" s="14">
        <f t="shared" si="65"/>
        <v>422.45280000000002</v>
      </c>
    </row>
    <row r="327" spans="1:28" x14ac:dyDescent="0.25">
      <c r="A327" t="s">
        <v>698</v>
      </c>
      <c r="B327" t="s">
        <v>699</v>
      </c>
      <c r="C327" t="s">
        <v>58</v>
      </c>
      <c r="D327" t="s">
        <v>59</v>
      </c>
      <c r="E327" s="1">
        <v>46175</v>
      </c>
      <c r="F327" s="8">
        <f t="shared" si="55"/>
        <v>2026</v>
      </c>
      <c r="G327" s="1" t="str">
        <f t="shared" si="56"/>
        <v>June</v>
      </c>
      <c r="H327" s="1" t="str">
        <f t="shared" si="57"/>
        <v>Tuesday</v>
      </c>
      <c r="I327" s="2">
        <v>0.39368055555555553</v>
      </c>
      <c r="J327" s="8">
        <f t="shared" si="58"/>
        <v>9</v>
      </c>
      <c r="K327" s="8">
        <f t="shared" si="59"/>
        <v>26</v>
      </c>
      <c r="L327" t="s">
        <v>46</v>
      </c>
      <c r="M327" t="s">
        <v>47</v>
      </c>
      <c r="N327">
        <v>4</v>
      </c>
      <c r="O327" s="14">
        <v>268.07</v>
      </c>
      <c r="P327">
        <f>VLOOKUP(L327,'Product-cost'!A:B,2,FALSE)</f>
        <v>150</v>
      </c>
      <c r="Q327" t="s">
        <v>25</v>
      </c>
      <c r="R327" t="s">
        <v>60</v>
      </c>
      <c r="S327" t="s">
        <v>41</v>
      </c>
      <c r="T327" t="s">
        <v>893</v>
      </c>
      <c r="U327" s="14">
        <f t="shared" si="60"/>
        <v>1072.28</v>
      </c>
      <c r="V327" s="14">
        <f t="shared" si="61"/>
        <v>600</v>
      </c>
      <c r="W327" s="10">
        <f>VLOOKUP(Q327,Taxrate!A:B,2,FALSE)</f>
        <v>0.1</v>
      </c>
      <c r="X327" s="14">
        <f t="shared" si="62"/>
        <v>107.22800000000001</v>
      </c>
      <c r="Y327" s="10">
        <f>VLOOKUP(L327,'Discount Rate'!A:B,2,FALSE)</f>
        <v>7.0000000000000007E-2</v>
      </c>
      <c r="Z327" s="14">
        <f t="shared" si="63"/>
        <v>75.059600000000003</v>
      </c>
      <c r="AA327" s="14">
        <f t="shared" si="64"/>
        <v>889.99239999999986</v>
      </c>
      <c r="AB327" s="14">
        <f t="shared" si="65"/>
        <v>289.99239999999986</v>
      </c>
    </row>
    <row r="328" spans="1:28" x14ac:dyDescent="0.25">
      <c r="A328" t="s">
        <v>700</v>
      </c>
      <c r="B328" t="s">
        <v>314</v>
      </c>
      <c r="C328" t="s">
        <v>129</v>
      </c>
      <c r="D328" t="s">
        <v>22</v>
      </c>
      <c r="E328" s="1">
        <v>45231</v>
      </c>
      <c r="F328" s="8">
        <f t="shared" si="55"/>
        <v>2023</v>
      </c>
      <c r="G328" s="1" t="str">
        <f t="shared" si="56"/>
        <v>November</v>
      </c>
      <c r="H328" s="1" t="str">
        <f t="shared" si="57"/>
        <v>Wednesday</v>
      </c>
      <c r="I328" s="2">
        <v>0.33506944444444442</v>
      </c>
      <c r="J328" s="8">
        <f t="shared" si="58"/>
        <v>8</v>
      </c>
      <c r="K328" s="8">
        <f t="shared" si="59"/>
        <v>2</v>
      </c>
      <c r="L328" t="s">
        <v>46</v>
      </c>
      <c r="M328" t="s">
        <v>47</v>
      </c>
      <c r="N328">
        <v>7</v>
      </c>
      <c r="O328" s="14">
        <v>228.72</v>
      </c>
      <c r="P328">
        <f>VLOOKUP(L328,'Product-cost'!A:B,2,FALSE)</f>
        <v>150</v>
      </c>
      <c r="Q328" t="s">
        <v>51</v>
      </c>
      <c r="R328" t="s">
        <v>26</v>
      </c>
      <c r="S328" t="s">
        <v>18</v>
      </c>
      <c r="T328" t="s">
        <v>893</v>
      </c>
      <c r="U328" s="14">
        <f t="shared" si="60"/>
        <v>1601.04</v>
      </c>
      <c r="V328" s="14">
        <f t="shared" si="61"/>
        <v>1050</v>
      </c>
      <c r="W328" s="10">
        <f>VLOOKUP(Q328,Taxrate!A:B,2,FALSE)</f>
        <v>7.0000000000000007E-2</v>
      </c>
      <c r="X328" s="14">
        <f t="shared" si="62"/>
        <v>112.07280000000002</v>
      </c>
      <c r="Y328" s="10">
        <f>VLOOKUP(L328,'Discount Rate'!A:B,2,FALSE)</f>
        <v>7.0000000000000007E-2</v>
      </c>
      <c r="Z328" s="14">
        <f t="shared" si="63"/>
        <v>112.07280000000002</v>
      </c>
      <c r="AA328" s="14">
        <f t="shared" si="64"/>
        <v>1376.8944000000001</v>
      </c>
      <c r="AB328" s="14">
        <f t="shared" si="65"/>
        <v>326.89440000000013</v>
      </c>
    </row>
    <row r="329" spans="1:28" x14ac:dyDescent="0.25">
      <c r="A329" t="s">
        <v>701</v>
      </c>
      <c r="B329" t="s">
        <v>702</v>
      </c>
      <c r="C329" t="s">
        <v>118</v>
      </c>
      <c r="D329" t="s">
        <v>59</v>
      </c>
      <c r="E329" s="1">
        <v>46253</v>
      </c>
      <c r="F329" s="8">
        <f t="shared" si="55"/>
        <v>2026</v>
      </c>
      <c r="G329" s="1" t="str">
        <f t="shared" si="56"/>
        <v>August</v>
      </c>
      <c r="H329" s="1" t="str">
        <f t="shared" si="57"/>
        <v>Wednesday</v>
      </c>
      <c r="I329" s="2">
        <v>0.35465277777777776</v>
      </c>
      <c r="J329" s="8">
        <f t="shared" si="58"/>
        <v>8</v>
      </c>
      <c r="K329" s="8">
        <f t="shared" si="59"/>
        <v>30</v>
      </c>
      <c r="L329" t="s">
        <v>30</v>
      </c>
      <c r="M329" t="s">
        <v>31</v>
      </c>
      <c r="N329">
        <v>8</v>
      </c>
      <c r="O329" s="14">
        <v>469.46</v>
      </c>
      <c r="P329">
        <f>VLOOKUP(L329,'Product-cost'!A:B,2,FALSE)</f>
        <v>200</v>
      </c>
      <c r="Q329" t="s">
        <v>51</v>
      </c>
      <c r="R329" t="s">
        <v>222</v>
      </c>
      <c r="S329" t="s">
        <v>132</v>
      </c>
      <c r="T329" t="s">
        <v>893</v>
      </c>
      <c r="U329" s="14">
        <f t="shared" si="60"/>
        <v>3755.68</v>
      </c>
      <c r="V329" s="14">
        <f t="shared" si="61"/>
        <v>1600</v>
      </c>
      <c r="W329" s="10">
        <f>VLOOKUP(Q329,Taxrate!A:B,2,FALSE)</f>
        <v>7.0000000000000007E-2</v>
      </c>
      <c r="X329" s="14">
        <f t="shared" si="62"/>
        <v>262.89760000000001</v>
      </c>
      <c r="Y329" s="10">
        <f>VLOOKUP(L329,'Discount Rate'!A:B,2,FALSE)</f>
        <v>0.08</v>
      </c>
      <c r="Z329" s="14">
        <f t="shared" si="63"/>
        <v>300.45440000000002</v>
      </c>
      <c r="AA329" s="14">
        <f t="shared" si="64"/>
        <v>3192.328</v>
      </c>
      <c r="AB329" s="14">
        <f t="shared" si="65"/>
        <v>1592.328</v>
      </c>
    </row>
    <row r="330" spans="1:28" x14ac:dyDescent="0.25">
      <c r="A330" t="s">
        <v>703</v>
      </c>
      <c r="B330" t="s">
        <v>704</v>
      </c>
      <c r="C330" t="s">
        <v>386</v>
      </c>
      <c r="D330" t="s">
        <v>45</v>
      </c>
      <c r="E330" s="1">
        <v>45071</v>
      </c>
      <c r="F330" s="8">
        <f t="shared" si="55"/>
        <v>2023</v>
      </c>
      <c r="G330" s="1" t="str">
        <f t="shared" si="56"/>
        <v>May</v>
      </c>
      <c r="H330" s="1" t="str">
        <f t="shared" si="57"/>
        <v>Thursday</v>
      </c>
      <c r="I330" s="2">
        <v>0.80663194444444442</v>
      </c>
      <c r="J330" s="8">
        <f t="shared" si="58"/>
        <v>19</v>
      </c>
      <c r="K330" s="8">
        <f t="shared" si="59"/>
        <v>21</v>
      </c>
      <c r="L330" t="s">
        <v>15</v>
      </c>
      <c r="M330" t="s">
        <v>16</v>
      </c>
      <c r="N330">
        <v>13</v>
      </c>
      <c r="O330" s="14">
        <v>1273.05</v>
      </c>
      <c r="P330">
        <f>VLOOKUP(L330,'Product-cost'!A:B,2,FALSE)</f>
        <v>600</v>
      </c>
      <c r="Q330" t="s">
        <v>55</v>
      </c>
      <c r="R330" t="s">
        <v>87</v>
      </c>
      <c r="S330" t="s">
        <v>123</v>
      </c>
      <c r="T330" t="s">
        <v>893</v>
      </c>
      <c r="U330" s="14">
        <f t="shared" si="60"/>
        <v>16549.649999999998</v>
      </c>
      <c r="V330" s="14">
        <f t="shared" si="61"/>
        <v>7800</v>
      </c>
      <c r="W330" s="10">
        <f>VLOOKUP(Q330,Taxrate!A:B,2,FALSE)</f>
        <v>0.12</v>
      </c>
      <c r="X330" s="14">
        <f t="shared" si="62"/>
        <v>1985.9579999999996</v>
      </c>
      <c r="Y330" s="10">
        <f>VLOOKUP(L330,'Discount Rate'!A:B,2,FALSE)</f>
        <v>0.05</v>
      </c>
      <c r="Z330" s="14">
        <f t="shared" si="63"/>
        <v>827.48249999999996</v>
      </c>
      <c r="AA330" s="14">
        <f t="shared" si="64"/>
        <v>13736.209499999999</v>
      </c>
      <c r="AB330" s="14">
        <f t="shared" si="65"/>
        <v>5936.209499999999</v>
      </c>
    </row>
    <row r="331" spans="1:28" x14ac:dyDescent="0.25">
      <c r="A331" t="s">
        <v>705</v>
      </c>
      <c r="B331" t="s">
        <v>706</v>
      </c>
      <c r="C331" t="s">
        <v>37</v>
      </c>
      <c r="D331" t="s">
        <v>38</v>
      </c>
      <c r="E331" s="1">
        <v>45154</v>
      </c>
      <c r="F331" s="8">
        <f t="shared" si="55"/>
        <v>2023</v>
      </c>
      <c r="G331" s="1" t="str">
        <f t="shared" si="56"/>
        <v>August</v>
      </c>
      <c r="H331" s="1" t="str">
        <f t="shared" si="57"/>
        <v>Wednesday</v>
      </c>
      <c r="I331" s="2">
        <v>0.56225694444444441</v>
      </c>
      <c r="J331" s="8">
        <f t="shared" si="58"/>
        <v>13</v>
      </c>
      <c r="K331" s="8">
        <f t="shared" si="59"/>
        <v>29</v>
      </c>
      <c r="L331" t="s">
        <v>15</v>
      </c>
      <c r="M331" t="s">
        <v>16</v>
      </c>
      <c r="N331">
        <v>3</v>
      </c>
      <c r="O331" s="14">
        <v>1152.44</v>
      </c>
      <c r="P331">
        <f>VLOOKUP(L331,'Product-cost'!A:B,2,FALSE)</f>
        <v>600</v>
      </c>
      <c r="Q331" t="s">
        <v>55</v>
      </c>
      <c r="R331" t="s">
        <v>84</v>
      </c>
      <c r="S331" t="s">
        <v>41</v>
      </c>
      <c r="T331" t="s">
        <v>893</v>
      </c>
      <c r="U331" s="14">
        <f t="shared" si="60"/>
        <v>3457.32</v>
      </c>
      <c r="V331" s="14">
        <f t="shared" si="61"/>
        <v>1800</v>
      </c>
      <c r="W331" s="10">
        <f>VLOOKUP(Q331,Taxrate!A:B,2,FALSE)</f>
        <v>0.12</v>
      </c>
      <c r="X331" s="14">
        <f t="shared" si="62"/>
        <v>414.8784</v>
      </c>
      <c r="Y331" s="10">
        <f>VLOOKUP(L331,'Discount Rate'!A:B,2,FALSE)</f>
        <v>0.05</v>
      </c>
      <c r="Z331" s="14">
        <f t="shared" si="63"/>
        <v>172.86600000000001</v>
      </c>
      <c r="AA331" s="14">
        <f t="shared" si="64"/>
        <v>2869.5756000000001</v>
      </c>
      <c r="AB331" s="14">
        <f t="shared" si="65"/>
        <v>1069.5756000000001</v>
      </c>
    </row>
    <row r="332" spans="1:28" x14ac:dyDescent="0.25">
      <c r="A332" t="s">
        <v>707</v>
      </c>
      <c r="B332" t="s">
        <v>355</v>
      </c>
      <c r="C332" t="s">
        <v>165</v>
      </c>
      <c r="D332" t="s">
        <v>38</v>
      </c>
      <c r="E332" s="1">
        <v>45447</v>
      </c>
      <c r="F332" s="8">
        <f t="shared" si="55"/>
        <v>2024</v>
      </c>
      <c r="G332" s="1" t="str">
        <f t="shared" si="56"/>
        <v>June</v>
      </c>
      <c r="H332" s="1" t="str">
        <f t="shared" si="57"/>
        <v>Tuesday</v>
      </c>
      <c r="I332" s="2">
        <v>0.58144675925925926</v>
      </c>
      <c r="J332" s="8">
        <f t="shared" si="58"/>
        <v>13</v>
      </c>
      <c r="K332" s="8">
        <f t="shared" si="59"/>
        <v>57</v>
      </c>
      <c r="L332" t="s">
        <v>46</v>
      </c>
      <c r="M332" t="s">
        <v>47</v>
      </c>
      <c r="N332">
        <v>5</v>
      </c>
      <c r="O332" s="14">
        <v>500</v>
      </c>
      <c r="P332">
        <f>VLOOKUP(L332,'Product-cost'!A:B,2,FALSE)</f>
        <v>150</v>
      </c>
      <c r="Q332" t="s">
        <v>25</v>
      </c>
      <c r="R332" t="s">
        <v>84</v>
      </c>
      <c r="S332" t="s">
        <v>34</v>
      </c>
      <c r="T332" t="s">
        <v>893</v>
      </c>
      <c r="U332" s="14">
        <f t="shared" si="60"/>
        <v>2500</v>
      </c>
      <c r="V332" s="14">
        <f t="shared" si="61"/>
        <v>750</v>
      </c>
      <c r="W332" s="10">
        <f>VLOOKUP(Q332,Taxrate!A:B,2,FALSE)</f>
        <v>0.1</v>
      </c>
      <c r="X332" s="14">
        <f t="shared" si="62"/>
        <v>250</v>
      </c>
      <c r="Y332" s="10">
        <f>VLOOKUP(L332,'Discount Rate'!A:B,2,FALSE)</f>
        <v>7.0000000000000007E-2</v>
      </c>
      <c r="Z332" s="14">
        <f t="shared" si="63"/>
        <v>175.00000000000003</v>
      </c>
      <c r="AA332" s="14">
        <f t="shared" si="64"/>
        <v>2075</v>
      </c>
      <c r="AB332" s="14">
        <f t="shared" si="65"/>
        <v>1325</v>
      </c>
    </row>
    <row r="333" spans="1:28" x14ac:dyDescent="0.25">
      <c r="A333" t="s">
        <v>708</v>
      </c>
      <c r="B333" t="s">
        <v>709</v>
      </c>
      <c r="C333" t="s">
        <v>139</v>
      </c>
      <c r="D333" t="s">
        <v>22</v>
      </c>
      <c r="E333" s="1">
        <v>46305</v>
      </c>
      <c r="F333" s="8">
        <f t="shared" si="55"/>
        <v>2026</v>
      </c>
      <c r="G333" s="1" t="str">
        <f t="shared" si="56"/>
        <v>October</v>
      </c>
      <c r="H333" s="1" t="str">
        <f t="shared" si="57"/>
        <v>Saturday</v>
      </c>
      <c r="I333" s="2">
        <v>0.49856481481481479</v>
      </c>
      <c r="J333" s="8">
        <f t="shared" si="58"/>
        <v>11</v>
      </c>
      <c r="K333" s="8">
        <f t="shared" si="59"/>
        <v>57</v>
      </c>
      <c r="L333" t="s">
        <v>73</v>
      </c>
      <c r="M333" t="s">
        <v>74</v>
      </c>
      <c r="N333">
        <v>7</v>
      </c>
      <c r="O333" s="14">
        <v>133.41</v>
      </c>
      <c r="P333">
        <f>VLOOKUP(L333,'Product-cost'!A:B,2,FALSE)</f>
        <v>50</v>
      </c>
      <c r="Q333" t="s">
        <v>51</v>
      </c>
      <c r="R333" t="s">
        <v>26</v>
      </c>
      <c r="S333" t="s">
        <v>96</v>
      </c>
      <c r="T333" t="s">
        <v>893</v>
      </c>
      <c r="U333" s="14">
        <f t="shared" si="60"/>
        <v>933.87</v>
      </c>
      <c r="V333" s="14">
        <f t="shared" si="61"/>
        <v>350</v>
      </c>
      <c r="W333" s="10">
        <f>VLOOKUP(Q333,Taxrate!A:B,2,FALSE)</f>
        <v>7.0000000000000007E-2</v>
      </c>
      <c r="X333" s="14">
        <f t="shared" si="62"/>
        <v>65.370900000000006</v>
      </c>
      <c r="Y333" s="10">
        <f>VLOOKUP(L333,'Discount Rate'!A:B,2,FALSE)</f>
        <v>0.03</v>
      </c>
      <c r="Z333" s="14">
        <f t="shared" si="63"/>
        <v>28.016099999999998</v>
      </c>
      <c r="AA333" s="14">
        <f t="shared" si="64"/>
        <v>840.48299999999995</v>
      </c>
      <c r="AB333" s="14">
        <f t="shared" si="65"/>
        <v>490.48299999999995</v>
      </c>
    </row>
    <row r="334" spans="1:28" x14ac:dyDescent="0.25">
      <c r="A334" t="s">
        <v>710</v>
      </c>
      <c r="B334" t="s">
        <v>558</v>
      </c>
      <c r="C334" t="s">
        <v>118</v>
      </c>
      <c r="D334" t="s">
        <v>59</v>
      </c>
      <c r="E334" s="1">
        <v>46324</v>
      </c>
      <c r="F334" s="8">
        <f t="shared" si="55"/>
        <v>2026</v>
      </c>
      <c r="G334" s="1" t="str">
        <f t="shared" si="56"/>
        <v>October</v>
      </c>
      <c r="H334" s="1" t="str">
        <f t="shared" si="57"/>
        <v>Thursday</v>
      </c>
      <c r="I334" s="2">
        <v>0.64057870370370373</v>
      </c>
      <c r="J334" s="8">
        <f t="shared" si="58"/>
        <v>15</v>
      </c>
      <c r="K334" s="8">
        <f t="shared" si="59"/>
        <v>22</v>
      </c>
      <c r="L334" t="s">
        <v>73</v>
      </c>
      <c r="M334" t="s">
        <v>74</v>
      </c>
      <c r="N334">
        <v>1</v>
      </c>
      <c r="O334" s="14">
        <v>124.72</v>
      </c>
      <c r="P334">
        <f>VLOOKUP(L334,'Product-cost'!A:B,2,FALSE)</f>
        <v>50</v>
      </c>
      <c r="Q334" t="s">
        <v>32</v>
      </c>
      <c r="R334" t="s">
        <v>60</v>
      </c>
      <c r="S334" t="s">
        <v>123</v>
      </c>
      <c r="T334" t="s">
        <v>893</v>
      </c>
      <c r="U334" s="14">
        <f t="shared" si="60"/>
        <v>124.72</v>
      </c>
      <c r="V334" s="14">
        <f t="shared" si="61"/>
        <v>50</v>
      </c>
      <c r="W334" s="10">
        <f>VLOOKUP(Q334,Taxrate!A:B,2,FALSE)</f>
        <v>0.2</v>
      </c>
      <c r="X334" s="14">
        <f t="shared" si="62"/>
        <v>24.944000000000003</v>
      </c>
      <c r="Y334" s="10">
        <f>VLOOKUP(L334,'Discount Rate'!A:B,2,FALSE)</f>
        <v>0.03</v>
      </c>
      <c r="Z334" s="14">
        <f t="shared" si="63"/>
        <v>3.7416</v>
      </c>
      <c r="AA334" s="14">
        <f t="shared" si="64"/>
        <v>96.034399999999991</v>
      </c>
      <c r="AB334" s="14">
        <f t="shared" si="65"/>
        <v>46.034399999999991</v>
      </c>
    </row>
    <row r="335" spans="1:28" x14ac:dyDescent="0.25">
      <c r="A335" t="s">
        <v>711</v>
      </c>
      <c r="B335" t="s">
        <v>712</v>
      </c>
      <c r="C335" t="s">
        <v>126</v>
      </c>
      <c r="D335" t="s">
        <v>22</v>
      </c>
      <c r="E335" s="1">
        <v>45864</v>
      </c>
      <c r="F335" s="8">
        <f t="shared" si="55"/>
        <v>2025</v>
      </c>
      <c r="G335" s="1" t="str">
        <f t="shared" si="56"/>
        <v>July</v>
      </c>
      <c r="H335" s="1" t="str">
        <f t="shared" si="57"/>
        <v>Saturday</v>
      </c>
      <c r="I335" s="2">
        <v>0.71454861111111112</v>
      </c>
      <c r="J335" s="8">
        <f t="shared" si="58"/>
        <v>17</v>
      </c>
      <c r="K335" s="8">
        <f t="shared" si="59"/>
        <v>8</v>
      </c>
      <c r="L335" t="s">
        <v>30</v>
      </c>
      <c r="M335" t="s">
        <v>31</v>
      </c>
      <c r="N335">
        <v>5</v>
      </c>
      <c r="O335" s="14">
        <v>394.38</v>
      </c>
      <c r="P335">
        <f>VLOOKUP(L335,'Product-cost'!A:B,2,FALSE)</f>
        <v>200</v>
      </c>
      <c r="Q335" t="s">
        <v>25</v>
      </c>
      <c r="R335" t="s">
        <v>52</v>
      </c>
      <c r="S335" t="s">
        <v>88</v>
      </c>
      <c r="T335" t="s">
        <v>893</v>
      </c>
      <c r="U335" s="14">
        <f t="shared" si="60"/>
        <v>1971.9</v>
      </c>
      <c r="V335" s="14">
        <f t="shared" si="61"/>
        <v>1000</v>
      </c>
      <c r="W335" s="10">
        <f>VLOOKUP(Q335,Taxrate!A:B,2,FALSE)</f>
        <v>0.1</v>
      </c>
      <c r="X335" s="14">
        <f t="shared" si="62"/>
        <v>197.19000000000003</v>
      </c>
      <c r="Y335" s="10">
        <f>VLOOKUP(L335,'Discount Rate'!A:B,2,FALSE)</f>
        <v>0.08</v>
      </c>
      <c r="Z335" s="14">
        <f t="shared" si="63"/>
        <v>157.75200000000001</v>
      </c>
      <c r="AA335" s="14">
        <f t="shared" si="64"/>
        <v>1616.9580000000001</v>
      </c>
      <c r="AB335" s="14">
        <f t="shared" si="65"/>
        <v>616.95800000000008</v>
      </c>
    </row>
    <row r="336" spans="1:28" x14ac:dyDescent="0.25">
      <c r="A336" t="s">
        <v>713</v>
      </c>
      <c r="B336" t="s">
        <v>531</v>
      </c>
      <c r="C336" t="s">
        <v>118</v>
      </c>
      <c r="D336" t="s">
        <v>59</v>
      </c>
      <c r="E336" s="1">
        <v>45286</v>
      </c>
      <c r="F336" s="8">
        <f t="shared" si="55"/>
        <v>2023</v>
      </c>
      <c r="G336" s="1" t="str">
        <f t="shared" si="56"/>
        <v>December</v>
      </c>
      <c r="H336" s="1" t="str">
        <f t="shared" si="57"/>
        <v>Tuesday</v>
      </c>
      <c r="I336" s="2">
        <v>0.42716435185185186</v>
      </c>
      <c r="J336" s="8">
        <f t="shared" si="58"/>
        <v>10</v>
      </c>
      <c r="K336" s="8">
        <f t="shared" si="59"/>
        <v>15</v>
      </c>
      <c r="L336" t="s">
        <v>15</v>
      </c>
      <c r="M336" t="s">
        <v>16</v>
      </c>
      <c r="N336">
        <v>10</v>
      </c>
      <c r="O336" s="14">
        <v>930.2</v>
      </c>
      <c r="P336">
        <f>VLOOKUP(L336,'Product-cost'!A:B,2,FALSE)</f>
        <v>600</v>
      </c>
      <c r="Q336" t="s">
        <v>32</v>
      </c>
      <c r="R336" t="s">
        <v>222</v>
      </c>
      <c r="T336" t="s">
        <v>895</v>
      </c>
      <c r="U336" s="14">
        <f t="shared" si="60"/>
        <v>9302</v>
      </c>
      <c r="V336" s="14">
        <f t="shared" si="61"/>
        <v>6000</v>
      </c>
      <c r="W336" s="10">
        <f>VLOOKUP(Q336,Taxrate!A:B,2,FALSE)</f>
        <v>0.2</v>
      </c>
      <c r="X336" s="14">
        <f t="shared" si="62"/>
        <v>1860.4</v>
      </c>
      <c r="Y336" s="10">
        <f>VLOOKUP(L336,'Discount Rate'!A:B,2,FALSE)</f>
        <v>0.05</v>
      </c>
      <c r="Z336" s="14">
        <f t="shared" si="63"/>
        <v>465.1</v>
      </c>
      <c r="AA336" s="14">
        <f t="shared" si="64"/>
        <v>6976.5</v>
      </c>
      <c r="AB336" s="14">
        <f t="shared" si="65"/>
        <v>976.5</v>
      </c>
    </row>
    <row r="337" spans="1:28" x14ac:dyDescent="0.25">
      <c r="A337" t="s">
        <v>714</v>
      </c>
      <c r="B337" t="s">
        <v>151</v>
      </c>
      <c r="C337" t="s">
        <v>118</v>
      </c>
      <c r="D337" t="s">
        <v>59</v>
      </c>
      <c r="E337" s="1">
        <v>44978</v>
      </c>
      <c r="F337" s="8">
        <f t="shared" si="55"/>
        <v>2023</v>
      </c>
      <c r="G337" s="1" t="str">
        <f t="shared" si="56"/>
        <v>February</v>
      </c>
      <c r="H337" s="1" t="str">
        <f t="shared" si="57"/>
        <v>Tuesday</v>
      </c>
      <c r="I337" s="2">
        <v>0.65913194444444445</v>
      </c>
      <c r="J337" s="8">
        <f t="shared" si="58"/>
        <v>15</v>
      </c>
      <c r="K337" s="8">
        <f t="shared" si="59"/>
        <v>49</v>
      </c>
      <c r="L337" t="s">
        <v>73</v>
      </c>
      <c r="M337" t="s">
        <v>74</v>
      </c>
      <c r="N337">
        <v>3</v>
      </c>
      <c r="O337" s="14">
        <v>500</v>
      </c>
      <c r="P337">
        <f>VLOOKUP(L337,'Product-cost'!A:B,2,FALSE)</f>
        <v>50</v>
      </c>
      <c r="Q337" t="s">
        <v>55</v>
      </c>
      <c r="R337" t="s">
        <v>222</v>
      </c>
      <c r="S337" t="s">
        <v>96</v>
      </c>
      <c r="T337" t="s">
        <v>893</v>
      </c>
      <c r="U337" s="14">
        <f t="shared" si="60"/>
        <v>1500</v>
      </c>
      <c r="V337" s="14">
        <f t="shared" si="61"/>
        <v>150</v>
      </c>
      <c r="W337" s="10">
        <f>VLOOKUP(Q337,Taxrate!A:B,2,FALSE)</f>
        <v>0.12</v>
      </c>
      <c r="X337" s="14">
        <f t="shared" si="62"/>
        <v>180</v>
      </c>
      <c r="Y337" s="10">
        <f>VLOOKUP(L337,'Discount Rate'!A:B,2,FALSE)</f>
        <v>0.03</v>
      </c>
      <c r="Z337" s="14">
        <f t="shared" si="63"/>
        <v>45</v>
      </c>
      <c r="AA337" s="14">
        <f t="shared" si="64"/>
        <v>1275</v>
      </c>
      <c r="AB337" s="14">
        <f t="shared" si="65"/>
        <v>1125</v>
      </c>
    </row>
    <row r="338" spans="1:28" x14ac:dyDescent="0.25">
      <c r="A338" t="s">
        <v>715</v>
      </c>
      <c r="B338" t="s">
        <v>716</v>
      </c>
      <c r="C338" t="s">
        <v>129</v>
      </c>
      <c r="D338" t="s">
        <v>22</v>
      </c>
      <c r="E338" s="1">
        <v>45832</v>
      </c>
      <c r="F338" s="8">
        <f t="shared" si="55"/>
        <v>2025</v>
      </c>
      <c r="G338" s="1" t="str">
        <f t="shared" si="56"/>
        <v>June</v>
      </c>
      <c r="H338" s="1" t="str">
        <f t="shared" si="57"/>
        <v>Tuesday</v>
      </c>
      <c r="I338" s="2">
        <v>0.79706018518518518</v>
      </c>
      <c r="J338" s="8">
        <f t="shared" si="58"/>
        <v>19</v>
      </c>
      <c r="K338" s="8">
        <f t="shared" si="59"/>
        <v>7</v>
      </c>
      <c r="L338" t="s">
        <v>73</v>
      </c>
      <c r="M338" t="s">
        <v>74</v>
      </c>
      <c r="N338">
        <v>3</v>
      </c>
      <c r="O338" s="14">
        <v>128.77000000000001</v>
      </c>
      <c r="P338">
        <f>VLOOKUP(L338,'Product-cost'!A:B,2,FALSE)</f>
        <v>50</v>
      </c>
      <c r="Q338" t="s">
        <v>51</v>
      </c>
      <c r="R338" t="s">
        <v>26</v>
      </c>
      <c r="S338" t="s">
        <v>230</v>
      </c>
      <c r="T338" t="s">
        <v>893</v>
      </c>
      <c r="U338" s="14">
        <f t="shared" si="60"/>
        <v>386.31000000000006</v>
      </c>
      <c r="V338" s="14">
        <f t="shared" si="61"/>
        <v>150</v>
      </c>
      <c r="W338" s="10">
        <f>VLOOKUP(Q338,Taxrate!A:B,2,FALSE)</f>
        <v>7.0000000000000007E-2</v>
      </c>
      <c r="X338" s="14">
        <f t="shared" si="62"/>
        <v>27.041700000000006</v>
      </c>
      <c r="Y338" s="10">
        <f>VLOOKUP(L338,'Discount Rate'!A:B,2,FALSE)</f>
        <v>0.03</v>
      </c>
      <c r="Z338" s="14">
        <f t="shared" si="63"/>
        <v>11.589300000000001</v>
      </c>
      <c r="AA338" s="14">
        <f t="shared" si="64"/>
        <v>347.67900000000009</v>
      </c>
      <c r="AB338" s="14">
        <f t="shared" si="65"/>
        <v>197.67900000000009</v>
      </c>
    </row>
    <row r="339" spans="1:28" x14ac:dyDescent="0.25">
      <c r="A339" t="s">
        <v>717</v>
      </c>
      <c r="B339" t="s">
        <v>718</v>
      </c>
      <c r="C339" t="s">
        <v>21</v>
      </c>
      <c r="D339" t="s">
        <v>22</v>
      </c>
      <c r="E339" s="1">
        <v>45414</v>
      </c>
      <c r="F339" s="8">
        <f t="shared" si="55"/>
        <v>2024</v>
      </c>
      <c r="G339" s="1" t="str">
        <f t="shared" si="56"/>
        <v>May</v>
      </c>
      <c r="H339" s="1" t="str">
        <f t="shared" si="57"/>
        <v>Thursday</v>
      </c>
      <c r="I339" s="2">
        <v>0.39923611111111112</v>
      </c>
      <c r="J339" s="8">
        <f t="shared" si="58"/>
        <v>9</v>
      </c>
      <c r="K339" s="8">
        <f t="shared" si="59"/>
        <v>34</v>
      </c>
      <c r="L339" t="s">
        <v>73</v>
      </c>
      <c r="M339" t="s">
        <v>74</v>
      </c>
      <c r="N339">
        <v>2</v>
      </c>
      <c r="O339" s="14">
        <v>149.58000000000001</v>
      </c>
      <c r="P339">
        <f>VLOOKUP(L339,'Product-cost'!A:B,2,FALSE)</f>
        <v>50</v>
      </c>
      <c r="Q339" t="s">
        <v>39</v>
      </c>
      <c r="R339" t="s">
        <v>26</v>
      </c>
      <c r="S339" t="s">
        <v>27</v>
      </c>
      <c r="T339" t="s">
        <v>893</v>
      </c>
      <c r="U339" s="14">
        <f t="shared" si="60"/>
        <v>299.16000000000003</v>
      </c>
      <c r="V339" s="14">
        <f t="shared" si="61"/>
        <v>100</v>
      </c>
      <c r="W339" s="10">
        <f>VLOOKUP(Q339,Taxrate!A:B,2,FALSE)</f>
        <v>0.15</v>
      </c>
      <c r="X339" s="14">
        <f t="shared" si="62"/>
        <v>44.874000000000002</v>
      </c>
      <c r="Y339" s="10">
        <f>VLOOKUP(L339,'Discount Rate'!A:B,2,FALSE)</f>
        <v>0.03</v>
      </c>
      <c r="Z339" s="14">
        <f t="shared" si="63"/>
        <v>8.9748000000000001</v>
      </c>
      <c r="AA339" s="14">
        <f t="shared" si="64"/>
        <v>245.31120000000004</v>
      </c>
      <c r="AB339" s="14">
        <f t="shared" si="65"/>
        <v>145.31120000000004</v>
      </c>
    </row>
    <row r="340" spans="1:28" x14ac:dyDescent="0.25">
      <c r="A340" t="s">
        <v>719</v>
      </c>
      <c r="B340" t="s">
        <v>720</v>
      </c>
      <c r="C340" t="s">
        <v>37</v>
      </c>
      <c r="D340" t="s">
        <v>38</v>
      </c>
      <c r="E340" s="1">
        <v>45420</v>
      </c>
      <c r="F340" s="8">
        <f t="shared" si="55"/>
        <v>2024</v>
      </c>
      <c r="G340" s="1" t="str">
        <f t="shared" si="56"/>
        <v>May</v>
      </c>
      <c r="H340" s="1" t="str">
        <f t="shared" si="57"/>
        <v>Wednesday</v>
      </c>
      <c r="I340" s="2">
        <v>0.55518518518518523</v>
      </c>
      <c r="J340" s="8">
        <f t="shared" si="58"/>
        <v>13</v>
      </c>
      <c r="K340" s="8">
        <f t="shared" si="59"/>
        <v>19</v>
      </c>
      <c r="L340" t="s">
        <v>46</v>
      </c>
      <c r="M340" t="s">
        <v>47</v>
      </c>
      <c r="N340">
        <v>7</v>
      </c>
      <c r="O340" s="14">
        <v>224.86</v>
      </c>
      <c r="P340">
        <f>VLOOKUP(L340,'Product-cost'!A:B,2,FALSE)</f>
        <v>150</v>
      </c>
      <c r="Q340" t="s">
        <v>39</v>
      </c>
      <c r="R340" t="s">
        <v>84</v>
      </c>
      <c r="S340" t="s">
        <v>213</v>
      </c>
      <c r="T340" t="s">
        <v>894</v>
      </c>
      <c r="U340" s="14">
        <f t="shared" si="60"/>
        <v>1574.02</v>
      </c>
      <c r="V340" s="14">
        <f t="shared" si="61"/>
        <v>1050</v>
      </c>
      <c r="W340" s="10">
        <f>VLOOKUP(Q340,Taxrate!A:B,2,FALSE)</f>
        <v>0.15</v>
      </c>
      <c r="X340" s="14">
        <f t="shared" si="62"/>
        <v>236.10299999999998</v>
      </c>
      <c r="Y340" s="10">
        <f>VLOOKUP(L340,'Discount Rate'!A:B,2,FALSE)</f>
        <v>7.0000000000000007E-2</v>
      </c>
      <c r="Z340" s="14">
        <f t="shared" si="63"/>
        <v>110.18140000000001</v>
      </c>
      <c r="AA340" s="14">
        <f t="shared" si="64"/>
        <v>1227.7356</v>
      </c>
      <c r="AB340" s="14">
        <f t="shared" si="65"/>
        <v>177.73559999999998</v>
      </c>
    </row>
    <row r="341" spans="1:28" x14ac:dyDescent="0.25">
      <c r="A341" t="s">
        <v>721</v>
      </c>
      <c r="B341" t="s">
        <v>722</v>
      </c>
      <c r="C341" t="s">
        <v>66</v>
      </c>
      <c r="D341" t="s">
        <v>67</v>
      </c>
      <c r="E341" s="1">
        <v>45294</v>
      </c>
      <c r="F341" s="8">
        <f t="shared" si="55"/>
        <v>2024</v>
      </c>
      <c r="G341" s="1" t="str">
        <f t="shared" si="56"/>
        <v>January</v>
      </c>
      <c r="H341" s="1" t="str">
        <f t="shared" si="57"/>
        <v>Wednesday</v>
      </c>
      <c r="I341" s="2">
        <v>0.66357638888888892</v>
      </c>
      <c r="J341" s="8">
        <f t="shared" si="58"/>
        <v>15</v>
      </c>
      <c r="K341" s="8">
        <f t="shared" si="59"/>
        <v>55</v>
      </c>
      <c r="L341" t="s">
        <v>30</v>
      </c>
      <c r="M341" t="s">
        <v>31</v>
      </c>
      <c r="N341">
        <v>7</v>
      </c>
      <c r="O341" s="14">
        <v>471.22</v>
      </c>
      <c r="P341">
        <f>VLOOKUP(L341,'Product-cost'!A:B,2,FALSE)</f>
        <v>200</v>
      </c>
      <c r="Q341" t="s">
        <v>51</v>
      </c>
      <c r="R341" t="s">
        <v>173</v>
      </c>
      <c r="S341" t="s">
        <v>115</v>
      </c>
      <c r="T341" t="s">
        <v>893</v>
      </c>
      <c r="U341" s="14">
        <f t="shared" si="60"/>
        <v>3298.54</v>
      </c>
      <c r="V341" s="14">
        <f t="shared" si="61"/>
        <v>1400</v>
      </c>
      <c r="W341" s="10">
        <f>VLOOKUP(Q341,Taxrate!A:B,2,FALSE)</f>
        <v>7.0000000000000007E-2</v>
      </c>
      <c r="X341" s="14">
        <f t="shared" si="62"/>
        <v>230.89780000000002</v>
      </c>
      <c r="Y341" s="10">
        <f>VLOOKUP(L341,'Discount Rate'!A:B,2,FALSE)</f>
        <v>0.08</v>
      </c>
      <c r="Z341" s="14">
        <f t="shared" si="63"/>
        <v>263.88319999999999</v>
      </c>
      <c r="AA341" s="14">
        <f t="shared" si="64"/>
        <v>2803.759</v>
      </c>
      <c r="AB341" s="14">
        <f t="shared" si="65"/>
        <v>1403.759</v>
      </c>
    </row>
    <row r="342" spans="1:28" x14ac:dyDescent="0.25">
      <c r="A342" t="s">
        <v>723</v>
      </c>
      <c r="B342" t="s">
        <v>724</v>
      </c>
      <c r="C342" t="s">
        <v>178</v>
      </c>
      <c r="D342" t="s">
        <v>59</v>
      </c>
      <c r="E342" s="1">
        <v>45708</v>
      </c>
      <c r="F342" s="8">
        <f t="shared" si="55"/>
        <v>2025</v>
      </c>
      <c r="G342" s="1" t="str">
        <f t="shared" si="56"/>
        <v>February</v>
      </c>
      <c r="H342" s="1" t="str">
        <f t="shared" si="57"/>
        <v>Thursday</v>
      </c>
      <c r="I342" s="2">
        <v>0.68821759259259263</v>
      </c>
      <c r="J342" s="8">
        <f t="shared" si="58"/>
        <v>16</v>
      </c>
      <c r="K342" s="8">
        <f t="shared" si="59"/>
        <v>31</v>
      </c>
      <c r="L342" t="s">
        <v>30</v>
      </c>
      <c r="M342" t="s">
        <v>31</v>
      </c>
      <c r="N342">
        <v>5</v>
      </c>
      <c r="O342" s="14">
        <v>467.97</v>
      </c>
      <c r="P342">
        <f>VLOOKUP(L342,'Product-cost'!A:B,2,FALSE)</f>
        <v>200</v>
      </c>
      <c r="Q342" t="s">
        <v>32</v>
      </c>
      <c r="R342" t="s">
        <v>60</v>
      </c>
      <c r="T342" t="s">
        <v>895</v>
      </c>
      <c r="U342" s="14">
        <f t="shared" si="60"/>
        <v>2339.8500000000004</v>
      </c>
      <c r="V342" s="14">
        <f t="shared" si="61"/>
        <v>1000</v>
      </c>
      <c r="W342" s="10">
        <f>VLOOKUP(Q342,Taxrate!A:B,2,FALSE)</f>
        <v>0.2</v>
      </c>
      <c r="X342" s="14">
        <f t="shared" si="62"/>
        <v>467.97000000000008</v>
      </c>
      <c r="Y342" s="10">
        <f>VLOOKUP(L342,'Discount Rate'!A:B,2,FALSE)</f>
        <v>0.08</v>
      </c>
      <c r="Z342" s="14">
        <f t="shared" si="63"/>
        <v>187.18800000000005</v>
      </c>
      <c r="AA342" s="14">
        <f t="shared" si="64"/>
        <v>1684.6920000000002</v>
      </c>
      <c r="AB342" s="14">
        <f t="shared" si="65"/>
        <v>684.69200000000023</v>
      </c>
    </row>
    <row r="343" spans="1:28" x14ac:dyDescent="0.25">
      <c r="A343" t="s">
        <v>725</v>
      </c>
      <c r="B343" t="s">
        <v>726</v>
      </c>
      <c r="C343" t="s">
        <v>72</v>
      </c>
      <c r="D343" t="s">
        <v>59</v>
      </c>
      <c r="E343" s="1">
        <v>44985</v>
      </c>
      <c r="F343" s="8">
        <f t="shared" si="55"/>
        <v>2023</v>
      </c>
      <c r="G343" s="1" t="str">
        <f t="shared" si="56"/>
        <v>February</v>
      </c>
      <c r="H343" s="1" t="str">
        <f t="shared" si="57"/>
        <v>Tuesday</v>
      </c>
      <c r="I343" s="2">
        <v>0.8454976851851852</v>
      </c>
      <c r="J343" s="8">
        <f t="shared" si="58"/>
        <v>20</v>
      </c>
      <c r="K343" s="8">
        <f t="shared" si="59"/>
        <v>17</v>
      </c>
      <c r="L343" t="s">
        <v>15</v>
      </c>
      <c r="M343" t="s">
        <v>16</v>
      </c>
      <c r="N343">
        <v>6</v>
      </c>
      <c r="O343" s="14">
        <v>1082.79</v>
      </c>
      <c r="P343">
        <f>VLOOKUP(L343,'Product-cost'!A:B,2,FALSE)</f>
        <v>600</v>
      </c>
      <c r="Q343" t="s">
        <v>25</v>
      </c>
      <c r="R343" t="s">
        <v>75</v>
      </c>
      <c r="S343" t="s">
        <v>34</v>
      </c>
      <c r="T343" t="s">
        <v>893</v>
      </c>
      <c r="U343" s="14">
        <f t="shared" si="60"/>
        <v>6496.74</v>
      </c>
      <c r="V343" s="14">
        <f t="shared" si="61"/>
        <v>3600</v>
      </c>
      <c r="W343" s="10">
        <f>VLOOKUP(Q343,Taxrate!A:B,2,FALSE)</f>
        <v>0.1</v>
      </c>
      <c r="X343" s="14">
        <f t="shared" si="62"/>
        <v>649.67399999999998</v>
      </c>
      <c r="Y343" s="10">
        <f>VLOOKUP(L343,'Discount Rate'!A:B,2,FALSE)</f>
        <v>0.05</v>
      </c>
      <c r="Z343" s="14">
        <f t="shared" si="63"/>
        <v>324.83699999999999</v>
      </c>
      <c r="AA343" s="14">
        <f t="shared" si="64"/>
        <v>5522.2289999999994</v>
      </c>
      <c r="AB343" s="14">
        <f t="shared" si="65"/>
        <v>1922.2289999999994</v>
      </c>
    </row>
    <row r="344" spans="1:28" x14ac:dyDescent="0.25">
      <c r="A344" t="s">
        <v>727</v>
      </c>
      <c r="B344" t="s">
        <v>728</v>
      </c>
      <c r="C344" t="s">
        <v>58</v>
      </c>
      <c r="D344" t="s">
        <v>59</v>
      </c>
      <c r="E344" s="1">
        <v>45046</v>
      </c>
      <c r="F344" s="8">
        <f t="shared" si="55"/>
        <v>2023</v>
      </c>
      <c r="G344" s="1" t="str">
        <f t="shared" si="56"/>
        <v>April</v>
      </c>
      <c r="H344" s="1" t="str">
        <f t="shared" si="57"/>
        <v>Sunday</v>
      </c>
      <c r="I344" s="2">
        <v>0.56245370370370373</v>
      </c>
      <c r="J344" s="8">
        <f t="shared" si="58"/>
        <v>13</v>
      </c>
      <c r="K344" s="8">
        <f t="shared" si="59"/>
        <v>29</v>
      </c>
      <c r="L344" t="s">
        <v>23</v>
      </c>
      <c r="M344" t="s">
        <v>24</v>
      </c>
      <c r="N344">
        <v>1</v>
      </c>
      <c r="O344" s="14">
        <v>605.85</v>
      </c>
      <c r="P344">
        <f>VLOOKUP(L344,'Product-cost'!A:B,2,FALSE)</f>
        <v>300</v>
      </c>
      <c r="Q344" t="s">
        <v>25</v>
      </c>
      <c r="R344" t="s">
        <v>60</v>
      </c>
      <c r="S344" t="s">
        <v>230</v>
      </c>
      <c r="T344" t="s">
        <v>893</v>
      </c>
      <c r="U344" s="14">
        <f t="shared" si="60"/>
        <v>605.85</v>
      </c>
      <c r="V344" s="14">
        <f t="shared" si="61"/>
        <v>300</v>
      </c>
      <c r="W344" s="10">
        <f>VLOOKUP(Q344,Taxrate!A:B,2,FALSE)</f>
        <v>0.1</v>
      </c>
      <c r="X344" s="14">
        <f t="shared" si="62"/>
        <v>60.585000000000008</v>
      </c>
      <c r="Y344" s="10">
        <f>VLOOKUP(L344,'Discount Rate'!A:B,2,FALSE)</f>
        <v>0.1</v>
      </c>
      <c r="Z344" s="14">
        <f t="shared" si="63"/>
        <v>60.585000000000008</v>
      </c>
      <c r="AA344" s="14">
        <f t="shared" si="64"/>
        <v>484.67999999999995</v>
      </c>
      <c r="AB344" s="14">
        <f t="shared" si="65"/>
        <v>184.67999999999995</v>
      </c>
    </row>
    <row r="345" spans="1:28" x14ac:dyDescent="0.25">
      <c r="A345" t="s">
        <v>729</v>
      </c>
      <c r="B345" t="s">
        <v>730</v>
      </c>
      <c r="C345" t="s">
        <v>91</v>
      </c>
      <c r="D345" t="s">
        <v>92</v>
      </c>
      <c r="E345" s="1">
        <v>46040</v>
      </c>
      <c r="F345" s="8">
        <f t="shared" si="55"/>
        <v>2026</v>
      </c>
      <c r="G345" s="1" t="str">
        <f t="shared" si="56"/>
        <v>January</v>
      </c>
      <c r="H345" s="1" t="str">
        <f t="shared" si="57"/>
        <v>Sunday</v>
      </c>
      <c r="I345" s="2">
        <v>0.88949074074074075</v>
      </c>
      <c r="J345" s="8">
        <f t="shared" si="58"/>
        <v>21</v>
      </c>
      <c r="K345" s="8">
        <f t="shared" si="59"/>
        <v>20</v>
      </c>
      <c r="L345" t="s">
        <v>30</v>
      </c>
      <c r="M345" t="s">
        <v>31</v>
      </c>
      <c r="N345">
        <v>12</v>
      </c>
      <c r="O345" s="14">
        <v>339.17</v>
      </c>
      <c r="P345">
        <f>VLOOKUP(L345,'Product-cost'!A:B,2,FALSE)</f>
        <v>200</v>
      </c>
      <c r="Q345" t="s">
        <v>55</v>
      </c>
      <c r="R345" t="s">
        <v>198</v>
      </c>
      <c r="T345" t="s">
        <v>895</v>
      </c>
      <c r="U345" s="14">
        <f t="shared" si="60"/>
        <v>4070.04</v>
      </c>
      <c r="V345" s="14">
        <f t="shared" si="61"/>
        <v>2400</v>
      </c>
      <c r="W345" s="10">
        <f>VLOOKUP(Q345,Taxrate!A:B,2,FALSE)</f>
        <v>0.12</v>
      </c>
      <c r="X345" s="14">
        <f t="shared" si="62"/>
        <v>488.40479999999997</v>
      </c>
      <c r="Y345" s="10">
        <f>VLOOKUP(L345,'Discount Rate'!A:B,2,FALSE)</f>
        <v>0.08</v>
      </c>
      <c r="Z345" s="14">
        <f t="shared" si="63"/>
        <v>325.60320000000002</v>
      </c>
      <c r="AA345" s="14">
        <f t="shared" si="64"/>
        <v>3256.0320000000002</v>
      </c>
      <c r="AB345" s="14">
        <f t="shared" si="65"/>
        <v>856.03200000000015</v>
      </c>
    </row>
    <row r="346" spans="1:28" x14ac:dyDescent="0.25">
      <c r="A346" t="s">
        <v>731</v>
      </c>
      <c r="B346" t="s">
        <v>36</v>
      </c>
      <c r="C346" t="s">
        <v>13</v>
      </c>
      <c r="D346" t="s">
        <v>14</v>
      </c>
      <c r="E346" s="1">
        <v>45243</v>
      </c>
      <c r="F346" s="8">
        <f t="shared" si="55"/>
        <v>2023</v>
      </c>
      <c r="G346" s="1" t="str">
        <f t="shared" si="56"/>
        <v>November</v>
      </c>
      <c r="H346" s="1" t="str">
        <f t="shared" si="57"/>
        <v>Monday</v>
      </c>
      <c r="I346" s="2">
        <v>0.88391203703703702</v>
      </c>
      <c r="J346" s="8">
        <f t="shared" si="58"/>
        <v>21</v>
      </c>
      <c r="K346" s="8">
        <f t="shared" si="59"/>
        <v>12</v>
      </c>
      <c r="L346" t="s">
        <v>46</v>
      </c>
      <c r="M346" t="s">
        <v>47</v>
      </c>
      <c r="N346">
        <v>14</v>
      </c>
      <c r="O346" s="14">
        <v>269.07</v>
      </c>
      <c r="P346">
        <f>VLOOKUP(L346,'Product-cost'!A:B,2,FALSE)</f>
        <v>150</v>
      </c>
      <c r="Q346" t="s">
        <v>55</v>
      </c>
      <c r="R346" t="s">
        <v>17</v>
      </c>
      <c r="T346" t="s">
        <v>895</v>
      </c>
      <c r="U346" s="14">
        <f t="shared" si="60"/>
        <v>3766.98</v>
      </c>
      <c r="V346" s="14">
        <f t="shared" si="61"/>
        <v>2100</v>
      </c>
      <c r="W346" s="10">
        <f>VLOOKUP(Q346,Taxrate!A:B,2,FALSE)</f>
        <v>0.12</v>
      </c>
      <c r="X346" s="14">
        <f t="shared" si="62"/>
        <v>452.0376</v>
      </c>
      <c r="Y346" s="10">
        <f>VLOOKUP(L346,'Discount Rate'!A:B,2,FALSE)</f>
        <v>7.0000000000000007E-2</v>
      </c>
      <c r="Z346" s="14">
        <f t="shared" si="63"/>
        <v>263.68860000000001</v>
      </c>
      <c r="AA346" s="14">
        <f t="shared" si="64"/>
        <v>3051.2538</v>
      </c>
      <c r="AB346" s="14">
        <f t="shared" si="65"/>
        <v>951.25379999999996</v>
      </c>
    </row>
    <row r="347" spans="1:28" x14ac:dyDescent="0.25">
      <c r="A347" t="s">
        <v>732</v>
      </c>
      <c r="B347" t="s">
        <v>733</v>
      </c>
      <c r="C347" t="s">
        <v>118</v>
      </c>
      <c r="D347" t="s">
        <v>59</v>
      </c>
      <c r="E347" s="1">
        <v>45270</v>
      </c>
      <c r="F347" s="8">
        <f t="shared" si="55"/>
        <v>2023</v>
      </c>
      <c r="G347" s="1" t="str">
        <f t="shared" si="56"/>
        <v>December</v>
      </c>
      <c r="H347" s="1" t="str">
        <f t="shared" si="57"/>
        <v>Sunday</v>
      </c>
      <c r="I347" s="2">
        <v>0.7318055555555556</v>
      </c>
      <c r="J347" s="8">
        <f t="shared" si="58"/>
        <v>17</v>
      </c>
      <c r="K347" s="8">
        <f t="shared" si="59"/>
        <v>33</v>
      </c>
      <c r="L347" t="s">
        <v>30</v>
      </c>
      <c r="M347" t="s">
        <v>31</v>
      </c>
      <c r="N347">
        <v>5</v>
      </c>
      <c r="O347" s="14">
        <v>500</v>
      </c>
      <c r="P347">
        <f>VLOOKUP(L347,'Product-cost'!A:B,2,FALSE)</f>
        <v>200</v>
      </c>
      <c r="Q347" t="s">
        <v>51</v>
      </c>
      <c r="R347" t="s">
        <v>60</v>
      </c>
      <c r="S347" t="s">
        <v>41</v>
      </c>
      <c r="T347" t="s">
        <v>893</v>
      </c>
      <c r="U347" s="14">
        <f t="shared" si="60"/>
        <v>2500</v>
      </c>
      <c r="V347" s="14">
        <f t="shared" si="61"/>
        <v>1000</v>
      </c>
      <c r="W347" s="10">
        <f>VLOOKUP(Q347,Taxrate!A:B,2,FALSE)</f>
        <v>7.0000000000000007E-2</v>
      </c>
      <c r="X347" s="14">
        <f t="shared" si="62"/>
        <v>175.00000000000003</v>
      </c>
      <c r="Y347" s="10">
        <f>VLOOKUP(L347,'Discount Rate'!A:B,2,FALSE)</f>
        <v>0.08</v>
      </c>
      <c r="Z347" s="14">
        <f t="shared" si="63"/>
        <v>200</v>
      </c>
      <c r="AA347" s="14">
        <f t="shared" si="64"/>
        <v>2125</v>
      </c>
      <c r="AB347" s="14">
        <f t="shared" si="65"/>
        <v>1125</v>
      </c>
    </row>
    <row r="348" spans="1:28" x14ac:dyDescent="0.25">
      <c r="A348" t="s">
        <v>734</v>
      </c>
      <c r="B348" t="s">
        <v>735</v>
      </c>
      <c r="C348" t="s">
        <v>13</v>
      </c>
      <c r="D348" t="s">
        <v>14</v>
      </c>
      <c r="E348" s="1">
        <v>45140</v>
      </c>
      <c r="F348" s="8">
        <f t="shared" si="55"/>
        <v>2023</v>
      </c>
      <c r="G348" s="1" t="str">
        <f t="shared" si="56"/>
        <v>August</v>
      </c>
      <c r="H348" s="1" t="str">
        <f t="shared" si="57"/>
        <v>Wednesday</v>
      </c>
      <c r="I348" s="2">
        <v>0.85210648148148149</v>
      </c>
      <c r="J348" s="8">
        <f t="shared" si="58"/>
        <v>20</v>
      </c>
      <c r="K348" s="8">
        <f t="shared" si="59"/>
        <v>27</v>
      </c>
      <c r="L348" t="s">
        <v>23</v>
      </c>
      <c r="M348" t="s">
        <v>24</v>
      </c>
      <c r="N348">
        <v>13</v>
      </c>
      <c r="O348" s="14">
        <v>657.95</v>
      </c>
      <c r="P348">
        <f>VLOOKUP(L348,'Product-cost'!A:B,2,FALSE)</f>
        <v>300</v>
      </c>
      <c r="Q348" t="s">
        <v>39</v>
      </c>
      <c r="R348" t="s">
        <v>17</v>
      </c>
      <c r="S348" t="s">
        <v>18</v>
      </c>
      <c r="T348" t="s">
        <v>893</v>
      </c>
      <c r="U348" s="14">
        <f t="shared" si="60"/>
        <v>8553.35</v>
      </c>
      <c r="V348" s="14">
        <f t="shared" si="61"/>
        <v>3900</v>
      </c>
      <c r="W348" s="10">
        <f>VLOOKUP(Q348,Taxrate!A:B,2,FALSE)</f>
        <v>0.15</v>
      </c>
      <c r="X348" s="14">
        <f t="shared" si="62"/>
        <v>1283.0025000000001</v>
      </c>
      <c r="Y348" s="10">
        <f>VLOOKUP(L348,'Discount Rate'!A:B,2,FALSE)</f>
        <v>0.1</v>
      </c>
      <c r="Z348" s="14">
        <f t="shared" si="63"/>
        <v>855.33500000000004</v>
      </c>
      <c r="AA348" s="14">
        <f t="shared" si="64"/>
        <v>6415.0124999999998</v>
      </c>
      <c r="AB348" s="14">
        <f t="shared" si="65"/>
        <v>2515.0124999999998</v>
      </c>
    </row>
    <row r="349" spans="1:28" x14ac:dyDescent="0.25">
      <c r="A349" t="s">
        <v>736</v>
      </c>
      <c r="B349" t="s">
        <v>304</v>
      </c>
      <c r="C349" t="s">
        <v>165</v>
      </c>
      <c r="D349" t="s">
        <v>38</v>
      </c>
      <c r="E349" s="1">
        <v>45305</v>
      </c>
      <c r="F349" s="8">
        <f t="shared" si="55"/>
        <v>2024</v>
      </c>
      <c r="G349" s="1" t="str">
        <f t="shared" si="56"/>
        <v>January</v>
      </c>
      <c r="H349" s="1" t="str">
        <f t="shared" si="57"/>
        <v>Sunday</v>
      </c>
      <c r="I349" s="2">
        <v>0.33690972222222221</v>
      </c>
      <c r="J349" s="8">
        <f t="shared" si="58"/>
        <v>8</v>
      </c>
      <c r="K349" s="8">
        <f t="shared" si="59"/>
        <v>5</v>
      </c>
      <c r="L349" t="s">
        <v>30</v>
      </c>
      <c r="M349" t="s">
        <v>31</v>
      </c>
      <c r="N349">
        <v>6</v>
      </c>
      <c r="O349" s="14">
        <v>491.03</v>
      </c>
      <c r="P349">
        <f>VLOOKUP(L349,'Product-cost'!A:B,2,FALSE)</f>
        <v>200</v>
      </c>
      <c r="Q349" t="s">
        <v>55</v>
      </c>
      <c r="R349" t="s">
        <v>84</v>
      </c>
      <c r="S349" t="s">
        <v>18</v>
      </c>
      <c r="T349" t="s">
        <v>893</v>
      </c>
      <c r="U349" s="14">
        <f t="shared" si="60"/>
        <v>2946.18</v>
      </c>
      <c r="V349" s="14">
        <f t="shared" si="61"/>
        <v>1200</v>
      </c>
      <c r="W349" s="10">
        <f>VLOOKUP(Q349,Taxrate!A:B,2,FALSE)</f>
        <v>0.12</v>
      </c>
      <c r="X349" s="14">
        <f t="shared" si="62"/>
        <v>353.54159999999996</v>
      </c>
      <c r="Y349" s="10">
        <f>VLOOKUP(L349,'Discount Rate'!A:B,2,FALSE)</f>
        <v>0.08</v>
      </c>
      <c r="Z349" s="14">
        <f t="shared" si="63"/>
        <v>235.6944</v>
      </c>
      <c r="AA349" s="14">
        <f t="shared" si="64"/>
        <v>2356.944</v>
      </c>
      <c r="AB349" s="14">
        <f t="shared" si="65"/>
        <v>1156.944</v>
      </c>
    </row>
    <row r="350" spans="1:28" x14ac:dyDescent="0.25">
      <c r="A350" t="s">
        <v>737</v>
      </c>
      <c r="B350" t="s">
        <v>738</v>
      </c>
      <c r="C350" t="s">
        <v>63</v>
      </c>
      <c r="D350" t="s">
        <v>14</v>
      </c>
      <c r="E350" s="1">
        <v>45129</v>
      </c>
      <c r="F350" s="8">
        <f t="shared" si="55"/>
        <v>2023</v>
      </c>
      <c r="G350" s="1" t="str">
        <f t="shared" si="56"/>
        <v>July</v>
      </c>
      <c r="H350" s="1" t="str">
        <f t="shared" si="57"/>
        <v>Saturday</v>
      </c>
      <c r="I350" s="2">
        <v>0.70468750000000002</v>
      </c>
      <c r="J350" s="8">
        <f t="shared" si="58"/>
        <v>16</v>
      </c>
      <c r="K350" s="8">
        <f t="shared" si="59"/>
        <v>54</v>
      </c>
      <c r="L350" t="s">
        <v>73</v>
      </c>
      <c r="M350" t="s">
        <v>74</v>
      </c>
      <c r="N350">
        <v>10</v>
      </c>
      <c r="O350" s="14">
        <v>170.51</v>
      </c>
      <c r="P350">
        <f>VLOOKUP(L350,'Product-cost'!A:B,2,FALSE)</f>
        <v>50</v>
      </c>
      <c r="Q350" t="s">
        <v>51</v>
      </c>
      <c r="R350" t="s">
        <v>33</v>
      </c>
      <c r="S350" t="s">
        <v>69</v>
      </c>
      <c r="T350" t="s">
        <v>894</v>
      </c>
      <c r="U350" s="14">
        <f t="shared" si="60"/>
        <v>1705.1</v>
      </c>
      <c r="V350" s="14">
        <f t="shared" si="61"/>
        <v>500</v>
      </c>
      <c r="W350" s="10">
        <f>VLOOKUP(Q350,Taxrate!A:B,2,FALSE)</f>
        <v>7.0000000000000007E-2</v>
      </c>
      <c r="X350" s="14">
        <f t="shared" si="62"/>
        <v>119.357</v>
      </c>
      <c r="Y350" s="10">
        <f>VLOOKUP(L350,'Discount Rate'!A:B,2,FALSE)</f>
        <v>0.03</v>
      </c>
      <c r="Z350" s="14">
        <f t="shared" si="63"/>
        <v>51.152999999999999</v>
      </c>
      <c r="AA350" s="14">
        <f t="shared" si="64"/>
        <v>1534.59</v>
      </c>
      <c r="AB350" s="14">
        <f t="shared" si="65"/>
        <v>1034.5899999999999</v>
      </c>
    </row>
    <row r="351" spans="1:28" x14ac:dyDescent="0.25">
      <c r="A351" t="s">
        <v>739</v>
      </c>
      <c r="B351" t="s">
        <v>740</v>
      </c>
      <c r="C351" t="s">
        <v>13</v>
      </c>
      <c r="D351" t="s">
        <v>14</v>
      </c>
      <c r="E351" s="1">
        <v>45152</v>
      </c>
      <c r="F351" s="8">
        <f t="shared" si="55"/>
        <v>2023</v>
      </c>
      <c r="G351" s="1" t="str">
        <f t="shared" si="56"/>
        <v>August</v>
      </c>
      <c r="H351" s="1" t="str">
        <f t="shared" si="57"/>
        <v>Monday</v>
      </c>
      <c r="I351" s="2">
        <v>0.658599537037037</v>
      </c>
      <c r="J351" s="8">
        <f t="shared" si="58"/>
        <v>15</v>
      </c>
      <c r="K351" s="8">
        <f t="shared" si="59"/>
        <v>48</v>
      </c>
      <c r="L351" t="s">
        <v>30</v>
      </c>
      <c r="M351" t="s">
        <v>31</v>
      </c>
      <c r="N351">
        <v>1</v>
      </c>
      <c r="O351" s="14">
        <v>500</v>
      </c>
      <c r="P351">
        <f>VLOOKUP(L351,'Product-cost'!A:B,2,FALSE)</f>
        <v>200</v>
      </c>
      <c r="Q351" t="s">
        <v>39</v>
      </c>
      <c r="R351" t="s">
        <v>33</v>
      </c>
      <c r="T351" t="s">
        <v>895</v>
      </c>
      <c r="U351" s="14">
        <f t="shared" si="60"/>
        <v>500</v>
      </c>
      <c r="V351" s="14">
        <f t="shared" si="61"/>
        <v>200</v>
      </c>
      <c r="W351" s="10">
        <f>VLOOKUP(Q351,Taxrate!A:B,2,FALSE)</f>
        <v>0.15</v>
      </c>
      <c r="X351" s="14">
        <f t="shared" si="62"/>
        <v>75</v>
      </c>
      <c r="Y351" s="10">
        <f>VLOOKUP(L351,'Discount Rate'!A:B,2,FALSE)</f>
        <v>0.08</v>
      </c>
      <c r="Z351" s="14">
        <f t="shared" si="63"/>
        <v>40</v>
      </c>
      <c r="AA351" s="14">
        <f t="shared" si="64"/>
        <v>385</v>
      </c>
      <c r="AB351" s="14">
        <f t="shared" si="65"/>
        <v>185</v>
      </c>
    </row>
    <row r="352" spans="1:28" x14ac:dyDescent="0.25">
      <c r="A352" t="s">
        <v>741</v>
      </c>
      <c r="B352" t="s">
        <v>172</v>
      </c>
      <c r="C352" t="s">
        <v>118</v>
      </c>
      <c r="D352" t="s">
        <v>59</v>
      </c>
      <c r="E352" s="1">
        <v>45313</v>
      </c>
      <c r="F352" s="8">
        <f t="shared" si="55"/>
        <v>2024</v>
      </c>
      <c r="G352" s="1" t="str">
        <f t="shared" si="56"/>
        <v>January</v>
      </c>
      <c r="H352" s="1" t="str">
        <f t="shared" si="57"/>
        <v>Monday</v>
      </c>
      <c r="I352" s="2">
        <v>0.91076388888888893</v>
      </c>
      <c r="J352" s="8">
        <f t="shared" si="58"/>
        <v>21</v>
      </c>
      <c r="K352" s="8">
        <f t="shared" si="59"/>
        <v>51</v>
      </c>
      <c r="L352" t="s">
        <v>30</v>
      </c>
      <c r="M352" t="s">
        <v>31</v>
      </c>
      <c r="N352">
        <v>11</v>
      </c>
      <c r="O352" s="14">
        <v>341.03</v>
      </c>
      <c r="P352">
        <f>VLOOKUP(L352,'Product-cost'!A:B,2,FALSE)</f>
        <v>200</v>
      </c>
      <c r="Q352" t="s">
        <v>39</v>
      </c>
      <c r="R352" t="s">
        <v>60</v>
      </c>
      <c r="S352" t="s">
        <v>132</v>
      </c>
      <c r="T352" t="s">
        <v>893</v>
      </c>
      <c r="U352" s="14">
        <f t="shared" si="60"/>
        <v>3751.33</v>
      </c>
      <c r="V352" s="14">
        <f t="shared" si="61"/>
        <v>2200</v>
      </c>
      <c r="W352" s="10">
        <f>VLOOKUP(Q352,Taxrate!A:B,2,FALSE)</f>
        <v>0.15</v>
      </c>
      <c r="X352" s="14">
        <f t="shared" si="62"/>
        <v>562.69949999999994</v>
      </c>
      <c r="Y352" s="10">
        <f>VLOOKUP(L352,'Discount Rate'!A:B,2,FALSE)</f>
        <v>0.08</v>
      </c>
      <c r="Z352" s="14">
        <f t="shared" si="63"/>
        <v>300.10640000000001</v>
      </c>
      <c r="AA352" s="14">
        <f t="shared" si="64"/>
        <v>2888.5241000000001</v>
      </c>
      <c r="AB352" s="14">
        <f t="shared" si="65"/>
        <v>688.52410000000009</v>
      </c>
    </row>
    <row r="353" spans="1:28" x14ac:dyDescent="0.25">
      <c r="A353" t="s">
        <v>742</v>
      </c>
      <c r="B353" t="s">
        <v>743</v>
      </c>
      <c r="C353" t="s">
        <v>66</v>
      </c>
      <c r="D353" t="s">
        <v>67</v>
      </c>
      <c r="E353" s="1">
        <v>45628</v>
      </c>
      <c r="F353" s="8">
        <f t="shared" si="55"/>
        <v>2024</v>
      </c>
      <c r="G353" s="1" t="str">
        <f t="shared" si="56"/>
        <v>December</v>
      </c>
      <c r="H353" s="1" t="str">
        <f t="shared" si="57"/>
        <v>Monday</v>
      </c>
      <c r="I353" s="2">
        <v>0.48534722222222221</v>
      </c>
      <c r="J353" s="8">
        <f t="shared" si="58"/>
        <v>11</v>
      </c>
      <c r="K353" s="8">
        <f t="shared" si="59"/>
        <v>38</v>
      </c>
      <c r="L353" t="s">
        <v>73</v>
      </c>
      <c r="M353" t="s">
        <v>74</v>
      </c>
      <c r="N353">
        <v>14</v>
      </c>
      <c r="O353" s="14">
        <v>157.43</v>
      </c>
      <c r="P353">
        <f>VLOOKUP(L353,'Product-cost'!A:B,2,FALSE)</f>
        <v>50</v>
      </c>
      <c r="Q353" t="s">
        <v>55</v>
      </c>
      <c r="R353" t="s">
        <v>68</v>
      </c>
      <c r="S353" t="s">
        <v>132</v>
      </c>
      <c r="T353" t="s">
        <v>893</v>
      </c>
      <c r="U353" s="14">
        <f t="shared" si="60"/>
        <v>2204.02</v>
      </c>
      <c r="V353" s="14">
        <f t="shared" si="61"/>
        <v>700</v>
      </c>
      <c r="W353" s="10">
        <f>VLOOKUP(Q353,Taxrate!A:B,2,FALSE)</f>
        <v>0.12</v>
      </c>
      <c r="X353" s="14">
        <f t="shared" si="62"/>
        <v>264.48239999999998</v>
      </c>
      <c r="Y353" s="10">
        <f>VLOOKUP(L353,'Discount Rate'!A:B,2,FALSE)</f>
        <v>0.03</v>
      </c>
      <c r="Z353" s="14">
        <f t="shared" si="63"/>
        <v>66.120599999999996</v>
      </c>
      <c r="AA353" s="14">
        <f t="shared" si="64"/>
        <v>1873.4170000000001</v>
      </c>
      <c r="AB353" s="14">
        <f t="shared" si="65"/>
        <v>1173.4170000000001</v>
      </c>
    </row>
    <row r="354" spans="1:28" x14ac:dyDescent="0.25">
      <c r="A354" t="s">
        <v>744</v>
      </c>
      <c r="B354" t="s">
        <v>745</v>
      </c>
      <c r="C354" t="s">
        <v>126</v>
      </c>
      <c r="D354" t="s">
        <v>22</v>
      </c>
      <c r="E354" s="1">
        <v>45228</v>
      </c>
      <c r="F354" s="8">
        <f t="shared" si="55"/>
        <v>2023</v>
      </c>
      <c r="G354" s="1" t="str">
        <f t="shared" si="56"/>
        <v>October</v>
      </c>
      <c r="H354" s="1" t="str">
        <f t="shared" si="57"/>
        <v>Sunday</v>
      </c>
      <c r="I354" s="2">
        <v>0.38004629629629627</v>
      </c>
      <c r="J354" s="8">
        <f t="shared" si="58"/>
        <v>9</v>
      </c>
      <c r="K354" s="8">
        <f t="shared" si="59"/>
        <v>7</v>
      </c>
      <c r="L354" t="s">
        <v>73</v>
      </c>
      <c r="M354" t="s">
        <v>74</v>
      </c>
      <c r="N354">
        <v>11</v>
      </c>
      <c r="O354" s="14">
        <v>122.23</v>
      </c>
      <c r="P354">
        <f>VLOOKUP(L354,'Product-cost'!A:B,2,FALSE)</f>
        <v>50</v>
      </c>
      <c r="Q354" t="s">
        <v>51</v>
      </c>
      <c r="R354" t="s">
        <v>52</v>
      </c>
      <c r="S354" t="s">
        <v>115</v>
      </c>
      <c r="T354" t="s">
        <v>893</v>
      </c>
      <c r="U354" s="14">
        <f t="shared" si="60"/>
        <v>1344.53</v>
      </c>
      <c r="V354" s="14">
        <f t="shared" si="61"/>
        <v>550</v>
      </c>
      <c r="W354" s="10">
        <f>VLOOKUP(Q354,Taxrate!A:B,2,FALSE)</f>
        <v>7.0000000000000007E-2</v>
      </c>
      <c r="X354" s="14">
        <f t="shared" si="62"/>
        <v>94.117100000000008</v>
      </c>
      <c r="Y354" s="10">
        <f>VLOOKUP(L354,'Discount Rate'!A:B,2,FALSE)</f>
        <v>0.03</v>
      </c>
      <c r="Z354" s="14">
        <f t="shared" si="63"/>
        <v>40.335899999999995</v>
      </c>
      <c r="AA354" s="14">
        <f t="shared" si="64"/>
        <v>1210.077</v>
      </c>
      <c r="AB354" s="14">
        <f t="shared" si="65"/>
        <v>660.077</v>
      </c>
    </row>
    <row r="355" spans="1:28" x14ac:dyDescent="0.25">
      <c r="A355" t="s">
        <v>746</v>
      </c>
      <c r="B355" t="s">
        <v>747</v>
      </c>
      <c r="C355" t="s">
        <v>91</v>
      </c>
      <c r="D355" t="s">
        <v>92</v>
      </c>
      <c r="E355" s="1">
        <v>45083</v>
      </c>
      <c r="F355" s="8">
        <f t="shared" si="55"/>
        <v>2023</v>
      </c>
      <c r="G355" s="1" t="str">
        <f t="shared" si="56"/>
        <v>June</v>
      </c>
      <c r="H355" s="1" t="str">
        <f t="shared" si="57"/>
        <v>Tuesday</v>
      </c>
      <c r="I355" s="2">
        <v>0.8536111111111111</v>
      </c>
      <c r="J355" s="8">
        <f t="shared" si="58"/>
        <v>20</v>
      </c>
      <c r="K355" s="8">
        <f t="shared" si="59"/>
        <v>29</v>
      </c>
      <c r="L355" t="s">
        <v>30</v>
      </c>
      <c r="M355" t="s">
        <v>31</v>
      </c>
      <c r="N355">
        <v>8</v>
      </c>
      <c r="O355" s="14">
        <v>428.49</v>
      </c>
      <c r="P355">
        <f>VLOOKUP(L355,'Product-cost'!A:B,2,FALSE)</f>
        <v>200</v>
      </c>
      <c r="Q355" t="s">
        <v>55</v>
      </c>
      <c r="R355" t="s">
        <v>198</v>
      </c>
      <c r="S355" t="s">
        <v>213</v>
      </c>
      <c r="T355" t="s">
        <v>894</v>
      </c>
      <c r="U355" s="14">
        <f t="shared" si="60"/>
        <v>3427.92</v>
      </c>
      <c r="V355" s="14">
        <f t="shared" si="61"/>
        <v>1600</v>
      </c>
      <c r="W355" s="10">
        <f>VLOOKUP(Q355,Taxrate!A:B,2,FALSE)</f>
        <v>0.12</v>
      </c>
      <c r="X355" s="14">
        <f t="shared" si="62"/>
        <v>411.35039999999998</v>
      </c>
      <c r="Y355" s="10">
        <f>VLOOKUP(L355,'Discount Rate'!A:B,2,FALSE)</f>
        <v>0.08</v>
      </c>
      <c r="Z355" s="14">
        <f t="shared" si="63"/>
        <v>274.23360000000002</v>
      </c>
      <c r="AA355" s="14">
        <f t="shared" si="64"/>
        <v>2742.3360000000002</v>
      </c>
      <c r="AB355" s="14">
        <f t="shared" si="65"/>
        <v>1142.3360000000002</v>
      </c>
    </row>
    <row r="356" spans="1:28" x14ac:dyDescent="0.25">
      <c r="A356" t="s">
        <v>748</v>
      </c>
      <c r="B356" t="s">
        <v>189</v>
      </c>
      <c r="C356" t="s">
        <v>155</v>
      </c>
      <c r="D356" t="s">
        <v>156</v>
      </c>
      <c r="E356" s="1">
        <v>45868</v>
      </c>
      <c r="F356" s="8">
        <f t="shared" si="55"/>
        <v>2025</v>
      </c>
      <c r="G356" s="1" t="str">
        <f t="shared" si="56"/>
        <v>July</v>
      </c>
      <c r="H356" s="1" t="str">
        <f t="shared" si="57"/>
        <v>Wednesday</v>
      </c>
      <c r="I356" s="2">
        <v>0.34137731481481481</v>
      </c>
      <c r="J356" s="8">
        <f t="shared" si="58"/>
        <v>8</v>
      </c>
      <c r="K356" s="8">
        <f t="shared" si="59"/>
        <v>11</v>
      </c>
      <c r="L356" t="s">
        <v>30</v>
      </c>
      <c r="M356" t="s">
        <v>31</v>
      </c>
      <c r="N356">
        <v>3</v>
      </c>
      <c r="O356" s="14">
        <v>346.9</v>
      </c>
      <c r="P356">
        <f>VLOOKUP(L356,'Product-cost'!A:B,2,FALSE)</f>
        <v>200</v>
      </c>
      <c r="Q356" t="s">
        <v>39</v>
      </c>
      <c r="R356" t="s">
        <v>157</v>
      </c>
      <c r="S356" t="s">
        <v>96</v>
      </c>
      <c r="T356" t="s">
        <v>893</v>
      </c>
      <c r="U356" s="14">
        <f t="shared" si="60"/>
        <v>1040.6999999999998</v>
      </c>
      <c r="V356" s="14">
        <f t="shared" si="61"/>
        <v>600</v>
      </c>
      <c r="W356" s="10">
        <f>VLOOKUP(Q356,Taxrate!A:B,2,FALSE)</f>
        <v>0.15</v>
      </c>
      <c r="X356" s="14">
        <f t="shared" si="62"/>
        <v>156.10499999999996</v>
      </c>
      <c r="Y356" s="10">
        <f>VLOOKUP(L356,'Discount Rate'!A:B,2,FALSE)</f>
        <v>0.08</v>
      </c>
      <c r="Z356" s="14">
        <f t="shared" si="63"/>
        <v>83.255999999999986</v>
      </c>
      <c r="AA356" s="14">
        <f t="shared" si="64"/>
        <v>801.33899999999983</v>
      </c>
      <c r="AB356" s="14">
        <f t="shared" si="65"/>
        <v>201.33899999999983</v>
      </c>
    </row>
    <row r="357" spans="1:28" x14ac:dyDescent="0.25">
      <c r="A357" t="s">
        <v>749</v>
      </c>
      <c r="B357" t="s">
        <v>750</v>
      </c>
      <c r="C357" t="s">
        <v>187</v>
      </c>
      <c r="D357" t="s">
        <v>156</v>
      </c>
      <c r="E357" s="1">
        <v>46137</v>
      </c>
      <c r="F357" s="8">
        <f t="shared" si="55"/>
        <v>2026</v>
      </c>
      <c r="G357" s="1" t="str">
        <f t="shared" si="56"/>
        <v>April</v>
      </c>
      <c r="H357" s="1" t="str">
        <f t="shared" si="57"/>
        <v>Saturday</v>
      </c>
      <c r="I357" s="2">
        <v>0.73844907407407412</v>
      </c>
      <c r="J357" s="8">
        <f t="shared" si="58"/>
        <v>17</v>
      </c>
      <c r="K357" s="8">
        <f t="shared" si="59"/>
        <v>43</v>
      </c>
      <c r="L357" t="s">
        <v>30</v>
      </c>
      <c r="M357" t="s">
        <v>31</v>
      </c>
      <c r="N357">
        <v>1</v>
      </c>
      <c r="O357" s="14">
        <v>345.64</v>
      </c>
      <c r="P357">
        <f>VLOOKUP(L357,'Product-cost'!A:B,2,FALSE)</f>
        <v>200</v>
      </c>
      <c r="Q357" t="s">
        <v>25</v>
      </c>
      <c r="R357" t="s">
        <v>157</v>
      </c>
      <c r="S357" t="s">
        <v>123</v>
      </c>
      <c r="T357" t="s">
        <v>893</v>
      </c>
      <c r="U357" s="14">
        <f t="shared" si="60"/>
        <v>345.64</v>
      </c>
      <c r="V357" s="14">
        <f t="shared" si="61"/>
        <v>200</v>
      </c>
      <c r="W357" s="10">
        <f>VLOOKUP(Q357,Taxrate!A:B,2,FALSE)</f>
        <v>0.1</v>
      </c>
      <c r="X357" s="14">
        <f t="shared" si="62"/>
        <v>34.564</v>
      </c>
      <c r="Y357" s="10">
        <f>VLOOKUP(L357,'Discount Rate'!A:B,2,FALSE)</f>
        <v>0.08</v>
      </c>
      <c r="Z357" s="14">
        <f t="shared" si="63"/>
        <v>27.651199999999999</v>
      </c>
      <c r="AA357" s="14">
        <f t="shared" si="64"/>
        <v>283.42479999999995</v>
      </c>
      <c r="AB357" s="14">
        <f t="shared" si="65"/>
        <v>83.424799999999948</v>
      </c>
    </row>
    <row r="358" spans="1:28" x14ac:dyDescent="0.25">
      <c r="A358" t="s">
        <v>751</v>
      </c>
      <c r="B358" t="s">
        <v>690</v>
      </c>
      <c r="C358" t="s">
        <v>37</v>
      </c>
      <c r="D358" t="s">
        <v>38</v>
      </c>
      <c r="E358" s="1">
        <v>46281</v>
      </c>
      <c r="F358" s="8">
        <f t="shared" si="55"/>
        <v>2026</v>
      </c>
      <c r="G358" s="1" t="str">
        <f t="shared" si="56"/>
        <v>September</v>
      </c>
      <c r="H358" s="1" t="str">
        <f t="shared" si="57"/>
        <v>Wednesday</v>
      </c>
      <c r="I358" s="2">
        <v>0.46922453703703704</v>
      </c>
      <c r="J358" s="8">
        <f t="shared" si="58"/>
        <v>11</v>
      </c>
      <c r="K358" s="8">
        <f t="shared" si="59"/>
        <v>15</v>
      </c>
      <c r="L358" t="s">
        <v>30</v>
      </c>
      <c r="M358" t="s">
        <v>31</v>
      </c>
      <c r="N358">
        <v>15</v>
      </c>
      <c r="O358" s="14">
        <v>493.79</v>
      </c>
      <c r="P358">
        <f>VLOOKUP(L358,'Product-cost'!A:B,2,FALSE)</f>
        <v>200</v>
      </c>
      <c r="Q358" t="s">
        <v>51</v>
      </c>
      <c r="R358" t="s">
        <v>84</v>
      </c>
      <c r="S358" t="s">
        <v>88</v>
      </c>
      <c r="T358" t="s">
        <v>893</v>
      </c>
      <c r="U358" s="14">
        <f t="shared" si="60"/>
        <v>7406.85</v>
      </c>
      <c r="V358" s="14">
        <f t="shared" si="61"/>
        <v>3000</v>
      </c>
      <c r="W358" s="10">
        <f>VLOOKUP(Q358,Taxrate!A:B,2,FALSE)</f>
        <v>7.0000000000000007E-2</v>
      </c>
      <c r="X358" s="14">
        <f t="shared" si="62"/>
        <v>518.47950000000003</v>
      </c>
      <c r="Y358" s="10">
        <f>VLOOKUP(L358,'Discount Rate'!A:B,2,FALSE)</f>
        <v>0.08</v>
      </c>
      <c r="Z358" s="14">
        <f t="shared" si="63"/>
        <v>592.548</v>
      </c>
      <c r="AA358" s="14">
        <f t="shared" si="64"/>
        <v>6295.8225000000002</v>
      </c>
      <c r="AB358" s="14">
        <f t="shared" si="65"/>
        <v>3295.8225000000002</v>
      </c>
    </row>
    <row r="359" spans="1:28" x14ac:dyDescent="0.25">
      <c r="A359" t="s">
        <v>752</v>
      </c>
      <c r="B359" t="s">
        <v>206</v>
      </c>
      <c r="C359" t="s">
        <v>187</v>
      </c>
      <c r="D359" t="s">
        <v>156</v>
      </c>
      <c r="E359" s="1">
        <v>46352</v>
      </c>
      <c r="F359" s="8">
        <f t="shared" si="55"/>
        <v>2026</v>
      </c>
      <c r="G359" s="1" t="str">
        <f t="shared" si="56"/>
        <v>November</v>
      </c>
      <c r="H359" s="1" t="str">
        <f t="shared" si="57"/>
        <v>Thursday</v>
      </c>
      <c r="I359" s="2">
        <v>0.70925925925925926</v>
      </c>
      <c r="J359" s="8">
        <f t="shared" si="58"/>
        <v>17</v>
      </c>
      <c r="K359" s="8">
        <f t="shared" si="59"/>
        <v>1</v>
      </c>
      <c r="L359" t="s">
        <v>73</v>
      </c>
      <c r="M359" t="s">
        <v>74</v>
      </c>
      <c r="N359">
        <v>6</v>
      </c>
      <c r="O359" s="14">
        <v>180.62</v>
      </c>
      <c r="P359">
        <f>VLOOKUP(L359,'Product-cost'!A:B,2,FALSE)</f>
        <v>50</v>
      </c>
      <c r="Q359" t="s">
        <v>51</v>
      </c>
      <c r="R359" t="s">
        <v>252</v>
      </c>
      <c r="S359" t="s">
        <v>123</v>
      </c>
      <c r="T359" t="s">
        <v>893</v>
      </c>
      <c r="U359" s="14">
        <f t="shared" si="60"/>
        <v>1083.72</v>
      </c>
      <c r="V359" s="14">
        <f t="shared" si="61"/>
        <v>300</v>
      </c>
      <c r="W359" s="10">
        <f>VLOOKUP(Q359,Taxrate!A:B,2,FALSE)</f>
        <v>7.0000000000000007E-2</v>
      </c>
      <c r="X359" s="14">
        <f t="shared" si="62"/>
        <v>75.860400000000013</v>
      </c>
      <c r="Y359" s="10">
        <f>VLOOKUP(L359,'Discount Rate'!A:B,2,FALSE)</f>
        <v>0.03</v>
      </c>
      <c r="Z359" s="14">
        <f t="shared" si="63"/>
        <v>32.511600000000001</v>
      </c>
      <c r="AA359" s="14">
        <f t="shared" si="64"/>
        <v>975.34799999999996</v>
      </c>
      <c r="AB359" s="14">
        <f t="shared" si="65"/>
        <v>675.34799999999996</v>
      </c>
    </row>
    <row r="360" spans="1:28" x14ac:dyDescent="0.25">
      <c r="A360" t="s">
        <v>753</v>
      </c>
      <c r="B360" t="s">
        <v>754</v>
      </c>
      <c r="C360" t="s">
        <v>72</v>
      </c>
      <c r="D360" t="s">
        <v>59</v>
      </c>
      <c r="E360" s="1">
        <v>46054</v>
      </c>
      <c r="F360" s="8">
        <f t="shared" si="55"/>
        <v>2026</v>
      </c>
      <c r="G360" s="1" t="str">
        <f t="shared" si="56"/>
        <v>February</v>
      </c>
      <c r="H360" s="1" t="str">
        <f t="shared" si="57"/>
        <v>Sunday</v>
      </c>
      <c r="I360" s="2">
        <v>0.5111458333333333</v>
      </c>
      <c r="J360" s="8">
        <f t="shared" si="58"/>
        <v>12</v>
      </c>
      <c r="K360" s="8">
        <f t="shared" si="59"/>
        <v>16</v>
      </c>
      <c r="L360" t="s">
        <v>30</v>
      </c>
      <c r="M360" t="s">
        <v>31</v>
      </c>
      <c r="N360">
        <v>7</v>
      </c>
      <c r="O360" s="14">
        <v>444.91</v>
      </c>
      <c r="P360">
        <f>VLOOKUP(L360,'Product-cost'!A:B,2,FALSE)</f>
        <v>200</v>
      </c>
      <c r="Q360" t="s">
        <v>51</v>
      </c>
      <c r="R360" t="s">
        <v>75</v>
      </c>
      <c r="T360" t="s">
        <v>895</v>
      </c>
      <c r="U360" s="14">
        <f t="shared" si="60"/>
        <v>3114.3700000000003</v>
      </c>
      <c r="V360" s="14">
        <f t="shared" si="61"/>
        <v>1400</v>
      </c>
      <c r="W360" s="10">
        <f>VLOOKUP(Q360,Taxrate!A:B,2,FALSE)</f>
        <v>7.0000000000000007E-2</v>
      </c>
      <c r="X360" s="14">
        <f t="shared" si="62"/>
        <v>218.00590000000005</v>
      </c>
      <c r="Y360" s="10">
        <f>VLOOKUP(L360,'Discount Rate'!A:B,2,FALSE)</f>
        <v>0.08</v>
      </c>
      <c r="Z360" s="14">
        <f t="shared" si="63"/>
        <v>249.14960000000002</v>
      </c>
      <c r="AA360" s="14">
        <f t="shared" si="64"/>
        <v>2647.2145</v>
      </c>
      <c r="AB360" s="14">
        <f t="shared" si="65"/>
        <v>1247.2145</v>
      </c>
    </row>
    <row r="361" spans="1:28" x14ac:dyDescent="0.25">
      <c r="A361" t="s">
        <v>755</v>
      </c>
      <c r="B361" t="s">
        <v>756</v>
      </c>
      <c r="C361" t="s">
        <v>37</v>
      </c>
      <c r="D361" t="s">
        <v>38</v>
      </c>
      <c r="E361" s="1">
        <v>46261</v>
      </c>
      <c r="F361" s="8">
        <f t="shared" si="55"/>
        <v>2026</v>
      </c>
      <c r="G361" s="1" t="str">
        <f t="shared" si="56"/>
        <v>August</v>
      </c>
      <c r="H361" s="1" t="str">
        <f t="shared" si="57"/>
        <v>Thursday</v>
      </c>
      <c r="I361" s="2">
        <v>0.70230324074074069</v>
      </c>
      <c r="J361" s="8">
        <f t="shared" si="58"/>
        <v>16</v>
      </c>
      <c r="K361" s="8">
        <f t="shared" si="59"/>
        <v>51</v>
      </c>
      <c r="L361" t="s">
        <v>73</v>
      </c>
      <c r="M361" t="s">
        <v>74</v>
      </c>
      <c r="N361">
        <v>6</v>
      </c>
      <c r="O361" s="14">
        <v>150.16999999999999</v>
      </c>
      <c r="P361">
        <f>VLOOKUP(L361,'Product-cost'!A:B,2,FALSE)</f>
        <v>50</v>
      </c>
      <c r="Q361" t="s">
        <v>55</v>
      </c>
      <c r="R361" t="s">
        <v>84</v>
      </c>
      <c r="S361" t="s">
        <v>18</v>
      </c>
      <c r="T361" t="s">
        <v>893</v>
      </c>
      <c r="U361" s="14">
        <f t="shared" si="60"/>
        <v>901.02</v>
      </c>
      <c r="V361" s="14">
        <f t="shared" si="61"/>
        <v>300</v>
      </c>
      <c r="W361" s="10">
        <f>VLOOKUP(Q361,Taxrate!A:B,2,FALSE)</f>
        <v>0.12</v>
      </c>
      <c r="X361" s="14">
        <f t="shared" si="62"/>
        <v>108.1224</v>
      </c>
      <c r="Y361" s="10">
        <f>VLOOKUP(L361,'Discount Rate'!A:B,2,FALSE)</f>
        <v>0.03</v>
      </c>
      <c r="Z361" s="14">
        <f t="shared" si="63"/>
        <v>27.0306</v>
      </c>
      <c r="AA361" s="14">
        <f t="shared" si="64"/>
        <v>765.86699999999996</v>
      </c>
      <c r="AB361" s="14">
        <f t="shared" si="65"/>
        <v>465.86699999999996</v>
      </c>
    </row>
    <row r="362" spans="1:28" x14ac:dyDescent="0.25">
      <c r="A362" t="s">
        <v>757</v>
      </c>
      <c r="B362" t="s">
        <v>758</v>
      </c>
      <c r="C362" t="s">
        <v>178</v>
      </c>
      <c r="D362" t="s">
        <v>59</v>
      </c>
      <c r="E362" s="1">
        <v>45329</v>
      </c>
      <c r="F362" s="8">
        <f t="shared" si="55"/>
        <v>2024</v>
      </c>
      <c r="G362" s="1" t="str">
        <f t="shared" si="56"/>
        <v>February</v>
      </c>
      <c r="H362" s="1" t="str">
        <f t="shared" si="57"/>
        <v>Wednesday</v>
      </c>
      <c r="I362" s="2">
        <v>0.7407407407407407</v>
      </c>
      <c r="J362" s="8">
        <f t="shared" si="58"/>
        <v>17</v>
      </c>
      <c r="K362" s="8">
        <f t="shared" si="59"/>
        <v>46</v>
      </c>
      <c r="L362" t="s">
        <v>15</v>
      </c>
      <c r="M362" t="s">
        <v>16</v>
      </c>
      <c r="N362">
        <v>6</v>
      </c>
      <c r="O362" s="14">
        <v>920.19</v>
      </c>
      <c r="P362">
        <f>VLOOKUP(L362,'Product-cost'!A:B,2,FALSE)</f>
        <v>600</v>
      </c>
      <c r="Q362" t="s">
        <v>25</v>
      </c>
      <c r="R362" t="s">
        <v>222</v>
      </c>
      <c r="S362" t="s">
        <v>230</v>
      </c>
      <c r="T362" t="s">
        <v>893</v>
      </c>
      <c r="U362" s="14">
        <f t="shared" si="60"/>
        <v>5521.14</v>
      </c>
      <c r="V362" s="14">
        <f t="shared" si="61"/>
        <v>3600</v>
      </c>
      <c r="W362" s="10">
        <f>VLOOKUP(Q362,Taxrate!A:B,2,FALSE)</f>
        <v>0.1</v>
      </c>
      <c r="X362" s="14">
        <f t="shared" si="62"/>
        <v>552.11400000000003</v>
      </c>
      <c r="Y362" s="10">
        <f>VLOOKUP(L362,'Discount Rate'!A:B,2,FALSE)</f>
        <v>0.05</v>
      </c>
      <c r="Z362" s="14">
        <f t="shared" si="63"/>
        <v>276.05700000000002</v>
      </c>
      <c r="AA362" s="14">
        <f t="shared" si="64"/>
        <v>4692.9690000000001</v>
      </c>
      <c r="AB362" s="14">
        <f t="shared" si="65"/>
        <v>1092.9690000000001</v>
      </c>
    </row>
    <row r="363" spans="1:28" x14ac:dyDescent="0.25">
      <c r="A363" t="s">
        <v>759</v>
      </c>
      <c r="B363" t="s">
        <v>191</v>
      </c>
      <c r="C363" t="s">
        <v>58</v>
      </c>
      <c r="D363" t="s">
        <v>59</v>
      </c>
      <c r="E363" s="1">
        <v>46214</v>
      </c>
      <c r="F363" s="8">
        <f t="shared" si="55"/>
        <v>2026</v>
      </c>
      <c r="G363" s="1" t="str">
        <f t="shared" si="56"/>
        <v>July</v>
      </c>
      <c r="H363" s="1" t="str">
        <f t="shared" si="57"/>
        <v>Saturday</v>
      </c>
      <c r="I363" s="2">
        <v>0.59383101851851849</v>
      </c>
      <c r="J363" s="8">
        <f t="shared" si="58"/>
        <v>14</v>
      </c>
      <c r="K363" s="8">
        <f t="shared" si="59"/>
        <v>15</v>
      </c>
      <c r="L363" t="s">
        <v>23</v>
      </c>
      <c r="M363" t="s">
        <v>24</v>
      </c>
      <c r="N363">
        <v>4</v>
      </c>
      <c r="O363" s="14">
        <v>573.16</v>
      </c>
      <c r="P363">
        <f>VLOOKUP(L363,'Product-cost'!A:B,2,FALSE)</f>
        <v>300</v>
      </c>
      <c r="Q363" t="s">
        <v>39</v>
      </c>
      <c r="R363" t="s">
        <v>75</v>
      </c>
      <c r="S363" t="s">
        <v>152</v>
      </c>
      <c r="T363" t="s">
        <v>893</v>
      </c>
      <c r="U363" s="14">
        <f t="shared" si="60"/>
        <v>2292.64</v>
      </c>
      <c r="V363" s="14">
        <f t="shared" si="61"/>
        <v>1200</v>
      </c>
      <c r="W363" s="10">
        <f>VLOOKUP(Q363,Taxrate!A:B,2,FALSE)</f>
        <v>0.15</v>
      </c>
      <c r="X363" s="14">
        <f t="shared" si="62"/>
        <v>343.89599999999996</v>
      </c>
      <c r="Y363" s="10">
        <f>VLOOKUP(L363,'Discount Rate'!A:B,2,FALSE)</f>
        <v>0.1</v>
      </c>
      <c r="Z363" s="14">
        <f t="shared" si="63"/>
        <v>229.26400000000001</v>
      </c>
      <c r="AA363" s="14">
        <f t="shared" si="64"/>
        <v>1719.48</v>
      </c>
      <c r="AB363" s="14">
        <f t="shared" si="65"/>
        <v>519.48</v>
      </c>
    </row>
    <row r="364" spans="1:28" x14ac:dyDescent="0.25">
      <c r="A364" t="s">
        <v>760</v>
      </c>
      <c r="B364" t="s">
        <v>605</v>
      </c>
      <c r="C364" t="s">
        <v>187</v>
      </c>
      <c r="D364" t="s">
        <v>156</v>
      </c>
      <c r="E364" s="1">
        <v>46364</v>
      </c>
      <c r="F364" s="8">
        <f t="shared" si="55"/>
        <v>2026</v>
      </c>
      <c r="G364" s="1" t="str">
        <f t="shared" si="56"/>
        <v>December</v>
      </c>
      <c r="H364" s="1" t="str">
        <f t="shared" si="57"/>
        <v>Tuesday</v>
      </c>
      <c r="I364" s="2">
        <v>0.81377314814814816</v>
      </c>
      <c r="J364" s="8">
        <f t="shared" si="58"/>
        <v>19</v>
      </c>
      <c r="K364" s="8">
        <f t="shared" si="59"/>
        <v>31</v>
      </c>
      <c r="L364" t="s">
        <v>15</v>
      </c>
      <c r="M364" t="s">
        <v>16</v>
      </c>
      <c r="N364">
        <v>7</v>
      </c>
      <c r="O364" s="14">
        <v>956.95</v>
      </c>
      <c r="P364">
        <f>VLOOKUP(L364,'Product-cost'!A:B,2,FALSE)</f>
        <v>600</v>
      </c>
      <c r="Q364" t="s">
        <v>25</v>
      </c>
      <c r="R364" t="s">
        <v>252</v>
      </c>
      <c r="S364" t="s">
        <v>27</v>
      </c>
      <c r="T364" t="s">
        <v>893</v>
      </c>
      <c r="U364" s="14">
        <f t="shared" si="60"/>
        <v>6698.6500000000005</v>
      </c>
      <c r="V364" s="14">
        <f t="shared" si="61"/>
        <v>4200</v>
      </c>
      <c r="W364" s="10">
        <f>VLOOKUP(Q364,Taxrate!A:B,2,FALSE)</f>
        <v>0.1</v>
      </c>
      <c r="X364" s="14">
        <f t="shared" si="62"/>
        <v>669.86500000000012</v>
      </c>
      <c r="Y364" s="10">
        <f>VLOOKUP(L364,'Discount Rate'!A:B,2,FALSE)</f>
        <v>0.05</v>
      </c>
      <c r="Z364" s="14">
        <f t="shared" si="63"/>
        <v>334.93250000000006</v>
      </c>
      <c r="AA364" s="14">
        <f t="shared" si="64"/>
        <v>5693.8525000000009</v>
      </c>
      <c r="AB364" s="14">
        <f t="shared" si="65"/>
        <v>1493.8525000000009</v>
      </c>
    </row>
    <row r="365" spans="1:28" x14ac:dyDescent="0.25">
      <c r="A365" t="s">
        <v>761</v>
      </c>
      <c r="B365" t="s">
        <v>762</v>
      </c>
      <c r="C365" t="s">
        <v>129</v>
      </c>
      <c r="D365" t="s">
        <v>22</v>
      </c>
      <c r="E365" s="1">
        <v>45156</v>
      </c>
      <c r="F365" s="8">
        <f t="shared" si="55"/>
        <v>2023</v>
      </c>
      <c r="G365" s="1" t="str">
        <f t="shared" si="56"/>
        <v>August</v>
      </c>
      <c r="H365" s="1" t="str">
        <f t="shared" si="57"/>
        <v>Friday</v>
      </c>
      <c r="I365" s="2">
        <v>0.69644675925925925</v>
      </c>
      <c r="J365" s="8">
        <f t="shared" si="58"/>
        <v>16</v>
      </c>
      <c r="K365" s="8">
        <f t="shared" si="59"/>
        <v>42</v>
      </c>
      <c r="L365" t="s">
        <v>46</v>
      </c>
      <c r="M365" t="s">
        <v>47</v>
      </c>
      <c r="N365">
        <v>15</v>
      </c>
      <c r="O365" s="14">
        <v>230.61</v>
      </c>
      <c r="P365">
        <f>VLOOKUP(L365,'Product-cost'!A:B,2,FALSE)</f>
        <v>150</v>
      </c>
      <c r="Q365" t="s">
        <v>51</v>
      </c>
      <c r="R365" t="s">
        <v>52</v>
      </c>
      <c r="S365" t="s">
        <v>123</v>
      </c>
      <c r="T365" t="s">
        <v>893</v>
      </c>
      <c r="U365" s="14">
        <f t="shared" si="60"/>
        <v>3459.15</v>
      </c>
      <c r="V365" s="14">
        <f t="shared" si="61"/>
        <v>2250</v>
      </c>
      <c r="W365" s="10">
        <f>VLOOKUP(Q365,Taxrate!A:B,2,FALSE)</f>
        <v>7.0000000000000007E-2</v>
      </c>
      <c r="X365" s="14">
        <f t="shared" si="62"/>
        <v>242.14050000000003</v>
      </c>
      <c r="Y365" s="10">
        <f>VLOOKUP(L365,'Discount Rate'!A:B,2,FALSE)</f>
        <v>7.0000000000000007E-2</v>
      </c>
      <c r="Z365" s="14">
        <f t="shared" si="63"/>
        <v>242.14050000000003</v>
      </c>
      <c r="AA365" s="14">
        <f t="shared" si="64"/>
        <v>2974.8690000000001</v>
      </c>
      <c r="AB365" s="14">
        <f t="shared" si="65"/>
        <v>724.86900000000014</v>
      </c>
    </row>
    <row r="366" spans="1:28" x14ac:dyDescent="0.25">
      <c r="A366" t="s">
        <v>763</v>
      </c>
      <c r="B366" t="s">
        <v>764</v>
      </c>
      <c r="C366" t="s">
        <v>21</v>
      </c>
      <c r="D366" t="s">
        <v>22</v>
      </c>
      <c r="E366" s="1">
        <v>45373</v>
      </c>
      <c r="F366" s="8">
        <f t="shared" si="55"/>
        <v>2024</v>
      </c>
      <c r="G366" s="1" t="str">
        <f t="shared" si="56"/>
        <v>March</v>
      </c>
      <c r="H366" s="1" t="str">
        <f t="shared" si="57"/>
        <v>Friday</v>
      </c>
      <c r="I366" s="2">
        <v>0.38278935185185187</v>
      </c>
      <c r="J366" s="8">
        <f t="shared" si="58"/>
        <v>9</v>
      </c>
      <c r="K366" s="8">
        <f t="shared" si="59"/>
        <v>11</v>
      </c>
      <c r="L366" t="s">
        <v>30</v>
      </c>
      <c r="M366" t="s">
        <v>31</v>
      </c>
      <c r="N366">
        <v>5</v>
      </c>
      <c r="O366" s="14">
        <v>331.19</v>
      </c>
      <c r="P366">
        <f>VLOOKUP(L366,'Product-cost'!A:B,2,FALSE)</f>
        <v>200</v>
      </c>
      <c r="Q366" t="s">
        <v>55</v>
      </c>
      <c r="R366" t="s">
        <v>26</v>
      </c>
      <c r="S366" t="s">
        <v>213</v>
      </c>
      <c r="T366" t="s">
        <v>894</v>
      </c>
      <c r="U366" s="14">
        <f t="shared" si="60"/>
        <v>1655.95</v>
      </c>
      <c r="V366" s="14">
        <f t="shared" si="61"/>
        <v>1000</v>
      </c>
      <c r="W366" s="10">
        <f>VLOOKUP(Q366,Taxrate!A:B,2,FALSE)</f>
        <v>0.12</v>
      </c>
      <c r="X366" s="14">
        <f t="shared" si="62"/>
        <v>198.714</v>
      </c>
      <c r="Y366" s="10">
        <f>VLOOKUP(L366,'Discount Rate'!A:B,2,FALSE)</f>
        <v>0.08</v>
      </c>
      <c r="Z366" s="14">
        <f t="shared" si="63"/>
        <v>132.476</v>
      </c>
      <c r="AA366" s="14">
        <f t="shared" si="64"/>
        <v>1324.7600000000002</v>
      </c>
      <c r="AB366" s="14">
        <f t="shared" si="65"/>
        <v>324.76000000000022</v>
      </c>
    </row>
    <row r="367" spans="1:28" x14ac:dyDescent="0.25">
      <c r="A367" t="s">
        <v>765</v>
      </c>
      <c r="B367" t="s">
        <v>490</v>
      </c>
      <c r="C367" t="s">
        <v>129</v>
      </c>
      <c r="D367" t="s">
        <v>22</v>
      </c>
      <c r="E367" s="1">
        <v>45900</v>
      </c>
      <c r="F367" s="8">
        <f t="shared" si="55"/>
        <v>2025</v>
      </c>
      <c r="G367" s="1" t="str">
        <f t="shared" si="56"/>
        <v>August</v>
      </c>
      <c r="H367" s="1" t="str">
        <f t="shared" si="57"/>
        <v>Sunday</v>
      </c>
      <c r="I367" s="2">
        <v>0.88820601851851855</v>
      </c>
      <c r="J367" s="8">
        <f t="shared" si="58"/>
        <v>21</v>
      </c>
      <c r="K367" s="8">
        <f t="shared" si="59"/>
        <v>19</v>
      </c>
      <c r="L367" t="s">
        <v>46</v>
      </c>
      <c r="M367" t="s">
        <v>47</v>
      </c>
      <c r="N367">
        <v>7</v>
      </c>
      <c r="O367" s="14">
        <v>263.88</v>
      </c>
      <c r="P367">
        <f>VLOOKUP(L367,'Product-cost'!A:B,2,FALSE)</f>
        <v>150</v>
      </c>
      <c r="Q367" t="s">
        <v>51</v>
      </c>
      <c r="R367" t="s">
        <v>143</v>
      </c>
      <c r="S367" t="s">
        <v>132</v>
      </c>
      <c r="T367" t="s">
        <v>893</v>
      </c>
      <c r="U367" s="14">
        <f t="shared" si="60"/>
        <v>1847.1599999999999</v>
      </c>
      <c r="V367" s="14">
        <f t="shared" si="61"/>
        <v>1050</v>
      </c>
      <c r="W367" s="10">
        <f>VLOOKUP(Q367,Taxrate!A:B,2,FALSE)</f>
        <v>7.0000000000000007E-2</v>
      </c>
      <c r="X367" s="14">
        <f t="shared" si="62"/>
        <v>129.30119999999999</v>
      </c>
      <c r="Y367" s="10">
        <f>VLOOKUP(L367,'Discount Rate'!A:B,2,FALSE)</f>
        <v>7.0000000000000007E-2</v>
      </c>
      <c r="Z367" s="14">
        <f t="shared" si="63"/>
        <v>129.30119999999999</v>
      </c>
      <c r="AA367" s="14">
        <f t="shared" si="64"/>
        <v>1588.5576000000001</v>
      </c>
      <c r="AB367" s="14">
        <f t="shared" si="65"/>
        <v>538.55760000000009</v>
      </c>
    </row>
    <row r="368" spans="1:28" x14ac:dyDescent="0.25">
      <c r="A368" t="s">
        <v>766</v>
      </c>
      <c r="B368" t="s">
        <v>767</v>
      </c>
      <c r="C368" t="s">
        <v>13</v>
      </c>
      <c r="D368" t="s">
        <v>14</v>
      </c>
      <c r="E368" s="1">
        <v>45833</v>
      </c>
      <c r="F368" s="8">
        <f t="shared" si="55"/>
        <v>2025</v>
      </c>
      <c r="G368" s="1" t="str">
        <f t="shared" si="56"/>
        <v>June</v>
      </c>
      <c r="H368" s="1" t="str">
        <f t="shared" si="57"/>
        <v>Wednesday</v>
      </c>
      <c r="I368" s="2">
        <v>0.37390046296296298</v>
      </c>
      <c r="J368" s="8">
        <f t="shared" si="58"/>
        <v>8</v>
      </c>
      <c r="K368" s="8">
        <f t="shared" si="59"/>
        <v>58</v>
      </c>
      <c r="L368" t="s">
        <v>30</v>
      </c>
      <c r="M368" t="s">
        <v>31</v>
      </c>
      <c r="N368">
        <v>15</v>
      </c>
      <c r="O368" s="14">
        <v>367.09</v>
      </c>
      <c r="P368">
        <f>VLOOKUP(L368,'Product-cost'!A:B,2,FALSE)</f>
        <v>200</v>
      </c>
      <c r="Q368" t="s">
        <v>32</v>
      </c>
      <c r="R368" t="s">
        <v>17</v>
      </c>
      <c r="S368" t="s">
        <v>123</v>
      </c>
      <c r="T368" t="s">
        <v>893</v>
      </c>
      <c r="U368" s="14">
        <f t="shared" si="60"/>
        <v>5506.3499999999995</v>
      </c>
      <c r="V368" s="14">
        <f t="shared" si="61"/>
        <v>3000</v>
      </c>
      <c r="W368" s="10">
        <f>VLOOKUP(Q368,Taxrate!A:B,2,FALSE)</f>
        <v>0.2</v>
      </c>
      <c r="X368" s="14">
        <f t="shared" si="62"/>
        <v>1101.27</v>
      </c>
      <c r="Y368" s="10">
        <f>VLOOKUP(L368,'Discount Rate'!A:B,2,FALSE)</f>
        <v>0.08</v>
      </c>
      <c r="Z368" s="14">
        <f t="shared" si="63"/>
        <v>440.50799999999998</v>
      </c>
      <c r="AA368" s="14">
        <f t="shared" si="64"/>
        <v>3964.5720000000001</v>
      </c>
      <c r="AB368" s="14">
        <f t="shared" si="65"/>
        <v>964.57200000000012</v>
      </c>
    </row>
    <row r="369" spans="1:28" x14ac:dyDescent="0.25">
      <c r="A369" t="s">
        <v>768</v>
      </c>
      <c r="B369" t="s">
        <v>769</v>
      </c>
      <c r="C369" t="s">
        <v>187</v>
      </c>
      <c r="D369" t="s">
        <v>156</v>
      </c>
      <c r="E369" s="1">
        <v>45726</v>
      </c>
      <c r="F369" s="8">
        <f t="shared" si="55"/>
        <v>2025</v>
      </c>
      <c r="G369" s="1" t="str">
        <f t="shared" si="56"/>
        <v>March</v>
      </c>
      <c r="H369" s="1" t="str">
        <f t="shared" si="57"/>
        <v>Monday</v>
      </c>
      <c r="I369" s="2">
        <v>0.81040509259259264</v>
      </c>
      <c r="J369" s="8">
        <f t="shared" si="58"/>
        <v>19</v>
      </c>
      <c r="K369" s="8">
        <f t="shared" si="59"/>
        <v>26</v>
      </c>
      <c r="L369" t="s">
        <v>30</v>
      </c>
      <c r="M369" t="s">
        <v>31</v>
      </c>
      <c r="N369">
        <v>15</v>
      </c>
      <c r="O369" s="14">
        <v>340.08</v>
      </c>
      <c r="P369">
        <f>VLOOKUP(L369,'Product-cost'!A:B,2,FALSE)</f>
        <v>200</v>
      </c>
      <c r="Q369" t="s">
        <v>32</v>
      </c>
      <c r="R369" t="s">
        <v>252</v>
      </c>
      <c r="S369" t="s">
        <v>123</v>
      </c>
      <c r="T369" t="s">
        <v>893</v>
      </c>
      <c r="U369" s="14">
        <f t="shared" si="60"/>
        <v>5101.2</v>
      </c>
      <c r="V369" s="14">
        <f t="shared" si="61"/>
        <v>3000</v>
      </c>
      <c r="W369" s="10">
        <f>VLOOKUP(Q369,Taxrate!A:B,2,FALSE)</f>
        <v>0.2</v>
      </c>
      <c r="X369" s="14">
        <f t="shared" si="62"/>
        <v>1020.24</v>
      </c>
      <c r="Y369" s="10">
        <f>VLOOKUP(L369,'Discount Rate'!A:B,2,FALSE)</f>
        <v>0.08</v>
      </c>
      <c r="Z369" s="14">
        <f t="shared" si="63"/>
        <v>408.096</v>
      </c>
      <c r="AA369" s="14">
        <f t="shared" si="64"/>
        <v>3672.864</v>
      </c>
      <c r="AB369" s="14">
        <f t="shared" si="65"/>
        <v>672.86400000000003</v>
      </c>
    </row>
    <row r="370" spans="1:28" x14ac:dyDescent="0.25">
      <c r="A370" t="s">
        <v>770</v>
      </c>
      <c r="B370" t="s">
        <v>272</v>
      </c>
      <c r="C370" t="s">
        <v>58</v>
      </c>
      <c r="D370" t="s">
        <v>59</v>
      </c>
      <c r="E370" s="1">
        <v>45835</v>
      </c>
      <c r="F370" s="8">
        <f t="shared" si="55"/>
        <v>2025</v>
      </c>
      <c r="G370" s="1" t="str">
        <f t="shared" si="56"/>
        <v>June</v>
      </c>
      <c r="H370" s="1" t="str">
        <f t="shared" si="57"/>
        <v>Friday</v>
      </c>
      <c r="I370" s="2">
        <v>0.35083333333333333</v>
      </c>
      <c r="J370" s="8">
        <f t="shared" si="58"/>
        <v>8</v>
      </c>
      <c r="K370" s="8">
        <f t="shared" si="59"/>
        <v>25</v>
      </c>
      <c r="L370" t="s">
        <v>30</v>
      </c>
      <c r="M370" t="s">
        <v>31</v>
      </c>
      <c r="N370">
        <v>2</v>
      </c>
      <c r="O370" s="14">
        <v>500</v>
      </c>
      <c r="P370">
        <f>VLOOKUP(L370,'Product-cost'!A:B,2,FALSE)</f>
        <v>200</v>
      </c>
      <c r="Q370" t="s">
        <v>32</v>
      </c>
      <c r="R370" t="s">
        <v>60</v>
      </c>
      <c r="S370" t="s">
        <v>102</v>
      </c>
      <c r="T370" t="s">
        <v>895</v>
      </c>
      <c r="U370" s="14">
        <f t="shared" si="60"/>
        <v>1000</v>
      </c>
      <c r="V370" s="14">
        <f t="shared" si="61"/>
        <v>400</v>
      </c>
      <c r="W370" s="10">
        <f>VLOOKUP(Q370,Taxrate!A:B,2,FALSE)</f>
        <v>0.2</v>
      </c>
      <c r="X370" s="14">
        <f t="shared" si="62"/>
        <v>200</v>
      </c>
      <c r="Y370" s="10">
        <f>VLOOKUP(L370,'Discount Rate'!A:B,2,FALSE)</f>
        <v>0.08</v>
      </c>
      <c r="Z370" s="14">
        <f t="shared" si="63"/>
        <v>80</v>
      </c>
      <c r="AA370" s="14">
        <f t="shared" si="64"/>
        <v>720</v>
      </c>
      <c r="AB370" s="14">
        <f t="shared" si="65"/>
        <v>320</v>
      </c>
    </row>
    <row r="371" spans="1:28" x14ac:dyDescent="0.25">
      <c r="A371" t="s">
        <v>771</v>
      </c>
      <c r="B371" t="s">
        <v>772</v>
      </c>
      <c r="C371" t="s">
        <v>139</v>
      </c>
      <c r="D371" t="s">
        <v>22</v>
      </c>
      <c r="E371" s="1">
        <v>44936</v>
      </c>
      <c r="F371" s="8">
        <f t="shared" si="55"/>
        <v>2023</v>
      </c>
      <c r="G371" s="1" t="str">
        <f t="shared" si="56"/>
        <v>January</v>
      </c>
      <c r="H371" s="1" t="str">
        <f t="shared" si="57"/>
        <v>Tuesday</v>
      </c>
      <c r="I371" s="2">
        <v>0.44695601851851852</v>
      </c>
      <c r="J371" s="8">
        <f t="shared" si="58"/>
        <v>10</v>
      </c>
      <c r="K371" s="8">
        <f t="shared" si="59"/>
        <v>43</v>
      </c>
      <c r="L371" t="s">
        <v>30</v>
      </c>
      <c r="M371" t="s">
        <v>31</v>
      </c>
      <c r="N371">
        <v>4</v>
      </c>
      <c r="O371" s="14">
        <v>500</v>
      </c>
      <c r="P371">
        <f>VLOOKUP(L371,'Product-cost'!A:B,2,FALSE)</f>
        <v>200</v>
      </c>
      <c r="Q371" t="s">
        <v>25</v>
      </c>
      <c r="R371" t="s">
        <v>26</v>
      </c>
      <c r="T371" t="s">
        <v>895</v>
      </c>
      <c r="U371" s="14">
        <f t="shared" si="60"/>
        <v>2000</v>
      </c>
      <c r="V371" s="14">
        <f t="shared" si="61"/>
        <v>800</v>
      </c>
      <c r="W371" s="10">
        <f>VLOOKUP(Q371,Taxrate!A:B,2,FALSE)</f>
        <v>0.1</v>
      </c>
      <c r="X371" s="14">
        <f t="shared" si="62"/>
        <v>200</v>
      </c>
      <c r="Y371" s="10">
        <f>VLOOKUP(L371,'Discount Rate'!A:B,2,FALSE)</f>
        <v>0.08</v>
      </c>
      <c r="Z371" s="14">
        <f t="shared" si="63"/>
        <v>160</v>
      </c>
      <c r="AA371" s="14">
        <f t="shared" si="64"/>
        <v>1640</v>
      </c>
      <c r="AB371" s="14">
        <f t="shared" si="65"/>
        <v>840</v>
      </c>
    </row>
    <row r="372" spans="1:28" x14ac:dyDescent="0.25">
      <c r="A372" t="s">
        <v>773</v>
      </c>
      <c r="B372" t="s">
        <v>699</v>
      </c>
      <c r="C372" t="s">
        <v>21</v>
      </c>
      <c r="D372" t="s">
        <v>22</v>
      </c>
      <c r="E372" s="1">
        <v>45785</v>
      </c>
      <c r="F372" s="8">
        <f t="shared" si="55"/>
        <v>2025</v>
      </c>
      <c r="G372" s="1" t="str">
        <f t="shared" si="56"/>
        <v>May</v>
      </c>
      <c r="H372" s="1" t="str">
        <f t="shared" si="57"/>
        <v>Thursday</v>
      </c>
      <c r="I372" s="2">
        <v>0.53118055555555554</v>
      </c>
      <c r="J372" s="8">
        <f t="shared" si="58"/>
        <v>12</v>
      </c>
      <c r="K372" s="8">
        <f t="shared" si="59"/>
        <v>44</v>
      </c>
      <c r="L372" t="s">
        <v>23</v>
      </c>
      <c r="M372" t="s">
        <v>24</v>
      </c>
      <c r="N372">
        <v>7</v>
      </c>
      <c r="O372" s="14">
        <v>660.12</v>
      </c>
      <c r="P372">
        <f>VLOOKUP(L372,'Product-cost'!A:B,2,FALSE)</f>
        <v>300</v>
      </c>
      <c r="Q372" t="s">
        <v>32</v>
      </c>
      <c r="R372" t="s">
        <v>52</v>
      </c>
      <c r="T372" t="s">
        <v>895</v>
      </c>
      <c r="U372" s="14">
        <f t="shared" si="60"/>
        <v>4620.84</v>
      </c>
      <c r="V372" s="14">
        <f t="shared" si="61"/>
        <v>2100</v>
      </c>
      <c r="W372" s="10">
        <f>VLOOKUP(Q372,Taxrate!A:B,2,FALSE)</f>
        <v>0.2</v>
      </c>
      <c r="X372" s="14">
        <f t="shared" si="62"/>
        <v>924.16800000000012</v>
      </c>
      <c r="Y372" s="10">
        <f>VLOOKUP(L372,'Discount Rate'!A:B,2,FALSE)</f>
        <v>0.1</v>
      </c>
      <c r="Z372" s="14">
        <f t="shared" si="63"/>
        <v>462.08400000000006</v>
      </c>
      <c r="AA372" s="14">
        <f t="shared" si="64"/>
        <v>3234.5879999999997</v>
      </c>
      <c r="AB372" s="14">
        <f t="shared" si="65"/>
        <v>1134.5879999999997</v>
      </c>
    </row>
    <row r="373" spans="1:28" x14ac:dyDescent="0.25">
      <c r="A373" t="s">
        <v>774</v>
      </c>
      <c r="B373" t="s">
        <v>621</v>
      </c>
      <c r="C373" t="s">
        <v>72</v>
      </c>
      <c r="D373" t="s">
        <v>59</v>
      </c>
      <c r="E373" s="1">
        <v>45386</v>
      </c>
      <c r="F373" s="8">
        <f t="shared" si="55"/>
        <v>2024</v>
      </c>
      <c r="G373" s="1" t="str">
        <f t="shared" si="56"/>
        <v>April</v>
      </c>
      <c r="H373" s="1" t="str">
        <f t="shared" si="57"/>
        <v>Thursday</v>
      </c>
      <c r="I373" s="2">
        <v>0.49712962962962964</v>
      </c>
      <c r="J373" s="8">
        <f t="shared" si="58"/>
        <v>11</v>
      </c>
      <c r="K373" s="8">
        <f t="shared" si="59"/>
        <v>55</v>
      </c>
      <c r="L373" t="s">
        <v>30</v>
      </c>
      <c r="M373" t="s">
        <v>31</v>
      </c>
      <c r="N373">
        <v>8</v>
      </c>
      <c r="O373" s="14">
        <v>406.26</v>
      </c>
      <c r="P373">
        <f>VLOOKUP(L373,'Product-cost'!A:B,2,FALSE)</f>
        <v>200</v>
      </c>
      <c r="Q373" t="s">
        <v>32</v>
      </c>
      <c r="R373" t="s">
        <v>75</v>
      </c>
      <c r="S373" t="s">
        <v>69</v>
      </c>
      <c r="T373" t="s">
        <v>894</v>
      </c>
      <c r="U373" s="14">
        <f t="shared" si="60"/>
        <v>3250.08</v>
      </c>
      <c r="V373" s="14">
        <f t="shared" si="61"/>
        <v>1600</v>
      </c>
      <c r="W373" s="10">
        <f>VLOOKUP(Q373,Taxrate!A:B,2,FALSE)</f>
        <v>0.2</v>
      </c>
      <c r="X373" s="14">
        <f t="shared" si="62"/>
        <v>650.01600000000008</v>
      </c>
      <c r="Y373" s="10">
        <f>VLOOKUP(L373,'Discount Rate'!A:B,2,FALSE)</f>
        <v>0.08</v>
      </c>
      <c r="Z373" s="14">
        <f t="shared" si="63"/>
        <v>260.00639999999999</v>
      </c>
      <c r="AA373" s="14">
        <f t="shared" si="64"/>
        <v>2340.0576000000001</v>
      </c>
      <c r="AB373" s="14">
        <f t="shared" si="65"/>
        <v>740.05760000000009</v>
      </c>
    </row>
    <row r="374" spans="1:28" x14ac:dyDescent="0.25">
      <c r="A374" t="s">
        <v>775</v>
      </c>
      <c r="B374" t="s">
        <v>276</v>
      </c>
      <c r="C374" t="s">
        <v>187</v>
      </c>
      <c r="D374" t="s">
        <v>156</v>
      </c>
      <c r="E374" s="1">
        <v>46192</v>
      </c>
      <c r="F374" s="8">
        <f t="shared" si="55"/>
        <v>2026</v>
      </c>
      <c r="G374" s="1" t="str">
        <f t="shared" si="56"/>
        <v>June</v>
      </c>
      <c r="H374" s="1" t="str">
        <f t="shared" si="57"/>
        <v>Friday</v>
      </c>
      <c r="I374" s="2">
        <v>0.47473379629629631</v>
      </c>
      <c r="J374" s="8">
        <f t="shared" si="58"/>
        <v>11</v>
      </c>
      <c r="K374" s="8">
        <f t="shared" si="59"/>
        <v>23</v>
      </c>
      <c r="L374" t="s">
        <v>73</v>
      </c>
      <c r="M374" t="s">
        <v>74</v>
      </c>
      <c r="N374">
        <v>7</v>
      </c>
      <c r="O374" s="14">
        <v>185.36</v>
      </c>
      <c r="P374">
        <f>VLOOKUP(L374,'Product-cost'!A:B,2,FALSE)</f>
        <v>50</v>
      </c>
      <c r="Q374" t="s">
        <v>39</v>
      </c>
      <c r="R374" t="s">
        <v>252</v>
      </c>
      <c r="T374" t="s">
        <v>895</v>
      </c>
      <c r="U374" s="14">
        <f t="shared" si="60"/>
        <v>1297.52</v>
      </c>
      <c r="V374" s="14">
        <f t="shared" si="61"/>
        <v>350</v>
      </c>
      <c r="W374" s="10">
        <f>VLOOKUP(Q374,Taxrate!A:B,2,FALSE)</f>
        <v>0.15</v>
      </c>
      <c r="X374" s="14">
        <f t="shared" si="62"/>
        <v>194.62799999999999</v>
      </c>
      <c r="Y374" s="10">
        <f>VLOOKUP(L374,'Discount Rate'!A:B,2,FALSE)</f>
        <v>0.03</v>
      </c>
      <c r="Z374" s="14">
        <f t="shared" si="63"/>
        <v>38.925599999999996</v>
      </c>
      <c r="AA374" s="14">
        <f t="shared" si="64"/>
        <v>1063.9664</v>
      </c>
      <c r="AB374" s="14">
        <f t="shared" si="65"/>
        <v>713.96640000000002</v>
      </c>
    </row>
    <row r="375" spans="1:28" x14ac:dyDescent="0.25">
      <c r="A375" t="s">
        <v>776</v>
      </c>
      <c r="B375" t="s">
        <v>777</v>
      </c>
      <c r="C375" t="s">
        <v>72</v>
      </c>
      <c r="D375" t="s">
        <v>59</v>
      </c>
      <c r="E375" s="1">
        <v>46168</v>
      </c>
      <c r="F375" s="8">
        <f t="shared" si="55"/>
        <v>2026</v>
      </c>
      <c r="G375" s="1" t="str">
        <f t="shared" si="56"/>
        <v>May</v>
      </c>
      <c r="H375" s="1" t="str">
        <f t="shared" si="57"/>
        <v>Tuesday</v>
      </c>
      <c r="I375" s="2">
        <v>0.3448148148148148</v>
      </c>
      <c r="J375" s="8">
        <f t="shared" si="58"/>
        <v>8</v>
      </c>
      <c r="K375" s="8">
        <f t="shared" si="59"/>
        <v>16</v>
      </c>
      <c r="L375" t="s">
        <v>46</v>
      </c>
      <c r="M375" t="s">
        <v>47</v>
      </c>
      <c r="N375">
        <v>7</v>
      </c>
      <c r="O375" s="14">
        <v>190.55</v>
      </c>
      <c r="P375">
        <f>VLOOKUP(L375,'Product-cost'!A:B,2,FALSE)</f>
        <v>150</v>
      </c>
      <c r="Q375" t="s">
        <v>55</v>
      </c>
      <c r="R375" t="s">
        <v>222</v>
      </c>
      <c r="S375" t="s">
        <v>96</v>
      </c>
      <c r="T375" t="s">
        <v>893</v>
      </c>
      <c r="U375" s="14">
        <f t="shared" si="60"/>
        <v>1333.8500000000001</v>
      </c>
      <c r="V375" s="14">
        <f t="shared" si="61"/>
        <v>1050</v>
      </c>
      <c r="W375" s="10">
        <f>VLOOKUP(Q375,Taxrate!A:B,2,FALSE)</f>
        <v>0.12</v>
      </c>
      <c r="X375" s="14">
        <f t="shared" si="62"/>
        <v>160.06200000000001</v>
      </c>
      <c r="Y375" s="10">
        <f>VLOOKUP(L375,'Discount Rate'!A:B,2,FALSE)</f>
        <v>7.0000000000000007E-2</v>
      </c>
      <c r="Z375" s="14">
        <f t="shared" si="63"/>
        <v>93.369500000000016</v>
      </c>
      <c r="AA375" s="14">
        <f t="shared" si="64"/>
        <v>1080.4185</v>
      </c>
      <c r="AB375" s="14">
        <f t="shared" si="65"/>
        <v>30.418499999999995</v>
      </c>
    </row>
    <row r="376" spans="1:28" x14ac:dyDescent="0.25">
      <c r="A376" t="s">
        <v>778</v>
      </c>
      <c r="B376" t="s">
        <v>779</v>
      </c>
      <c r="C376" t="s">
        <v>126</v>
      </c>
      <c r="D376" t="s">
        <v>22</v>
      </c>
      <c r="E376" s="1">
        <v>45217</v>
      </c>
      <c r="F376" s="8">
        <f t="shared" si="55"/>
        <v>2023</v>
      </c>
      <c r="G376" s="1" t="str">
        <f t="shared" si="56"/>
        <v>October</v>
      </c>
      <c r="H376" s="1" t="str">
        <f t="shared" si="57"/>
        <v>Wednesday</v>
      </c>
      <c r="I376" s="2">
        <v>0.38891203703703703</v>
      </c>
      <c r="J376" s="8">
        <f t="shared" si="58"/>
        <v>9</v>
      </c>
      <c r="K376" s="8">
        <f t="shared" si="59"/>
        <v>20</v>
      </c>
      <c r="L376" t="s">
        <v>23</v>
      </c>
      <c r="M376" t="s">
        <v>24</v>
      </c>
      <c r="N376">
        <v>14</v>
      </c>
      <c r="O376" s="14">
        <v>588.17999999999995</v>
      </c>
      <c r="P376">
        <f>VLOOKUP(L376,'Product-cost'!A:B,2,FALSE)</f>
        <v>300</v>
      </c>
      <c r="Q376" t="s">
        <v>39</v>
      </c>
      <c r="R376" t="s">
        <v>52</v>
      </c>
      <c r="T376" t="s">
        <v>895</v>
      </c>
      <c r="U376" s="14">
        <f t="shared" si="60"/>
        <v>8234.5199999999986</v>
      </c>
      <c r="V376" s="14">
        <f t="shared" si="61"/>
        <v>4200</v>
      </c>
      <c r="W376" s="10">
        <f>VLOOKUP(Q376,Taxrate!A:B,2,FALSE)</f>
        <v>0.15</v>
      </c>
      <c r="X376" s="14">
        <f t="shared" si="62"/>
        <v>1235.1779999999997</v>
      </c>
      <c r="Y376" s="10">
        <f>VLOOKUP(L376,'Discount Rate'!A:B,2,FALSE)</f>
        <v>0.1</v>
      </c>
      <c r="Z376" s="14">
        <f t="shared" si="63"/>
        <v>823.45199999999988</v>
      </c>
      <c r="AA376" s="14">
        <f t="shared" si="64"/>
        <v>6175.8899999999985</v>
      </c>
      <c r="AB376" s="14">
        <f t="shared" si="65"/>
        <v>1975.8899999999985</v>
      </c>
    </row>
    <row r="377" spans="1:28" x14ac:dyDescent="0.25">
      <c r="A377" t="s">
        <v>780</v>
      </c>
      <c r="B377" t="s">
        <v>781</v>
      </c>
      <c r="C377" t="s">
        <v>72</v>
      </c>
      <c r="D377" t="s">
        <v>59</v>
      </c>
      <c r="E377" s="1">
        <v>46358</v>
      </c>
      <c r="F377" s="8">
        <f t="shared" si="55"/>
        <v>2026</v>
      </c>
      <c r="G377" s="1" t="str">
        <f t="shared" si="56"/>
        <v>December</v>
      </c>
      <c r="H377" s="1" t="str">
        <f t="shared" si="57"/>
        <v>Wednesday</v>
      </c>
      <c r="I377" s="2">
        <v>0.34177083333333336</v>
      </c>
      <c r="J377" s="8">
        <f t="shared" si="58"/>
        <v>8</v>
      </c>
      <c r="K377" s="8">
        <f t="shared" si="59"/>
        <v>12</v>
      </c>
      <c r="L377" t="s">
        <v>15</v>
      </c>
      <c r="M377" t="s">
        <v>16</v>
      </c>
      <c r="N377">
        <v>1</v>
      </c>
      <c r="O377" s="14">
        <v>881.78</v>
      </c>
      <c r="P377">
        <f>VLOOKUP(L377,'Product-cost'!A:B,2,FALSE)</f>
        <v>600</v>
      </c>
      <c r="Q377" t="s">
        <v>39</v>
      </c>
      <c r="R377" t="s">
        <v>75</v>
      </c>
      <c r="S377" t="s">
        <v>152</v>
      </c>
      <c r="T377" t="s">
        <v>893</v>
      </c>
      <c r="U377" s="14">
        <f t="shared" si="60"/>
        <v>881.78</v>
      </c>
      <c r="V377" s="14">
        <f t="shared" si="61"/>
        <v>600</v>
      </c>
      <c r="W377" s="10">
        <f>VLOOKUP(Q377,Taxrate!A:B,2,FALSE)</f>
        <v>0.15</v>
      </c>
      <c r="X377" s="14">
        <f t="shared" si="62"/>
        <v>132.267</v>
      </c>
      <c r="Y377" s="10">
        <f>VLOOKUP(L377,'Discount Rate'!A:B,2,FALSE)</f>
        <v>0.05</v>
      </c>
      <c r="Z377" s="14">
        <f t="shared" si="63"/>
        <v>44.088999999999999</v>
      </c>
      <c r="AA377" s="14">
        <f t="shared" si="64"/>
        <v>705.42399999999998</v>
      </c>
      <c r="AB377" s="14">
        <f t="shared" si="65"/>
        <v>105.42399999999998</v>
      </c>
    </row>
    <row r="378" spans="1:28" x14ac:dyDescent="0.25">
      <c r="A378" t="s">
        <v>782</v>
      </c>
      <c r="B378" t="s">
        <v>783</v>
      </c>
      <c r="C378" t="s">
        <v>72</v>
      </c>
      <c r="D378" t="s">
        <v>59</v>
      </c>
      <c r="E378" s="1">
        <v>45230</v>
      </c>
      <c r="F378" s="8">
        <f t="shared" si="55"/>
        <v>2023</v>
      </c>
      <c r="G378" s="1" t="str">
        <f t="shared" si="56"/>
        <v>October</v>
      </c>
      <c r="H378" s="1" t="str">
        <f t="shared" si="57"/>
        <v>Tuesday</v>
      </c>
      <c r="I378" s="2">
        <v>0.5452893518518519</v>
      </c>
      <c r="J378" s="8">
        <f t="shared" si="58"/>
        <v>13</v>
      </c>
      <c r="K378" s="8">
        <f t="shared" si="59"/>
        <v>5</v>
      </c>
      <c r="L378" t="s">
        <v>30</v>
      </c>
      <c r="M378" t="s">
        <v>31</v>
      </c>
      <c r="N378">
        <v>3</v>
      </c>
      <c r="O378" s="14">
        <v>484.51</v>
      </c>
      <c r="P378">
        <f>VLOOKUP(L378,'Product-cost'!A:B,2,FALSE)</f>
        <v>200</v>
      </c>
      <c r="Q378" t="s">
        <v>55</v>
      </c>
      <c r="R378" t="s">
        <v>75</v>
      </c>
      <c r="S378" t="s">
        <v>18</v>
      </c>
      <c r="T378" t="s">
        <v>893</v>
      </c>
      <c r="U378" s="14">
        <f t="shared" si="60"/>
        <v>1453.53</v>
      </c>
      <c r="V378" s="14">
        <f t="shared" si="61"/>
        <v>600</v>
      </c>
      <c r="W378" s="10">
        <f>VLOOKUP(Q378,Taxrate!A:B,2,FALSE)</f>
        <v>0.12</v>
      </c>
      <c r="X378" s="14">
        <f t="shared" si="62"/>
        <v>174.42359999999999</v>
      </c>
      <c r="Y378" s="10">
        <f>VLOOKUP(L378,'Discount Rate'!A:B,2,FALSE)</f>
        <v>0.08</v>
      </c>
      <c r="Z378" s="14">
        <f t="shared" si="63"/>
        <v>116.2824</v>
      </c>
      <c r="AA378" s="14">
        <f t="shared" si="64"/>
        <v>1162.8239999999998</v>
      </c>
      <c r="AB378" s="14">
        <f t="shared" si="65"/>
        <v>562.82399999999984</v>
      </c>
    </row>
    <row r="379" spans="1:28" x14ac:dyDescent="0.25">
      <c r="A379" t="s">
        <v>784</v>
      </c>
      <c r="B379" t="s">
        <v>785</v>
      </c>
      <c r="C379" t="s">
        <v>21</v>
      </c>
      <c r="D379" t="s">
        <v>22</v>
      </c>
      <c r="E379" s="1">
        <v>46313</v>
      </c>
      <c r="F379" s="8">
        <f t="shared" si="55"/>
        <v>2026</v>
      </c>
      <c r="G379" s="1" t="str">
        <f t="shared" si="56"/>
        <v>October</v>
      </c>
      <c r="H379" s="1" t="str">
        <f t="shared" si="57"/>
        <v>Sunday</v>
      </c>
      <c r="I379" s="2">
        <v>0.54256944444444444</v>
      </c>
      <c r="J379" s="8">
        <f t="shared" si="58"/>
        <v>13</v>
      </c>
      <c r="K379" s="8">
        <f t="shared" si="59"/>
        <v>1</v>
      </c>
      <c r="L379" t="s">
        <v>15</v>
      </c>
      <c r="M379" t="s">
        <v>16</v>
      </c>
      <c r="N379">
        <v>10</v>
      </c>
      <c r="O379" s="14">
        <v>853.03</v>
      </c>
      <c r="P379">
        <f>VLOOKUP(L379,'Product-cost'!A:B,2,FALSE)</f>
        <v>600</v>
      </c>
      <c r="Q379" t="s">
        <v>25</v>
      </c>
      <c r="R379" t="s">
        <v>26</v>
      </c>
      <c r="S379" t="s">
        <v>96</v>
      </c>
      <c r="T379" t="s">
        <v>893</v>
      </c>
      <c r="U379" s="14">
        <f t="shared" si="60"/>
        <v>8530.2999999999993</v>
      </c>
      <c r="V379" s="14">
        <f t="shared" si="61"/>
        <v>6000</v>
      </c>
      <c r="W379" s="10">
        <f>VLOOKUP(Q379,Taxrate!A:B,2,FALSE)</f>
        <v>0.1</v>
      </c>
      <c r="X379" s="14">
        <f t="shared" si="62"/>
        <v>853.03</v>
      </c>
      <c r="Y379" s="10">
        <f>VLOOKUP(L379,'Discount Rate'!A:B,2,FALSE)</f>
        <v>0.05</v>
      </c>
      <c r="Z379" s="14">
        <f t="shared" si="63"/>
        <v>426.51499999999999</v>
      </c>
      <c r="AA379" s="14">
        <f t="shared" si="64"/>
        <v>7250.7549999999992</v>
      </c>
      <c r="AB379" s="14">
        <f t="shared" si="65"/>
        <v>1250.7549999999992</v>
      </c>
    </row>
    <row r="380" spans="1:28" x14ac:dyDescent="0.25">
      <c r="A380" t="s">
        <v>786</v>
      </c>
      <c r="B380" t="s">
        <v>787</v>
      </c>
      <c r="C380" t="s">
        <v>83</v>
      </c>
      <c r="D380" t="s">
        <v>38</v>
      </c>
      <c r="E380" s="1">
        <v>46151</v>
      </c>
      <c r="F380" s="8">
        <f t="shared" si="55"/>
        <v>2026</v>
      </c>
      <c r="G380" s="1" t="str">
        <f t="shared" si="56"/>
        <v>May</v>
      </c>
      <c r="H380" s="1" t="str">
        <f t="shared" si="57"/>
        <v>Saturday</v>
      </c>
      <c r="I380" s="2">
        <v>0.57414351851851853</v>
      </c>
      <c r="J380" s="8">
        <f t="shared" si="58"/>
        <v>13</v>
      </c>
      <c r="K380" s="8">
        <f t="shared" si="59"/>
        <v>46</v>
      </c>
      <c r="L380" t="s">
        <v>46</v>
      </c>
      <c r="M380" t="s">
        <v>47</v>
      </c>
      <c r="N380">
        <v>14</v>
      </c>
      <c r="O380" s="14">
        <v>500</v>
      </c>
      <c r="P380">
        <f>VLOOKUP(L380,'Product-cost'!A:B,2,FALSE)</f>
        <v>150</v>
      </c>
      <c r="Q380" t="s">
        <v>25</v>
      </c>
      <c r="R380" t="s">
        <v>84</v>
      </c>
      <c r="T380" t="s">
        <v>895</v>
      </c>
      <c r="U380" s="14">
        <f t="shared" si="60"/>
        <v>7000</v>
      </c>
      <c r="V380" s="14">
        <f t="shared" si="61"/>
        <v>2100</v>
      </c>
      <c r="W380" s="10">
        <f>VLOOKUP(Q380,Taxrate!A:B,2,FALSE)</f>
        <v>0.1</v>
      </c>
      <c r="X380" s="14">
        <f t="shared" si="62"/>
        <v>700</v>
      </c>
      <c r="Y380" s="10">
        <f>VLOOKUP(L380,'Discount Rate'!A:B,2,FALSE)</f>
        <v>7.0000000000000007E-2</v>
      </c>
      <c r="Z380" s="14">
        <f t="shared" si="63"/>
        <v>490.00000000000006</v>
      </c>
      <c r="AA380" s="14">
        <f t="shared" si="64"/>
        <v>5810</v>
      </c>
      <c r="AB380" s="14">
        <f t="shared" si="65"/>
        <v>3710</v>
      </c>
    </row>
    <row r="381" spans="1:28" x14ac:dyDescent="0.25">
      <c r="A381" t="s">
        <v>788</v>
      </c>
      <c r="B381" t="s">
        <v>677</v>
      </c>
      <c r="C381" t="s">
        <v>155</v>
      </c>
      <c r="D381" t="s">
        <v>156</v>
      </c>
      <c r="E381" s="1">
        <v>45262</v>
      </c>
      <c r="F381" s="8">
        <f t="shared" si="55"/>
        <v>2023</v>
      </c>
      <c r="G381" s="1" t="str">
        <f t="shared" si="56"/>
        <v>December</v>
      </c>
      <c r="H381" s="1" t="str">
        <f t="shared" si="57"/>
        <v>Saturday</v>
      </c>
      <c r="I381" s="2">
        <v>0.43390046296296297</v>
      </c>
      <c r="J381" s="8">
        <f t="shared" si="58"/>
        <v>10</v>
      </c>
      <c r="K381" s="8">
        <f t="shared" si="59"/>
        <v>24</v>
      </c>
      <c r="L381" t="s">
        <v>73</v>
      </c>
      <c r="M381" t="s">
        <v>74</v>
      </c>
      <c r="N381">
        <v>13</v>
      </c>
      <c r="O381" s="14">
        <v>131.56</v>
      </c>
      <c r="P381">
        <f>VLOOKUP(L381,'Product-cost'!A:B,2,FALSE)</f>
        <v>50</v>
      </c>
      <c r="Q381" t="s">
        <v>25</v>
      </c>
      <c r="R381" t="s">
        <v>252</v>
      </c>
      <c r="T381" t="s">
        <v>895</v>
      </c>
      <c r="U381" s="14">
        <f t="shared" si="60"/>
        <v>1710.28</v>
      </c>
      <c r="V381" s="14">
        <f t="shared" si="61"/>
        <v>650</v>
      </c>
      <c r="W381" s="10">
        <f>VLOOKUP(Q381,Taxrate!A:B,2,FALSE)</f>
        <v>0.1</v>
      </c>
      <c r="X381" s="14">
        <f t="shared" si="62"/>
        <v>171.02800000000002</v>
      </c>
      <c r="Y381" s="10">
        <f>VLOOKUP(L381,'Discount Rate'!A:B,2,FALSE)</f>
        <v>0.03</v>
      </c>
      <c r="Z381" s="14">
        <f t="shared" si="63"/>
        <v>51.308399999999999</v>
      </c>
      <c r="AA381" s="14">
        <f t="shared" si="64"/>
        <v>1487.9436000000001</v>
      </c>
      <c r="AB381" s="14">
        <f t="shared" si="65"/>
        <v>837.94360000000006</v>
      </c>
    </row>
    <row r="382" spans="1:28" x14ac:dyDescent="0.25">
      <c r="A382" t="s">
        <v>789</v>
      </c>
      <c r="B382" t="s">
        <v>790</v>
      </c>
      <c r="C382" t="s">
        <v>37</v>
      </c>
      <c r="D382" t="s">
        <v>38</v>
      </c>
      <c r="E382" s="1">
        <v>45929</v>
      </c>
      <c r="F382" s="8">
        <f t="shared" si="55"/>
        <v>2025</v>
      </c>
      <c r="G382" s="1" t="str">
        <f t="shared" si="56"/>
        <v>September</v>
      </c>
      <c r="H382" s="1" t="str">
        <f t="shared" si="57"/>
        <v>Monday</v>
      </c>
      <c r="I382" s="2">
        <v>0.60436342592592596</v>
      </c>
      <c r="J382" s="8">
        <f t="shared" si="58"/>
        <v>14</v>
      </c>
      <c r="K382" s="8">
        <f t="shared" si="59"/>
        <v>30</v>
      </c>
      <c r="L382" t="s">
        <v>46</v>
      </c>
      <c r="M382" t="s">
        <v>47</v>
      </c>
      <c r="N382">
        <v>2</v>
      </c>
      <c r="O382" s="14">
        <v>265.20999999999998</v>
      </c>
      <c r="P382">
        <f>VLOOKUP(L382,'Product-cost'!A:B,2,FALSE)</f>
        <v>150</v>
      </c>
      <c r="Q382" t="s">
        <v>55</v>
      </c>
      <c r="R382" t="s">
        <v>84</v>
      </c>
      <c r="S382" t="s">
        <v>158</v>
      </c>
      <c r="T382" t="s">
        <v>893</v>
      </c>
      <c r="U382" s="14">
        <f t="shared" si="60"/>
        <v>530.41999999999996</v>
      </c>
      <c r="V382" s="14">
        <f t="shared" si="61"/>
        <v>300</v>
      </c>
      <c r="W382" s="10">
        <f>VLOOKUP(Q382,Taxrate!A:B,2,FALSE)</f>
        <v>0.12</v>
      </c>
      <c r="X382" s="14">
        <f t="shared" si="62"/>
        <v>63.650399999999991</v>
      </c>
      <c r="Y382" s="10">
        <f>VLOOKUP(L382,'Discount Rate'!A:B,2,FALSE)</f>
        <v>7.0000000000000007E-2</v>
      </c>
      <c r="Z382" s="14">
        <f t="shared" si="63"/>
        <v>37.129400000000004</v>
      </c>
      <c r="AA382" s="14">
        <f t="shared" si="64"/>
        <v>429.64019999999994</v>
      </c>
      <c r="AB382" s="14">
        <f t="shared" si="65"/>
        <v>129.64019999999994</v>
      </c>
    </row>
    <row r="383" spans="1:28" x14ac:dyDescent="0.25">
      <c r="A383" t="s">
        <v>791</v>
      </c>
      <c r="B383" t="s">
        <v>792</v>
      </c>
      <c r="C383" t="s">
        <v>129</v>
      </c>
      <c r="D383" t="s">
        <v>22</v>
      </c>
      <c r="E383" s="1">
        <v>46006</v>
      </c>
      <c r="F383" s="8">
        <f t="shared" si="55"/>
        <v>2025</v>
      </c>
      <c r="G383" s="1" t="str">
        <f t="shared" si="56"/>
        <v>December</v>
      </c>
      <c r="H383" s="1" t="str">
        <f t="shared" si="57"/>
        <v>Monday</v>
      </c>
      <c r="I383" s="2">
        <v>0.52045138888888887</v>
      </c>
      <c r="J383" s="8">
        <f t="shared" si="58"/>
        <v>12</v>
      </c>
      <c r="K383" s="8">
        <f t="shared" si="59"/>
        <v>29</v>
      </c>
      <c r="L383" t="s">
        <v>15</v>
      </c>
      <c r="M383" t="s">
        <v>16</v>
      </c>
      <c r="N383">
        <v>8</v>
      </c>
      <c r="O383" s="14">
        <v>1292.0899999999999</v>
      </c>
      <c r="P383">
        <f>VLOOKUP(L383,'Product-cost'!A:B,2,FALSE)</f>
        <v>600</v>
      </c>
      <c r="Q383" t="s">
        <v>25</v>
      </c>
      <c r="R383" t="s">
        <v>143</v>
      </c>
      <c r="S383" t="s">
        <v>152</v>
      </c>
      <c r="T383" t="s">
        <v>893</v>
      </c>
      <c r="U383" s="14">
        <f t="shared" si="60"/>
        <v>10336.719999999999</v>
      </c>
      <c r="V383" s="14">
        <f t="shared" si="61"/>
        <v>4800</v>
      </c>
      <c r="W383" s="10">
        <f>VLOOKUP(Q383,Taxrate!A:B,2,FALSE)</f>
        <v>0.1</v>
      </c>
      <c r="X383" s="14">
        <f t="shared" si="62"/>
        <v>1033.672</v>
      </c>
      <c r="Y383" s="10">
        <f>VLOOKUP(L383,'Discount Rate'!A:B,2,FALSE)</f>
        <v>0.05</v>
      </c>
      <c r="Z383" s="14">
        <f t="shared" si="63"/>
        <v>516.83600000000001</v>
      </c>
      <c r="AA383" s="14">
        <f t="shared" si="64"/>
        <v>8786.2119999999995</v>
      </c>
      <c r="AB383" s="14">
        <f t="shared" si="65"/>
        <v>3986.2119999999995</v>
      </c>
    </row>
    <row r="384" spans="1:28" x14ac:dyDescent="0.25">
      <c r="A384" t="s">
        <v>793</v>
      </c>
      <c r="B384" t="s">
        <v>794</v>
      </c>
      <c r="C384" t="s">
        <v>99</v>
      </c>
      <c r="D384" t="s">
        <v>100</v>
      </c>
      <c r="E384" s="1">
        <v>45120</v>
      </c>
      <c r="F384" s="8">
        <f t="shared" si="55"/>
        <v>2023</v>
      </c>
      <c r="G384" s="1" t="str">
        <f t="shared" si="56"/>
        <v>July</v>
      </c>
      <c r="H384" s="1" t="str">
        <f t="shared" si="57"/>
        <v>Thursday</v>
      </c>
      <c r="I384" s="2">
        <v>0.78236111111111106</v>
      </c>
      <c r="J384" s="8">
        <f t="shared" si="58"/>
        <v>18</v>
      </c>
      <c r="K384" s="8">
        <f t="shared" si="59"/>
        <v>46</v>
      </c>
      <c r="L384" t="s">
        <v>30</v>
      </c>
      <c r="M384" t="s">
        <v>31</v>
      </c>
      <c r="N384">
        <v>10</v>
      </c>
      <c r="O384" s="14">
        <v>500</v>
      </c>
      <c r="P384">
        <f>VLOOKUP(L384,'Product-cost'!A:B,2,FALSE)</f>
        <v>200</v>
      </c>
      <c r="Q384" t="s">
        <v>55</v>
      </c>
      <c r="R384" t="s">
        <v>101</v>
      </c>
      <c r="S384" t="s">
        <v>115</v>
      </c>
      <c r="T384" t="s">
        <v>893</v>
      </c>
      <c r="U384" s="14">
        <f t="shared" si="60"/>
        <v>5000</v>
      </c>
      <c r="V384" s="14">
        <f t="shared" si="61"/>
        <v>2000</v>
      </c>
      <c r="W384" s="10">
        <f>VLOOKUP(Q384,Taxrate!A:B,2,FALSE)</f>
        <v>0.12</v>
      </c>
      <c r="X384" s="14">
        <f t="shared" si="62"/>
        <v>600</v>
      </c>
      <c r="Y384" s="10">
        <f>VLOOKUP(L384,'Discount Rate'!A:B,2,FALSE)</f>
        <v>0.08</v>
      </c>
      <c r="Z384" s="14">
        <f t="shared" si="63"/>
        <v>400</v>
      </c>
      <c r="AA384" s="14">
        <f t="shared" si="64"/>
        <v>4000</v>
      </c>
      <c r="AB384" s="14">
        <f t="shared" si="65"/>
        <v>2000</v>
      </c>
    </row>
    <row r="385" spans="1:28" x14ac:dyDescent="0.25">
      <c r="A385" t="s">
        <v>795</v>
      </c>
      <c r="B385" t="s">
        <v>423</v>
      </c>
      <c r="C385" t="s">
        <v>118</v>
      </c>
      <c r="D385" t="s">
        <v>59</v>
      </c>
      <c r="E385" s="1">
        <v>46129</v>
      </c>
      <c r="F385" s="8">
        <f t="shared" si="55"/>
        <v>2026</v>
      </c>
      <c r="G385" s="1" t="str">
        <f t="shared" si="56"/>
        <v>April</v>
      </c>
      <c r="H385" s="1" t="str">
        <f t="shared" si="57"/>
        <v>Friday</v>
      </c>
      <c r="I385" s="2">
        <v>0.86282407407407402</v>
      </c>
      <c r="J385" s="8">
        <f t="shared" si="58"/>
        <v>20</v>
      </c>
      <c r="K385" s="8">
        <f t="shared" si="59"/>
        <v>42</v>
      </c>
      <c r="L385" t="s">
        <v>46</v>
      </c>
      <c r="M385" t="s">
        <v>47</v>
      </c>
      <c r="N385">
        <v>6</v>
      </c>
      <c r="O385" s="14">
        <v>271.85000000000002</v>
      </c>
      <c r="P385">
        <f>VLOOKUP(L385,'Product-cost'!A:B,2,FALSE)</f>
        <v>150</v>
      </c>
      <c r="Q385" t="s">
        <v>32</v>
      </c>
      <c r="R385" t="s">
        <v>60</v>
      </c>
      <c r="T385" t="s">
        <v>895</v>
      </c>
      <c r="U385" s="14">
        <f t="shared" si="60"/>
        <v>1631.1000000000001</v>
      </c>
      <c r="V385" s="14">
        <f t="shared" si="61"/>
        <v>900</v>
      </c>
      <c r="W385" s="10">
        <f>VLOOKUP(Q385,Taxrate!A:B,2,FALSE)</f>
        <v>0.2</v>
      </c>
      <c r="X385" s="14">
        <f t="shared" si="62"/>
        <v>326.22000000000003</v>
      </c>
      <c r="Y385" s="10">
        <f>VLOOKUP(L385,'Discount Rate'!A:B,2,FALSE)</f>
        <v>7.0000000000000007E-2</v>
      </c>
      <c r="Z385" s="14">
        <f t="shared" si="63"/>
        <v>114.17700000000002</v>
      </c>
      <c r="AA385" s="14">
        <f t="shared" si="64"/>
        <v>1190.703</v>
      </c>
      <c r="AB385" s="14">
        <f t="shared" si="65"/>
        <v>290.70299999999997</v>
      </c>
    </row>
    <row r="386" spans="1:28" x14ac:dyDescent="0.25">
      <c r="A386" t="s">
        <v>796</v>
      </c>
      <c r="B386" t="s">
        <v>787</v>
      </c>
      <c r="C386" t="s">
        <v>155</v>
      </c>
      <c r="D386" t="s">
        <v>156</v>
      </c>
      <c r="E386" s="1">
        <v>44954</v>
      </c>
      <c r="F386" s="8">
        <f t="shared" si="55"/>
        <v>2023</v>
      </c>
      <c r="G386" s="1" t="str">
        <f t="shared" si="56"/>
        <v>January</v>
      </c>
      <c r="H386" s="1" t="str">
        <f t="shared" si="57"/>
        <v>Saturday</v>
      </c>
      <c r="I386" s="2">
        <v>0.7711689814814815</v>
      </c>
      <c r="J386" s="8">
        <f t="shared" si="58"/>
        <v>18</v>
      </c>
      <c r="K386" s="8">
        <f t="shared" si="59"/>
        <v>30</v>
      </c>
      <c r="L386" t="s">
        <v>73</v>
      </c>
      <c r="M386" t="s">
        <v>74</v>
      </c>
      <c r="N386">
        <v>12</v>
      </c>
      <c r="O386" s="14">
        <v>156.5</v>
      </c>
      <c r="P386">
        <f>VLOOKUP(L386,'Product-cost'!A:B,2,FALSE)</f>
        <v>50</v>
      </c>
      <c r="Q386" t="s">
        <v>55</v>
      </c>
      <c r="R386" t="s">
        <v>252</v>
      </c>
      <c r="S386" t="s">
        <v>132</v>
      </c>
      <c r="T386" t="s">
        <v>893</v>
      </c>
      <c r="U386" s="14">
        <f t="shared" si="60"/>
        <v>1878</v>
      </c>
      <c r="V386" s="14">
        <f t="shared" si="61"/>
        <v>600</v>
      </c>
      <c r="W386" s="10">
        <f>VLOOKUP(Q386,Taxrate!A:B,2,FALSE)</f>
        <v>0.12</v>
      </c>
      <c r="X386" s="14">
        <f t="shared" si="62"/>
        <v>225.35999999999999</v>
      </c>
      <c r="Y386" s="10">
        <f>VLOOKUP(L386,'Discount Rate'!A:B,2,FALSE)</f>
        <v>0.03</v>
      </c>
      <c r="Z386" s="14">
        <f t="shared" si="63"/>
        <v>56.339999999999996</v>
      </c>
      <c r="AA386" s="14">
        <f t="shared" si="64"/>
        <v>1596.3000000000002</v>
      </c>
      <c r="AB386" s="14">
        <f t="shared" si="65"/>
        <v>996.30000000000018</v>
      </c>
    </row>
    <row r="387" spans="1:28" x14ac:dyDescent="0.25">
      <c r="A387" t="s">
        <v>797</v>
      </c>
      <c r="B387" t="s">
        <v>798</v>
      </c>
      <c r="C387" t="s">
        <v>13</v>
      </c>
      <c r="D387" t="s">
        <v>14</v>
      </c>
      <c r="E387" s="1">
        <v>46352</v>
      </c>
      <c r="F387" s="8">
        <f t="shared" ref="F387:F435" si="66">YEAR(E387)</f>
        <v>2026</v>
      </c>
      <c r="G387" s="1" t="str">
        <f t="shared" ref="G387:G435" si="67">TEXT(E387,"mmmm")</f>
        <v>November</v>
      </c>
      <c r="H387" s="1" t="str">
        <f t="shared" ref="H387:H435" si="68">TEXT(E387, "dddd")</f>
        <v>Thursday</v>
      </c>
      <c r="I387" s="2">
        <v>0.87584490740740739</v>
      </c>
      <c r="J387" s="8">
        <f t="shared" ref="J387:J435" si="69">HOUR(I387)</f>
        <v>21</v>
      </c>
      <c r="K387" s="8">
        <f t="shared" ref="K387:K435" si="70">MINUTE(I387)</f>
        <v>1</v>
      </c>
      <c r="L387" t="s">
        <v>73</v>
      </c>
      <c r="M387" t="s">
        <v>74</v>
      </c>
      <c r="N387">
        <v>11</v>
      </c>
      <c r="O387" s="14">
        <v>183.16</v>
      </c>
      <c r="P387">
        <f>VLOOKUP(L387,'Product-cost'!A:B,2,FALSE)</f>
        <v>50</v>
      </c>
      <c r="Q387" t="s">
        <v>55</v>
      </c>
      <c r="R387" t="s">
        <v>17</v>
      </c>
      <c r="S387" t="s">
        <v>96</v>
      </c>
      <c r="T387" t="s">
        <v>893</v>
      </c>
      <c r="U387" s="14">
        <f t="shared" ref="U387:U435" si="71">O387*N387</f>
        <v>2014.76</v>
      </c>
      <c r="V387" s="14">
        <f t="shared" ref="V387:V435" si="72">P387*N387</f>
        <v>550</v>
      </c>
      <c r="W387" s="10">
        <f>VLOOKUP(Q387,Taxrate!A:B,2,FALSE)</f>
        <v>0.12</v>
      </c>
      <c r="X387" s="14">
        <f t="shared" ref="X387:X435" si="73">U387*W387</f>
        <v>241.77119999999999</v>
      </c>
      <c r="Y387" s="10">
        <f>VLOOKUP(L387,'Discount Rate'!A:B,2,FALSE)</f>
        <v>0.03</v>
      </c>
      <c r="Z387" s="14">
        <f t="shared" ref="Z387:Z435" si="74">Y387*U387</f>
        <v>60.442799999999998</v>
      </c>
      <c r="AA387" s="14">
        <f t="shared" ref="AA387:AA435" si="75">U387-X387-Z387</f>
        <v>1712.546</v>
      </c>
      <c r="AB387" s="14">
        <f t="shared" ref="AB387:AB435" si="76">AA387-V387</f>
        <v>1162.546</v>
      </c>
    </row>
    <row r="388" spans="1:28" x14ac:dyDescent="0.25">
      <c r="A388" t="s">
        <v>799</v>
      </c>
      <c r="B388" t="s">
        <v>800</v>
      </c>
      <c r="C388" t="s">
        <v>139</v>
      </c>
      <c r="D388" t="s">
        <v>22</v>
      </c>
      <c r="E388" s="1">
        <v>45892</v>
      </c>
      <c r="F388" s="8">
        <f t="shared" si="66"/>
        <v>2025</v>
      </c>
      <c r="G388" s="1" t="str">
        <f t="shared" si="67"/>
        <v>August</v>
      </c>
      <c r="H388" s="1" t="str">
        <f t="shared" si="68"/>
        <v>Saturday</v>
      </c>
      <c r="I388" s="2">
        <v>0.89487268518518515</v>
      </c>
      <c r="J388" s="8">
        <f t="shared" si="69"/>
        <v>21</v>
      </c>
      <c r="K388" s="8">
        <f t="shared" si="70"/>
        <v>28</v>
      </c>
      <c r="L388" t="s">
        <v>23</v>
      </c>
      <c r="M388" t="s">
        <v>24</v>
      </c>
      <c r="N388">
        <v>10</v>
      </c>
      <c r="O388" s="14">
        <v>597.52</v>
      </c>
      <c r="P388">
        <f>VLOOKUP(L388,'Product-cost'!A:B,2,FALSE)</f>
        <v>300</v>
      </c>
      <c r="Q388" t="s">
        <v>25</v>
      </c>
      <c r="R388" t="s">
        <v>26</v>
      </c>
      <c r="S388" t="s">
        <v>213</v>
      </c>
      <c r="T388" t="s">
        <v>894</v>
      </c>
      <c r="U388" s="14">
        <f t="shared" si="71"/>
        <v>5975.2</v>
      </c>
      <c r="V388" s="14">
        <f t="shared" si="72"/>
        <v>3000</v>
      </c>
      <c r="W388" s="10">
        <f>VLOOKUP(Q388,Taxrate!A:B,2,FALSE)</f>
        <v>0.1</v>
      </c>
      <c r="X388" s="14">
        <f t="shared" si="73"/>
        <v>597.52</v>
      </c>
      <c r="Y388" s="10">
        <f>VLOOKUP(L388,'Discount Rate'!A:B,2,FALSE)</f>
        <v>0.1</v>
      </c>
      <c r="Z388" s="14">
        <f t="shared" si="74"/>
        <v>597.52</v>
      </c>
      <c r="AA388" s="14">
        <f t="shared" si="75"/>
        <v>4780.16</v>
      </c>
      <c r="AB388" s="14">
        <f t="shared" si="76"/>
        <v>1780.1599999999999</v>
      </c>
    </row>
    <row r="389" spans="1:28" x14ac:dyDescent="0.25">
      <c r="A389" t="s">
        <v>801</v>
      </c>
      <c r="B389" t="s">
        <v>232</v>
      </c>
      <c r="C389" t="s">
        <v>118</v>
      </c>
      <c r="D389" t="s">
        <v>59</v>
      </c>
      <c r="E389" s="1">
        <v>45925</v>
      </c>
      <c r="F389" s="8">
        <f t="shared" si="66"/>
        <v>2025</v>
      </c>
      <c r="G389" s="1" t="str">
        <f t="shared" si="67"/>
        <v>September</v>
      </c>
      <c r="H389" s="1" t="str">
        <f t="shared" si="68"/>
        <v>Thursday</v>
      </c>
      <c r="I389" s="2">
        <v>0.64765046296296291</v>
      </c>
      <c r="J389" s="8">
        <f t="shared" si="69"/>
        <v>15</v>
      </c>
      <c r="K389" s="8">
        <f t="shared" si="70"/>
        <v>32</v>
      </c>
      <c r="L389" t="s">
        <v>46</v>
      </c>
      <c r="M389" t="s">
        <v>47</v>
      </c>
      <c r="N389">
        <v>15</v>
      </c>
      <c r="O389" s="14">
        <v>229.67</v>
      </c>
      <c r="P389">
        <f>VLOOKUP(L389,'Product-cost'!A:B,2,FALSE)</f>
        <v>150</v>
      </c>
      <c r="Q389" t="s">
        <v>51</v>
      </c>
      <c r="R389" t="s">
        <v>222</v>
      </c>
      <c r="S389" t="s">
        <v>230</v>
      </c>
      <c r="T389" t="s">
        <v>893</v>
      </c>
      <c r="U389" s="14">
        <f t="shared" si="71"/>
        <v>3445.0499999999997</v>
      </c>
      <c r="V389" s="14">
        <f t="shared" si="72"/>
        <v>2250</v>
      </c>
      <c r="W389" s="10">
        <f>VLOOKUP(Q389,Taxrate!A:B,2,FALSE)</f>
        <v>7.0000000000000007E-2</v>
      </c>
      <c r="X389" s="14">
        <f t="shared" si="73"/>
        <v>241.15350000000001</v>
      </c>
      <c r="Y389" s="10">
        <f>VLOOKUP(L389,'Discount Rate'!A:B,2,FALSE)</f>
        <v>7.0000000000000007E-2</v>
      </c>
      <c r="Z389" s="14">
        <f t="shared" si="74"/>
        <v>241.15350000000001</v>
      </c>
      <c r="AA389" s="14">
        <f t="shared" si="75"/>
        <v>2962.7429999999999</v>
      </c>
      <c r="AB389" s="14">
        <f t="shared" si="76"/>
        <v>712.74299999999994</v>
      </c>
    </row>
    <row r="390" spans="1:28" x14ac:dyDescent="0.25">
      <c r="A390" t="s">
        <v>802</v>
      </c>
      <c r="B390" t="s">
        <v>803</v>
      </c>
      <c r="C390" t="s">
        <v>72</v>
      </c>
      <c r="D390" t="s">
        <v>59</v>
      </c>
      <c r="E390" s="1">
        <v>45845</v>
      </c>
      <c r="F390" s="8">
        <f t="shared" si="66"/>
        <v>2025</v>
      </c>
      <c r="G390" s="1" t="str">
        <f t="shared" si="67"/>
        <v>July</v>
      </c>
      <c r="H390" s="1" t="str">
        <f t="shared" si="68"/>
        <v>Monday</v>
      </c>
      <c r="I390" s="2">
        <v>0.3404861111111111</v>
      </c>
      <c r="J390" s="8">
        <f t="shared" si="69"/>
        <v>8</v>
      </c>
      <c r="K390" s="8">
        <f t="shared" si="70"/>
        <v>10</v>
      </c>
      <c r="L390" t="s">
        <v>23</v>
      </c>
      <c r="M390" t="s">
        <v>24</v>
      </c>
      <c r="N390">
        <v>8</v>
      </c>
      <c r="O390" s="14">
        <v>545.91</v>
      </c>
      <c r="P390">
        <f>VLOOKUP(L390,'Product-cost'!A:B,2,FALSE)</f>
        <v>300</v>
      </c>
      <c r="Q390" t="s">
        <v>25</v>
      </c>
      <c r="R390" t="s">
        <v>222</v>
      </c>
      <c r="T390" t="s">
        <v>895</v>
      </c>
      <c r="U390" s="14">
        <f t="shared" si="71"/>
        <v>4367.28</v>
      </c>
      <c r="V390" s="14">
        <f t="shared" si="72"/>
        <v>2400</v>
      </c>
      <c r="W390" s="10">
        <f>VLOOKUP(Q390,Taxrate!A:B,2,FALSE)</f>
        <v>0.1</v>
      </c>
      <c r="X390" s="14">
        <f t="shared" si="73"/>
        <v>436.72800000000001</v>
      </c>
      <c r="Y390" s="10">
        <f>VLOOKUP(L390,'Discount Rate'!A:B,2,FALSE)</f>
        <v>0.1</v>
      </c>
      <c r="Z390" s="14">
        <f t="shared" si="74"/>
        <v>436.72800000000001</v>
      </c>
      <c r="AA390" s="14">
        <f t="shared" si="75"/>
        <v>3493.8239999999996</v>
      </c>
      <c r="AB390" s="14">
        <f t="shared" si="76"/>
        <v>1093.8239999999996</v>
      </c>
    </row>
    <row r="391" spans="1:28" x14ac:dyDescent="0.25">
      <c r="A391" t="s">
        <v>804</v>
      </c>
      <c r="B391" t="s">
        <v>805</v>
      </c>
      <c r="C391" t="s">
        <v>37</v>
      </c>
      <c r="D391" t="s">
        <v>38</v>
      </c>
      <c r="E391" s="1">
        <v>45258</v>
      </c>
      <c r="F391" s="8">
        <f t="shared" si="66"/>
        <v>2023</v>
      </c>
      <c r="G391" s="1" t="str">
        <f t="shared" si="67"/>
        <v>November</v>
      </c>
      <c r="H391" s="1" t="str">
        <f t="shared" si="68"/>
        <v>Tuesday</v>
      </c>
      <c r="I391" s="2">
        <v>0.53109953703703705</v>
      </c>
      <c r="J391" s="8">
        <f t="shared" si="69"/>
        <v>12</v>
      </c>
      <c r="K391" s="8">
        <f t="shared" si="70"/>
        <v>44</v>
      </c>
      <c r="L391" t="s">
        <v>15</v>
      </c>
      <c r="M391" t="s">
        <v>16</v>
      </c>
      <c r="N391">
        <v>3</v>
      </c>
      <c r="O391" s="14">
        <v>878.16</v>
      </c>
      <c r="P391">
        <f>VLOOKUP(L391,'Product-cost'!A:B,2,FALSE)</f>
        <v>600</v>
      </c>
      <c r="Q391" t="s">
        <v>39</v>
      </c>
      <c r="R391" t="s">
        <v>40</v>
      </c>
      <c r="T391" t="s">
        <v>895</v>
      </c>
      <c r="U391" s="14">
        <f t="shared" si="71"/>
        <v>2634.48</v>
      </c>
      <c r="V391" s="14">
        <f t="shared" si="72"/>
        <v>1800</v>
      </c>
      <c r="W391" s="10">
        <f>VLOOKUP(Q391,Taxrate!A:B,2,FALSE)</f>
        <v>0.15</v>
      </c>
      <c r="X391" s="14">
        <f t="shared" si="73"/>
        <v>395.17199999999997</v>
      </c>
      <c r="Y391" s="10">
        <f>VLOOKUP(L391,'Discount Rate'!A:B,2,FALSE)</f>
        <v>0.05</v>
      </c>
      <c r="Z391" s="14">
        <f t="shared" si="74"/>
        <v>131.72400000000002</v>
      </c>
      <c r="AA391" s="14">
        <f t="shared" si="75"/>
        <v>2107.5839999999998</v>
      </c>
      <c r="AB391" s="14">
        <f t="shared" si="76"/>
        <v>307.58399999999983</v>
      </c>
    </row>
    <row r="392" spans="1:28" x14ac:dyDescent="0.25">
      <c r="A392" t="s">
        <v>806</v>
      </c>
      <c r="B392" t="s">
        <v>702</v>
      </c>
      <c r="C392" t="s">
        <v>187</v>
      </c>
      <c r="D392" t="s">
        <v>156</v>
      </c>
      <c r="E392" s="1">
        <v>46313</v>
      </c>
      <c r="F392" s="8">
        <f t="shared" si="66"/>
        <v>2026</v>
      </c>
      <c r="G392" s="1" t="str">
        <f t="shared" si="67"/>
        <v>October</v>
      </c>
      <c r="H392" s="1" t="str">
        <f t="shared" si="68"/>
        <v>Sunday</v>
      </c>
      <c r="I392" s="2">
        <v>0.45341435185185186</v>
      </c>
      <c r="J392" s="8">
        <f t="shared" si="69"/>
        <v>10</v>
      </c>
      <c r="K392" s="8">
        <f t="shared" si="70"/>
        <v>52</v>
      </c>
      <c r="L392" t="s">
        <v>46</v>
      </c>
      <c r="M392" t="s">
        <v>47</v>
      </c>
      <c r="N392">
        <v>7</v>
      </c>
      <c r="O392" s="14">
        <v>500</v>
      </c>
      <c r="P392">
        <f>VLOOKUP(L392,'Product-cost'!A:B,2,FALSE)</f>
        <v>150</v>
      </c>
      <c r="Q392" t="s">
        <v>39</v>
      </c>
      <c r="R392" t="s">
        <v>157</v>
      </c>
      <c r="S392" t="s">
        <v>96</v>
      </c>
      <c r="T392" t="s">
        <v>893</v>
      </c>
      <c r="U392" s="14">
        <f t="shared" si="71"/>
        <v>3500</v>
      </c>
      <c r="V392" s="14">
        <f t="shared" si="72"/>
        <v>1050</v>
      </c>
      <c r="W392" s="10">
        <f>VLOOKUP(Q392,Taxrate!A:B,2,FALSE)</f>
        <v>0.15</v>
      </c>
      <c r="X392" s="14">
        <f t="shared" si="73"/>
        <v>525</v>
      </c>
      <c r="Y392" s="10">
        <f>VLOOKUP(L392,'Discount Rate'!A:B,2,FALSE)</f>
        <v>7.0000000000000007E-2</v>
      </c>
      <c r="Z392" s="14">
        <f t="shared" si="74"/>
        <v>245.00000000000003</v>
      </c>
      <c r="AA392" s="14">
        <f t="shared" si="75"/>
        <v>2730</v>
      </c>
      <c r="AB392" s="14">
        <f t="shared" si="76"/>
        <v>1680</v>
      </c>
    </row>
    <row r="393" spans="1:28" x14ac:dyDescent="0.25">
      <c r="A393" t="s">
        <v>807</v>
      </c>
      <c r="B393" t="s">
        <v>184</v>
      </c>
      <c r="C393" t="s">
        <v>63</v>
      </c>
      <c r="D393" t="s">
        <v>14</v>
      </c>
      <c r="E393" s="1">
        <v>45088</v>
      </c>
      <c r="F393" s="8">
        <f t="shared" si="66"/>
        <v>2023</v>
      </c>
      <c r="G393" s="1" t="str">
        <f t="shared" si="67"/>
        <v>June</v>
      </c>
      <c r="H393" s="1" t="str">
        <f t="shared" si="68"/>
        <v>Sunday</v>
      </c>
      <c r="I393" s="2">
        <v>0.79443287037037036</v>
      </c>
      <c r="J393" s="8">
        <f t="shared" si="69"/>
        <v>19</v>
      </c>
      <c r="K393" s="8">
        <f t="shared" si="70"/>
        <v>3</v>
      </c>
      <c r="L393" t="s">
        <v>73</v>
      </c>
      <c r="M393" t="s">
        <v>74</v>
      </c>
      <c r="N393">
        <v>14</v>
      </c>
      <c r="O393" s="14">
        <v>193.1</v>
      </c>
      <c r="P393">
        <f>VLOOKUP(L393,'Product-cost'!A:B,2,FALSE)</f>
        <v>50</v>
      </c>
      <c r="Q393" t="s">
        <v>55</v>
      </c>
      <c r="R393" t="s">
        <v>17</v>
      </c>
      <c r="S393" t="s">
        <v>152</v>
      </c>
      <c r="T393" t="s">
        <v>893</v>
      </c>
      <c r="U393" s="14">
        <f t="shared" si="71"/>
        <v>2703.4</v>
      </c>
      <c r="V393" s="14">
        <f t="shared" si="72"/>
        <v>700</v>
      </c>
      <c r="W393" s="10">
        <f>VLOOKUP(Q393,Taxrate!A:B,2,FALSE)</f>
        <v>0.12</v>
      </c>
      <c r="X393" s="14">
        <f t="shared" si="73"/>
        <v>324.40800000000002</v>
      </c>
      <c r="Y393" s="10">
        <f>VLOOKUP(L393,'Discount Rate'!A:B,2,FALSE)</f>
        <v>0.03</v>
      </c>
      <c r="Z393" s="14">
        <f t="shared" si="74"/>
        <v>81.102000000000004</v>
      </c>
      <c r="AA393" s="14">
        <f t="shared" si="75"/>
        <v>2297.8900000000003</v>
      </c>
      <c r="AB393" s="14">
        <f t="shared" si="76"/>
        <v>1597.8900000000003</v>
      </c>
    </row>
    <row r="394" spans="1:28" x14ac:dyDescent="0.25">
      <c r="A394" t="s">
        <v>808</v>
      </c>
      <c r="B394" t="s">
        <v>304</v>
      </c>
      <c r="C394" t="s">
        <v>37</v>
      </c>
      <c r="D394" t="s">
        <v>38</v>
      </c>
      <c r="E394" s="1">
        <v>45525</v>
      </c>
      <c r="F394" s="8">
        <f t="shared" si="66"/>
        <v>2024</v>
      </c>
      <c r="G394" s="1" t="str">
        <f t="shared" si="67"/>
        <v>August</v>
      </c>
      <c r="H394" s="1" t="str">
        <f t="shared" si="68"/>
        <v>Wednesday</v>
      </c>
      <c r="I394" s="2">
        <v>0.85591435185185183</v>
      </c>
      <c r="J394" s="8">
        <f t="shared" si="69"/>
        <v>20</v>
      </c>
      <c r="K394" s="8">
        <f t="shared" si="70"/>
        <v>32</v>
      </c>
      <c r="L394" t="s">
        <v>15</v>
      </c>
      <c r="M394" t="s">
        <v>16</v>
      </c>
      <c r="N394">
        <v>6</v>
      </c>
      <c r="O394" s="14">
        <v>868.89</v>
      </c>
      <c r="P394">
        <f>VLOOKUP(L394,'Product-cost'!A:B,2,FALSE)</f>
        <v>600</v>
      </c>
      <c r="Q394" t="s">
        <v>32</v>
      </c>
      <c r="R394" t="s">
        <v>84</v>
      </c>
      <c r="S394" t="s">
        <v>41</v>
      </c>
      <c r="T394" t="s">
        <v>893</v>
      </c>
      <c r="U394" s="14">
        <f t="shared" si="71"/>
        <v>5213.34</v>
      </c>
      <c r="V394" s="14">
        <f t="shared" si="72"/>
        <v>3600</v>
      </c>
      <c r="W394" s="10">
        <f>VLOOKUP(Q394,Taxrate!A:B,2,FALSE)</f>
        <v>0.2</v>
      </c>
      <c r="X394" s="14">
        <f t="shared" si="73"/>
        <v>1042.6680000000001</v>
      </c>
      <c r="Y394" s="10">
        <f>VLOOKUP(L394,'Discount Rate'!A:B,2,FALSE)</f>
        <v>0.05</v>
      </c>
      <c r="Z394" s="14">
        <f t="shared" si="74"/>
        <v>260.66700000000003</v>
      </c>
      <c r="AA394" s="14">
        <f t="shared" si="75"/>
        <v>3910.0050000000006</v>
      </c>
      <c r="AB394" s="14">
        <f t="shared" si="76"/>
        <v>310.00500000000056</v>
      </c>
    </row>
    <row r="395" spans="1:28" x14ac:dyDescent="0.25">
      <c r="A395" t="s">
        <v>809</v>
      </c>
      <c r="B395" t="s">
        <v>738</v>
      </c>
      <c r="C395" t="s">
        <v>66</v>
      </c>
      <c r="D395" t="s">
        <v>67</v>
      </c>
      <c r="E395" s="1">
        <v>45659</v>
      </c>
      <c r="F395" s="8">
        <f t="shared" si="66"/>
        <v>2025</v>
      </c>
      <c r="G395" s="1" t="str">
        <f t="shared" si="67"/>
        <v>January</v>
      </c>
      <c r="H395" s="1" t="str">
        <f t="shared" si="68"/>
        <v>Thursday</v>
      </c>
      <c r="I395" s="2">
        <v>0.56993055555555561</v>
      </c>
      <c r="J395" s="8">
        <f t="shared" si="69"/>
        <v>13</v>
      </c>
      <c r="K395" s="8">
        <f t="shared" si="70"/>
        <v>40</v>
      </c>
      <c r="L395" t="s">
        <v>23</v>
      </c>
      <c r="M395" t="s">
        <v>24</v>
      </c>
      <c r="N395">
        <v>13</v>
      </c>
      <c r="O395" s="14">
        <v>716.16</v>
      </c>
      <c r="P395">
        <f>VLOOKUP(L395,'Product-cost'!A:B,2,FALSE)</f>
        <v>300</v>
      </c>
      <c r="Q395" t="s">
        <v>32</v>
      </c>
      <c r="R395" t="s">
        <v>68</v>
      </c>
      <c r="S395" t="s">
        <v>88</v>
      </c>
      <c r="T395" t="s">
        <v>893</v>
      </c>
      <c r="U395" s="14">
        <f t="shared" si="71"/>
        <v>9310.08</v>
      </c>
      <c r="V395" s="14">
        <f t="shared" si="72"/>
        <v>3900</v>
      </c>
      <c r="W395" s="10">
        <f>VLOOKUP(Q395,Taxrate!A:B,2,FALSE)</f>
        <v>0.2</v>
      </c>
      <c r="X395" s="14">
        <f t="shared" si="73"/>
        <v>1862.0160000000001</v>
      </c>
      <c r="Y395" s="10">
        <f>VLOOKUP(L395,'Discount Rate'!A:B,2,FALSE)</f>
        <v>0.1</v>
      </c>
      <c r="Z395" s="14">
        <f t="shared" si="74"/>
        <v>931.00800000000004</v>
      </c>
      <c r="AA395" s="14">
        <f t="shared" si="75"/>
        <v>6517.0560000000005</v>
      </c>
      <c r="AB395" s="14">
        <f t="shared" si="76"/>
        <v>2617.0560000000005</v>
      </c>
    </row>
    <row r="396" spans="1:28" x14ac:dyDescent="0.25">
      <c r="A396" t="s">
        <v>810</v>
      </c>
      <c r="B396" t="s">
        <v>811</v>
      </c>
      <c r="C396" t="s">
        <v>139</v>
      </c>
      <c r="D396" t="s">
        <v>22</v>
      </c>
      <c r="E396" s="1">
        <v>44947</v>
      </c>
      <c r="F396" s="8">
        <f t="shared" si="66"/>
        <v>2023</v>
      </c>
      <c r="G396" s="1" t="str">
        <f t="shared" si="67"/>
        <v>January</v>
      </c>
      <c r="H396" s="1" t="str">
        <f t="shared" si="68"/>
        <v>Saturday</v>
      </c>
      <c r="I396" s="2">
        <v>0.38981481481481484</v>
      </c>
      <c r="J396" s="8">
        <f t="shared" si="69"/>
        <v>9</v>
      </c>
      <c r="K396" s="8">
        <f t="shared" si="70"/>
        <v>21</v>
      </c>
      <c r="L396" t="s">
        <v>73</v>
      </c>
      <c r="M396" t="s">
        <v>74</v>
      </c>
      <c r="N396">
        <v>3</v>
      </c>
      <c r="O396" s="14">
        <v>149.49</v>
      </c>
      <c r="P396">
        <f>VLOOKUP(L396,'Product-cost'!A:B,2,FALSE)</f>
        <v>50</v>
      </c>
      <c r="Q396" t="s">
        <v>51</v>
      </c>
      <c r="R396" t="s">
        <v>143</v>
      </c>
      <c r="S396" t="s">
        <v>152</v>
      </c>
      <c r="T396" t="s">
        <v>893</v>
      </c>
      <c r="U396" s="14">
        <f t="shared" si="71"/>
        <v>448.47</v>
      </c>
      <c r="V396" s="14">
        <f t="shared" si="72"/>
        <v>150</v>
      </c>
      <c r="W396" s="10">
        <f>VLOOKUP(Q396,Taxrate!A:B,2,FALSE)</f>
        <v>7.0000000000000007E-2</v>
      </c>
      <c r="X396" s="14">
        <f t="shared" si="73"/>
        <v>31.392900000000004</v>
      </c>
      <c r="Y396" s="10">
        <f>VLOOKUP(L396,'Discount Rate'!A:B,2,FALSE)</f>
        <v>0.03</v>
      </c>
      <c r="Z396" s="14">
        <f t="shared" si="74"/>
        <v>13.4541</v>
      </c>
      <c r="AA396" s="14">
        <f t="shared" si="75"/>
        <v>403.62300000000005</v>
      </c>
      <c r="AB396" s="14">
        <f t="shared" si="76"/>
        <v>253.62300000000005</v>
      </c>
    </row>
    <row r="397" spans="1:28" x14ac:dyDescent="0.25">
      <c r="A397" t="s">
        <v>812</v>
      </c>
      <c r="B397" t="s">
        <v>813</v>
      </c>
      <c r="C397" t="s">
        <v>126</v>
      </c>
      <c r="D397" t="s">
        <v>22</v>
      </c>
      <c r="E397" s="1">
        <v>45874</v>
      </c>
      <c r="F397" s="8">
        <f t="shared" si="66"/>
        <v>2025</v>
      </c>
      <c r="G397" s="1" t="str">
        <f t="shared" si="67"/>
        <v>August</v>
      </c>
      <c r="H397" s="1" t="str">
        <f t="shared" si="68"/>
        <v>Tuesday</v>
      </c>
      <c r="I397" s="2">
        <v>0.78096064814814814</v>
      </c>
      <c r="J397" s="8">
        <f t="shared" si="69"/>
        <v>18</v>
      </c>
      <c r="K397" s="8">
        <f t="shared" si="70"/>
        <v>44</v>
      </c>
      <c r="L397" t="s">
        <v>30</v>
      </c>
      <c r="M397" t="s">
        <v>31</v>
      </c>
      <c r="N397">
        <v>6</v>
      </c>
      <c r="O397" s="14">
        <v>321.58</v>
      </c>
      <c r="P397">
        <f>VLOOKUP(L397,'Product-cost'!A:B,2,FALSE)</f>
        <v>200</v>
      </c>
      <c r="Q397" t="s">
        <v>25</v>
      </c>
      <c r="R397" t="s">
        <v>52</v>
      </c>
      <c r="S397" t="s">
        <v>132</v>
      </c>
      <c r="T397" t="s">
        <v>893</v>
      </c>
      <c r="U397" s="14">
        <f t="shared" si="71"/>
        <v>1929.48</v>
      </c>
      <c r="V397" s="14">
        <f t="shared" si="72"/>
        <v>1200</v>
      </c>
      <c r="W397" s="10">
        <f>VLOOKUP(Q397,Taxrate!A:B,2,FALSE)</f>
        <v>0.1</v>
      </c>
      <c r="X397" s="14">
        <f t="shared" si="73"/>
        <v>192.94800000000001</v>
      </c>
      <c r="Y397" s="10">
        <f>VLOOKUP(L397,'Discount Rate'!A:B,2,FALSE)</f>
        <v>0.08</v>
      </c>
      <c r="Z397" s="14">
        <f t="shared" si="74"/>
        <v>154.35840000000002</v>
      </c>
      <c r="AA397" s="14">
        <f t="shared" si="75"/>
        <v>1582.1735999999999</v>
      </c>
      <c r="AB397" s="14">
        <f t="shared" si="76"/>
        <v>382.17359999999985</v>
      </c>
    </row>
    <row r="398" spans="1:28" x14ac:dyDescent="0.25">
      <c r="A398" t="s">
        <v>814</v>
      </c>
      <c r="B398" t="s">
        <v>576</v>
      </c>
      <c r="C398" t="s">
        <v>91</v>
      </c>
      <c r="D398" t="s">
        <v>92</v>
      </c>
      <c r="E398" s="1">
        <v>45832</v>
      </c>
      <c r="F398" s="8">
        <f t="shared" si="66"/>
        <v>2025</v>
      </c>
      <c r="G398" s="1" t="str">
        <f t="shared" si="67"/>
        <v>June</v>
      </c>
      <c r="H398" s="1" t="str">
        <f t="shared" si="68"/>
        <v>Tuesday</v>
      </c>
      <c r="I398" s="2">
        <v>0.86853009259259262</v>
      </c>
      <c r="J398" s="8">
        <f t="shared" si="69"/>
        <v>20</v>
      </c>
      <c r="K398" s="8">
        <f t="shared" si="70"/>
        <v>50</v>
      </c>
      <c r="L398" t="s">
        <v>73</v>
      </c>
      <c r="M398" t="s">
        <v>74</v>
      </c>
      <c r="N398">
        <v>15</v>
      </c>
      <c r="O398" s="14">
        <v>122.77</v>
      </c>
      <c r="P398">
        <f>VLOOKUP(L398,'Product-cost'!A:B,2,FALSE)</f>
        <v>50</v>
      </c>
      <c r="Q398" t="s">
        <v>25</v>
      </c>
      <c r="R398" t="s">
        <v>93</v>
      </c>
      <c r="S398" t="s">
        <v>158</v>
      </c>
      <c r="T398" t="s">
        <v>893</v>
      </c>
      <c r="U398" s="14">
        <f t="shared" si="71"/>
        <v>1841.55</v>
      </c>
      <c r="V398" s="14">
        <f t="shared" si="72"/>
        <v>750</v>
      </c>
      <c r="W398" s="10">
        <f>VLOOKUP(Q398,Taxrate!A:B,2,FALSE)</f>
        <v>0.1</v>
      </c>
      <c r="X398" s="14">
        <f t="shared" si="73"/>
        <v>184.155</v>
      </c>
      <c r="Y398" s="10">
        <f>VLOOKUP(L398,'Discount Rate'!A:B,2,FALSE)</f>
        <v>0.03</v>
      </c>
      <c r="Z398" s="14">
        <f t="shared" si="74"/>
        <v>55.246499999999997</v>
      </c>
      <c r="AA398" s="14">
        <f t="shared" si="75"/>
        <v>1602.1485</v>
      </c>
      <c r="AB398" s="14">
        <f t="shared" si="76"/>
        <v>852.14850000000001</v>
      </c>
    </row>
    <row r="399" spans="1:28" x14ac:dyDescent="0.25">
      <c r="A399" t="s">
        <v>815</v>
      </c>
      <c r="B399" t="s">
        <v>353</v>
      </c>
      <c r="C399" t="s">
        <v>118</v>
      </c>
      <c r="D399" t="s">
        <v>59</v>
      </c>
      <c r="E399" s="1">
        <v>46228</v>
      </c>
      <c r="F399" s="8">
        <f t="shared" si="66"/>
        <v>2026</v>
      </c>
      <c r="G399" s="1" t="str">
        <f t="shared" si="67"/>
        <v>July</v>
      </c>
      <c r="H399" s="1" t="str">
        <f t="shared" si="68"/>
        <v>Saturday</v>
      </c>
      <c r="I399" s="2">
        <v>0.33467592592592593</v>
      </c>
      <c r="J399" s="8">
        <f t="shared" si="69"/>
        <v>8</v>
      </c>
      <c r="K399" s="8">
        <f t="shared" si="70"/>
        <v>1</v>
      </c>
      <c r="L399" t="s">
        <v>46</v>
      </c>
      <c r="M399" t="s">
        <v>47</v>
      </c>
      <c r="N399">
        <v>4</v>
      </c>
      <c r="O399" s="14">
        <v>209.43</v>
      </c>
      <c r="P399">
        <f>VLOOKUP(L399,'Product-cost'!A:B,2,FALSE)</f>
        <v>150</v>
      </c>
      <c r="Q399" t="s">
        <v>39</v>
      </c>
      <c r="R399" t="s">
        <v>60</v>
      </c>
      <c r="S399" t="s">
        <v>27</v>
      </c>
      <c r="T399" t="s">
        <v>893</v>
      </c>
      <c r="U399" s="14">
        <f t="shared" si="71"/>
        <v>837.72</v>
      </c>
      <c r="V399" s="14">
        <f t="shared" si="72"/>
        <v>600</v>
      </c>
      <c r="W399" s="10">
        <f>VLOOKUP(Q399,Taxrate!A:B,2,FALSE)</f>
        <v>0.15</v>
      </c>
      <c r="X399" s="14">
        <f t="shared" si="73"/>
        <v>125.658</v>
      </c>
      <c r="Y399" s="10">
        <f>VLOOKUP(L399,'Discount Rate'!A:B,2,FALSE)</f>
        <v>7.0000000000000007E-2</v>
      </c>
      <c r="Z399" s="14">
        <f t="shared" si="74"/>
        <v>58.640400000000007</v>
      </c>
      <c r="AA399" s="14">
        <f t="shared" si="75"/>
        <v>653.42160000000001</v>
      </c>
      <c r="AB399" s="14">
        <f t="shared" si="76"/>
        <v>53.421600000000012</v>
      </c>
    </row>
    <row r="400" spans="1:28" x14ac:dyDescent="0.25">
      <c r="A400" t="s">
        <v>816</v>
      </c>
      <c r="B400" t="s">
        <v>817</v>
      </c>
      <c r="C400" t="s">
        <v>13</v>
      </c>
      <c r="D400" t="s">
        <v>14</v>
      </c>
      <c r="E400" s="1">
        <v>45331</v>
      </c>
      <c r="F400" s="8">
        <f t="shared" si="66"/>
        <v>2024</v>
      </c>
      <c r="G400" s="1" t="str">
        <f t="shared" si="67"/>
        <v>February</v>
      </c>
      <c r="H400" s="1" t="str">
        <f t="shared" si="68"/>
        <v>Friday</v>
      </c>
      <c r="I400" s="2">
        <v>0.63975694444444442</v>
      </c>
      <c r="J400" s="8">
        <f t="shared" si="69"/>
        <v>15</v>
      </c>
      <c r="K400" s="8">
        <f t="shared" si="70"/>
        <v>21</v>
      </c>
      <c r="L400" t="s">
        <v>46</v>
      </c>
      <c r="M400" t="s">
        <v>47</v>
      </c>
      <c r="N400">
        <v>15</v>
      </c>
      <c r="O400" s="14">
        <v>249.21</v>
      </c>
      <c r="P400">
        <f>VLOOKUP(L400,'Product-cost'!A:B,2,FALSE)</f>
        <v>150</v>
      </c>
      <c r="Q400" t="s">
        <v>55</v>
      </c>
      <c r="R400" t="s">
        <v>33</v>
      </c>
      <c r="S400" t="s">
        <v>102</v>
      </c>
      <c r="T400" t="s">
        <v>895</v>
      </c>
      <c r="U400" s="14">
        <f t="shared" si="71"/>
        <v>3738.15</v>
      </c>
      <c r="V400" s="14">
        <f t="shared" si="72"/>
        <v>2250</v>
      </c>
      <c r="W400" s="10">
        <f>VLOOKUP(Q400,Taxrate!A:B,2,FALSE)</f>
        <v>0.12</v>
      </c>
      <c r="X400" s="14">
        <f t="shared" si="73"/>
        <v>448.57799999999997</v>
      </c>
      <c r="Y400" s="10">
        <f>VLOOKUP(L400,'Discount Rate'!A:B,2,FALSE)</f>
        <v>7.0000000000000007E-2</v>
      </c>
      <c r="Z400" s="14">
        <f t="shared" si="74"/>
        <v>261.6705</v>
      </c>
      <c r="AA400" s="14">
        <f t="shared" si="75"/>
        <v>3027.9014999999999</v>
      </c>
      <c r="AB400" s="14">
        <f t="shared" si="76"/>
        <v>777.90149999999994</v>
      </c>
    </row>
    <row r="401" spans="1:28" x14ac:dyDescent="0.25">
      <c r="A401" t="s">
        <v>818</v>
      </c>
      <c r="B401" t="s">
        <v>197</v>
      </c>
      <c r="C401" t="s">
        <v>126</v>
      </c>
      <c r="D401" t="s">
        <v>22</v>
      </c>
      <c r="E401" s="1">
        <v>45901</v>
      </c>
      <c r="F401" s="8">
        <f t="shared" si="66"/>
        <v>2025</v>
      </c>
      <c r="G401" s="1" t="str">
        <f t="shared" si="67"/>
        <v>September</v>
      </c>
      <c r="H401" s="1" t="str">
        <f t="shared" si="68"/>
        <v>Monday</v>
      </c>
      <c r="I401" s="2">
        <v>0.38177083333333334</v>
      </c>
      <c r="J401" s="8">
        <f t="shared" si="69"/>
        <v>9</v>
      </c>
      <c r="K401" s="8">
        <f t="shared" si="70"/>
        <v>9</v>
      </c>
      <c r="L401" t="s">
        <v>73</v>
      </c>
      <c r="M401" t="s">
        <v>74</v>
      </c>
      <c r="N401">
        <v>2</v>
      </c>
      <c r="O401" s="14">
        <v>500</v>
      </c>
      <c r="P401">
        <f>VLOOKUP(L401,'Product-cost'!A:B,2,FALSE)</f>
        <v>50</v>
      </c>
      <c r="Q401" t="s">
        <v>39</v>
      </c>
      <c r="R401" t="s">
        <v>26</v>
      </c>
      <c r="S401" t="s">
        <v>27</v>
      </c>
      <c r="T401" t="s">
        <v>893</v>
      </c>
      <c r="U401" s="14">
        <f t="shared" si="71"/>
        <v>1000</v>
      </c>
      <c r="V401" s="14">
        <f t="shared" si="72"/>
        <v>100</v>
      </c>
      <c r="W401" s="10">
        <f>VLOOKUP(Q401,Taxrate!A:B,2,FALSE)</f>
        <v>0.15</v>
      </c>
      <c r="X401" s="14">
        <f t="shared" si="73"/>
        <v>150</v>
      </c>
      <c r="Y401" s="10">
        <f>VLOOKUP(L401,'Discount Rate'!A:B,2,FALSE)</f>
        <v>0.03</v>
      </c>
      <c r="Z401" s="14">
        <f t="shared" si="74"/>
        <v>30</v>
      </c>
      <c r="AA401" s="14">
        <f t="shared" si="75"/>
        <v>820</v>
      </c>
      <c r="AB401" s="14">
        <f t="shared" si="76"/>
        <v>720</v>
      </c>
    </row>
    <row r="402" spans="1:28" x14ac:dyDescent="0.25">
      <c r="A402" t="s">
        <v>819</v>
      </c>
      <c r="B402" t="s">
        <v>820</v>
      </c>
      <c r="C402" t="s">
        <v>155</v>
      </c>
      <c r="D402" t="s">
        <v>156</v>
      </c>
      <c r="E402" s="1">
        <v>46330</v>
      </c>
      <c r="F402" s="8">
        <f t="shared" si="66"/>
        <v>2026</v>
      </c>
      <c r="G402" s="1" t="str">
        <f t="shared" si="67"/>
        <v>November</v>
      </c>
      <c r="H402" s="1" t="str">
        <f t="shared" si="68"/>
        <v>Wednesday</v>
      </c>
      <c r="I402" s="2">
        <v>0.76907407407407402</v>
      </c>
      <c r="J402" s="8">
        <f t="shared" si="69"/>
        <v>18</v>
      </c>
      <c r="K402" s="8">
        <f t="shared" si="70"/>
        <v>27</v>
      </c>
      <c r="L402" t="s">
        <v>73</v>
      </c>
      <c r="M402" t="s">
        <v>74</v>
      </c>
      <c r="N402">
        <v>7</v>
      </c>
      <c r="O402" s="14">
        <v>130.83000000000001</v>
      </c>
      <c r="P402">
        <f>VLOOKUP(L402,'Product-cost'!A:B,2,FALSE)</f>
        <v>50</v>
      </c>
      <c r="Q402" t="s">
        <v>32</v>
      </c>
      <c r="R402" t="s">
        <v>157</v>
      </c>
      <c r="S402" t="s">
        <v>158</v>
      </c>
      <c r="T402" t="s">
        <v>893</v>
      </c>
      <c r="U402" s="14">
        <f t="shared" si="71"/>
        <v>915.81000000000006</v>
      </c>
      <c r="V402" s="14">
        <f t="shared" si="72"/>
        <v>350</v>
      </c>
      <c r="W402" s="10">
        <f>VLOOKUP(Q402,Taxrate!A:B,2,FALSE)</f>
        <v>0.2</v>
      </c>
      <c r="X402" s="14">
        <f t="shared" si="73"/>
        <v>183.16200000000003</v>
      </c>
      <c r="Y402" s="10">
        <f>VLOOKUP(L402,'Discount Rate'!A:B,2,FALSE)</f>
        <v>0.03</v>
      </c>
      <c r="Z402" s="14">
        <f t="shared" si="74"/>
        <v>27.474299999999999</v>
      </c>
      <c r="AA402" s="14">
        <f t="shared" si="75"/>
        <v>705.17370000000005</v>
      </c>
      <c r="AB402" s="14">
        <f t="shared" si="76"/>
        <v>355.17370000000005</v>
      </c>
    </row>
    <row r="403" spans="1:28" x14ac:dyDescent="0.25">
      <c r="A403" t="s">
        <v>821</v>
      </c>
      <c r="B403" t="s">
        <v>822</v>
      </c>
      <c r="C403" t="s">
        <v>44</v>
      </c>
      <c r="D403" t="s">
        <v>45</v>
      </c>
      <c r="E403" s="1">
        <v>45248</v>
      </c>
      <c r="F403" s="8">
        <f t="shared" si="66"/>
        <v>2023</v>
      </c>
      <c r="G403" s="1" t="str">
        <f t="shared" si="67"/>
        <v>November</v>
      </c>
      <c r="H403" s="1" t="str">
        <f t="shared" si="68"/>
        <v>Saturday</v>
      </c>
      <c r="I403" s="2">
        <v>0.40201388888888889</v>
      </c>
      <c r="J403" s="8">
        <f t="shared" si="69"/>
        <v>9</v>
      </c>
      <c r="K403" s="8">
        <f t="shared" si="70"/>
        <v>38</v>
      </c>
      <c r="L403" t="s">
        <v>73</v>
      </c>
      <c r="M403" t="s">
        <v>74</v>
      </c>
      <c r="N403">
        <v>6</v>
      </c>
      <c r="O403" s="14">
        <v>123.02</v>
      </c>
      <c r="P403">
        <f>VLOOKUP(L403,'Product-cost'!A:B,2,FALSE)</f>
        <v>50</v>
      </c>
      <c r="Q403" t="s">
        <v>32</v>
      </c>
      <c r="R403" t="s">
        <v>87</v>
      </c>
      <c r="T403" t="s">
        <v>895</v>
      </c>
      <c r="U403" s="14">
        <f t="shared" si="71"/>
        <v>738.12</v>
      </c>
      <c r="V403" s="14">
        <f t="shared" si="72"/>
        <v>300</v>
      </c>
      <c r="W403" s="10">
        <f>VLOOKUP(Q403,Taxrate!A:B,2,FALSE)</f>
        <v>0.2</v>
      </c>
      <c r="X403" s="14">
        <f t="shared" si="73"/>
        <v>147.624</v>
      </c>
      <c r="Y403" s="10">
        <f>VLOOKUP(L403,'Discount Rate'!A:B,2,FALSE)</f>
        <v>0.03</v>
      </c>
      <c r="Z403" s="14">
        <f t="shared" si="74"/>
        <v>22.143599999999999</v>
      </c>
      <c r="AA403" s="14">
        <f t="shared" si="75"/>
        <v>568.35239999999999</v>
      </c>
      <c r="AB403" s="14">
        <f t="shared" si="76"/>
        <v>268.35239999999999</v>
      </c>
    </row>
    <row r="404" spans="1:28" x14ac:dyDescent="0.25">
      <c r="A404" t="s">
        <v>823</v>
      </c>
      <c r="B404" t="s">
        <v>377</v>
      </c>
      <c r="C404" t="s">
        <v>99</v>
      </c>
      <c r="D404" t="s">
        <v>100</v>
      </c>
      <c r="E404" s="1">
        <v>45551</v>
      </c>
      <c r="F404" s="8">
        <f t="shared" si="66"/>
        <v>2024</v>
      </c>
      <c r="G404" s="1" t="str">
        <f t="shared" si="67"/>
        <v>September</v>
      </c>
      <c r="H404" s="1" t="str">
        <f t="shared" si="68"/>
        <v>Monday</v>
      </c>
      <c r="I404" s="2">
        <v>0.46657407407407409</v>
      </c>
      <c r="J404" s="8">
        <f t="shared" si="69"/>
        <v>11</v>
      </c>
      <c r="K404" s="8">
        <f t="shared" si="70"/>
        <v>11</v>
      </c>
      <c r="L404" t="s">
        <v>73</v>
      </c>
      <c r="M404" t="s">
        <v>74</v>
      </c>
      <c r="N404">
        <v>7</v>
      </c>
      <c r="O404" s="14">
        <v>125.07</v>
      </c>
      <c r="P404">
        <f>VLOOKUP(L404,'Product-cost'!A:B,2,FALSE)</f>
        <v>50</v>
      </c>
      <c r="Q404" t="s">
        <v>51</v>
      </c>
      <c r="R404" t="s">
        <v>105</v>
      </c>
      <c r="S404" t="s">
        <v>123</v>
      </c>
      <c r="T404" t="s">
        <v>893</v>
      </c>
      <c r="U404" s="14">
        <f t="shared" si="71"/>
        <v>875.49</v>
      </c>
      <c r="V404" s="14">
        <f t="shared" si="72"/>
        <v>350</v>
      </c>
      <c r="W404" s="10">
        <f>VLOOKUP(Q404,Taxrate!A:B,2,FALSE)</f>
        <v>7.0000000000000007E-2</v>
      </c>
      <c r="X404" s="14">
        <f t="shared" si="73"/>
        <v>61.284300000000009</v>
      </c>
      <c r="Y404" s="10">
        <f>VLOOKUP(L404,'Discount Rate'!A:B,2,FALSE)</f>
        <v>0.03</v>
      </c>
      <c r="Z404" s="14">
        <f t="shared" si="74"/>
        <v>26.264699999999998</v>
      </c>
      <c r="AA404" s="14">
        <f t="shared" si="75"/>
        <v>787.94100000000003</v>
      </c>
      <c r="AB404" s="14">
        <f t="shared" si="76"/>
        <v>437.94100000000003</v>
      </c>
    </row>
    <row r="405" spans="1:28" x14ac:dyDescent="0.25">
      <c r="A405" t="s">
        <v>824</v>
      </c>
      <c r="B405" t="s">
        <v>825</v>
      </c>
      <c r="C405" t="s">
        <v>129</v>
      </c>
      <c r="D405" t="s">
        <v>22</v>
      </c>
      <c r="E405" s="1">
        <v>45960</v>
      </c>
      <c r="F405" s="8">
        <f t="shared" si="66"/>
        <v>2025</v>
      </c>
      <c r="G405" s="1" t="str">
        <f t="shared" si="67"/>
        <v>October</v>
      </c>
      <c r="H405" s="1" t="str">
        <f t="shared" si="68"/>
        <v>Thursday</v>
      </c>
      <c r="I405" s="2">
        <v>0.85326388888888893</v>
      </c>
      <c r="J405" s="8">
        <f t="shared" si="69"/>
        <v>20</v>
      </c>
      <c r="K405" s="8">
        <f t="shared" si="70"/>
        <v>28</v>
      </c>
      <c r="L405" t="s">
        <v>73</v>
      </c>
      <c r="M405" t="s">
        <v>74</v>
      </c>
      <c r="N405">
        <v>12</v>
      </c>
      <c r="O405" s="14">
        <v>179.99</v>
      </c>
      <c r="P405">
        <f>VLOOKUP(L405,'Product-cost'!A:B,2,FALSE)</f>
        <v>50</v>
      </c>
      <c r="Q405" t="s">
        <v>55</v>
      </c>
      <c r="R405" t="s">
        <v>52</v>
      </c>
      <c r="S405" t="s">
        <v>152</v>
      </c>
      <c r="T405" t="s">
        <v>893</v>
      </c>
      <c r="U405" s="14">
        <f t="shared" si="71"/>
        <v>2159.88</v>
      </c>
      <c r="V405" s="14">
        <f t="shared" si="72"/>
        <v>600</v>
      </c>
      <c r="W405" s="10">
        <f>VLOOKUP(Q405,Taxrate!A:B,2,FALSE)</f>
        <v>0.12</v>
      </c>
      <c r="X405" s="14">
        <f t="shared" si="73"/>
        <v>259.18560000000002</v>
      </c>
      <c r="Y405" s="10">
        <f>VLOOKUP(L405,'Discount Rate'!A:B,2,FALSE)</f>
        <v>0.03</v>
      </c>
      <c r="Z405" s="14">
        <f t="shared" si="74"/>
        <v>64.796400000000006</v>
      </c>
      <c r="AA405" s="14">
        <f t="shared" si="75"/>
        <v>1835.8980000000001</v>
      </c>
      <c r="AB405" s="14">
        <f t="shared" si="76"/>
        <v>1235.8980000000001</v>
      </c>
    </row>
    <row r="406" spans="1:28" x14ac:dyDescent="0.25">
      <c r="A406" t="s">
        <v>826</v>
      </c>
      <c r="B406" t="s">
        <v>827</v>
      </c>
      <c r="C406" t="s">
        <v>66</v>
      </c>
      <c r="D406" t="s">
        <v>67</v>
      </c>
      <c r="E406" s="1">
        <v>46375</v>
      </c>
      <c r="F406" s="8">
        <f t="shared" si="66"/>
        <v>2026</v>
      </c>
      <c r="G406" s="1" t="str">
        <f t="shared" si="67"/>
        <v>December</v>
      </c>
      <c r="H406" s="1" t="str">
        <f t="shared" si="68"/>
        <v>Saturday</v>
      </c>
      <c r="I406" s="2">
        <v>0.73668981481481477</v>
      </c>
      <c r="J406" s="8">
        <f t="shared" si="69"/>
        <v>17</v>
      </c>
      <c r="K406" s="8">
        <f t="shared" si="70"/>
        <v>40</v>
      </c>
      <c r="L406" t="s">
        <v>30</v>
      </c>
      <c r="M406" t="s">
        <v>31</v>
      </c>
      <c r="N406">
        <v>2</v>
      </c>
      <c r="O406" s="14">
        <v>337.03</v>
      </c>
      <c r="P406">
        <f>VLOOKUP(L406,'Product-cost'!A:B,2,FALSE)</f>
        <v>200</v>
      </c>
      <c r="Q406" t="s">
        <v>55</v>
      </c>
      <c r="R406" t="s">
        <v>173</v>
      </c>
      <c r="S406" t="s">
        <v>158</v>
      </c>
      <c r="T406" t="s">
        <v>893</v>
      </c>
      <c r="U406" s="14">
        <f t="shared" si="71"/>
        <v>674.06</v>
      </c>
      <c r="V406" s="14">
        <f t="shared" si="72"/>
        <v>400</v>
      </c>
      <c r="W406" s="10">
        <f>VLOOKUP(Q406,Taxrate!A:B,2,FALSE)</f>
        <v>0.12</v>
      </c>
      <c r="X406" s="14">
        <f t="shared" si="73"/>
        <v>80.887199999999993</v>
      </c>
      <c r="Y406" s="10">
        <f>VLOOKUP(L406,'Discount Rate'!A:B,2,FALSE)</f>
        <v>0.08</v>
      </c>
      <c r="Z406" s="14">
        <f t="shared" si="74"/>
        <v>53.924799999999998</v>
      </c>
      <c r="AA406" s="14">
        <f t="shared" si="75"/>
        <v>539.24799999999993</v>
      </c>
      <c r="AB406" s="14">
        <f t="shared" si="76"/>
        <v>139.24799999999993</v>
      </c>
    </row>
    <row r="407" spans="1:28" x14ac:dyDescent="0.25">
      <c r="A407" t="s">
        <v>828</v>
      </c>
      <c r="B407" t="s">
        <v>829</v>
      </c>
      <c r="C407" t="s">
        <v>63</v>
      </c>
      <c r="D407" t="s">
        <v>14</v>
      </c>
      <c r="E407" s="1">
        <v>45140</v>
      </c>
      <c r="F407" s="8">
        <f t="shared" si="66"/>
        <v>2023</v>
      </c>
      <c r="G407" s="1" t="str">
        <f t="shared" si="67"/>
        <v>August</v>
      </c>
      <c r="H407" s="1" t="str">
        <f t="shared" si="68"/>
        <v>Wednesday</v>
      </c>
      <c r="I407" s="2">
        <v>0.84253472222222225</v>
      </c>
      <c r="J407" s="8">
        <f t="shared" si="69"/>
        <v>20</v>
      </c>
      <c r="K407" s="8">
        <f t="shared" si="70"/>
        <v>13</v>
      </c>
      <c r="L407" t="s">
        <v>46</v>
      </c>
      <c r="M407" t="s">
        <v>47</v>
      </c>
      <c r="N407">
        <v>13</v>
      </c>
      <c r="O407" s="14">
        <v>211.25</v>
      </c>
      <c r="P407">
        <f>VLOOKUP(L407,'Product-cost'!A:B,2,FALSE)</f>
        <v>150</v>
      </c>
      <c r="Q407" t="s">
        <v>55</v>
      </c>
      <c r="R407" t="s">
        <v>33</v>
      </c>
      <c r="S407" t="s">
        <v>213</v>
      </c>
      <c r="T407" t="s">
        <v>894</v>
      </c>
      <c r="U407" s="14">
        <f t="shared" si="71"/>
        <v>2746.25</v>
      </c>
      <c r="V407" s="14">
        <f t="shared" si="72"/>
        <v>1950</v>
      </c>
      <c r="W407" s="10">
        <f>VLOOKUP(Q407,Taxrate!A:B,2,FALSE)</f>
        <v>0.12</v>
      </c>
      <c r="X407" s="14">
        <f t="shared" si="73"/>
        <v>329.55</v>
      </c>
      <c r="Y407" s="10">
        <f>VLOOKUP(L407,'Discount Rate'!A:B,2,FALSE)</f>
        <v>7.0000000000000007E-2</v>
      </c>
      <c r="Z407" s="14">
        <f t="shared" si="74"/>
        <v>192.23750000000001</v>
      </c>
      <c r="AA407" s="14">
        <f t="shared" si="75"/>
        <v>2224.4624999999996</v>
      </c>
      <c r="AB407" s="14">
        <f t="shared" si="76"/>
        <v>274.46249999999964</v>
      </c>
    </row>
    <row r="408" spans="1:28" x14ac:dyDescent="0.25">
      <c r="A408" t="s">
        <v>830</v>
      </c>
      <c r="B408" t="s">
        <v>831</v>
      </c>
      <c r="C408" t="s">
        <v>187</v>
      </c>
      <c r="D408" t="s">
        <v>156</v>
      </c>
      <c r="E408" s="1">
        <v>45161</v>
      </c>
      <c r="F408" s="8">
        <f t="shared" si="66"/>
        <v>2023</v>
      </c>
      <c r="G408" s="1" t="str">
        <f t="shared" si="67"/>
        <v>August</v>
      </c>
      <c r="H408" s="1" t="str">
        <f t="shared" si="68"/>
        <v>Wednesday</v>
      </c>
      <c r="I408" s="2">
        <v>0.67381944444444442</v>
      </c>
      <c r="J408" s="8">
        <f t="shared" si="69"/>
        <v>16</v>
      </c>
      <c r="K408" s="8">
        <f t="shared" si="70"/>
        <v>10</v>
      </c>
      <c r="L408" t="s">
        <v>23</v>
      </c>
      <c r="M408" t="s">
        <v>24</v>
      </c>
      <c r="N408">
        <v>13</v>
      </c>
      <c r="O408" s="14">
        <v>500</v>
      </c>
      <c r="P408">
        <f>VLOOKUP(L408,'Product-cost'!A:B,2,FALSE)</f>
        <v>300</v>
      </c>
      <c r="Q408" t="s">
        <v>25</v>
      </c>
      <c r="R408" t="s">
        <v>252</v>
      </c>
      <c r="S408" t="s">
        <v>123</v>
      </c>
      <c r="T408" t="s">
        <v>893</v>
      </c>
      <c r="U408" s="14">
        <f t="shared" si="71"/>
        <v>6500</v>
      </c>
      <c r="V408" s="14">
        <f t="shared" si="72"/>
        <v>3900</v>
      </c>
      <c r="W408" s="10">
        <f>VLOOKUP(Q408,Taxrate!A:B,2,FALSE)</f>
        <v>0.1</v>
      </c>
      <c r="X408" s="14">
        <f t="shared" si="73"/>
        <v>650</v>
      </c>
      <c r="Y408" s="10">
        <f>VLOOKUP(L408,'Discount Rate'!A:B,2,FALSE)</f>
        <v>0.1</v>
      </c>
      <c r="Z408" s="14">
        <f t="shared" si="74"/>
        <v>650</v>
      </c>
      <c r="AA408" s="14">
        <f t="shared" si="75"/>
        <v>5200</v>
      </c>
      <c r="AB408" s="14">
        <f t="shared" si="76"/>
        <v>1300</v>
      </c>
    </row>
    <row r="409" spans="1:28" x14ac:dyDescent="0.25">
      <c r="A409" t="s">
        <v>832</v>
      </c>
      <c r="B409" t="s">
        <v>582</v>
      </c>
      <c r="C409" t="s">
        <v>83</v>
      </c>
      <c r="D409" t="s">
        <v>38</v>
      </c>
      <c r="E409" s="1">
        <v>45772</v>
      </c>
      <c r="F409" s="8">
        <f t="shared" si="66"/>
        <v>2025</v>
      </c>
      <c r="G409" s="1" t="str">
        <f t="shared" si="67"/>
        <v>April</v>
      </c>
      <c r="H409" s="1" t="str">
        <f t="shared" si="68"/>
        <v>Friday</v>
      </c>
      <c r="I409" s="2">
        <v>0.51726851851851852</v>
      </c>
      <c r="J409" s="8">
        <f t="shared" si="69"/>
        <v>12</v>
      </c>
      <c r="K409" s="8">
        <f t="shared" si="70"/>
        <v>24</v>
      </c>
      <c r="L409" t="s">
        <v>15</v>
      </c>
      <c r="M409" t="s">
        <v>16</v>
      </c>
      <c r="N409">
        <v>7</v>
      </c>
      <c r="O409" s="14">
        <v>1098.5</v>
      </c>
      <c r="P409">
        <f>VLOOKUP(L409,'Product-cost'!A:B,2,FALSE)</f>
        <v>600</v>
      </c>
      <c r="Q409" t="s">
        <v>32</v>
      </c>
      <c r="R409" t="s">
        <v>84</v>
      </c>
      <c r="S409" t="s">
        <v>34</v>
      </c>
      <c r="T409" t="s">
        <v>893</v>
      </c>
      <c r="U409" s="14">
        <f t="shared" si="71"/>
        <v>7689.5</v>
      </c>
      <c r="V409" s="14">
        <f t="shared" si="72"/>
        <v>4200</v>
      </c>
      <c r="W409" s="10">
        <f>VLOOKUP(Q409,Taxrate!A:B,2,FALSE)</f>
        <v>0.2</v>
      </c>
      <c r="X409" s="14">
        <f t="shared" si="73"/>
        <v>1537.9</v>
      </c>
      <c r="Y409" s="10">
        <f>VLOOKUP(L409,'Discount Rate'!A:B,2,FALSE)</f>
        <v>0.05</v>
      </c>
      <c r="Z409" s="14">
        <f t="shared" si="74"/>
        <v>384.47500000000002</v>
      </c>
      <c r="AA409" s="14">
        <f t="shared" si="75"/>
        <v>5767.125</v>
      </c>
      <c r="AB409" s="14">
        <f t="shared" si="76"/>
        <v>1567.125</v>
      </c>
    </row>
    <row r="410" spans="1:28" x14ac:dyDescent="0.25">
      <c r="A410" t="s">
        <v>833</v>
      </c>
      <c r="B410" t="s">
        <v>834</v>
      </c>
      <c r="C410" t="s">
        <v>72</v>
      </c>
      <c r="D410" t="s">
        <v>59</v>
      </c>
      <c r="E410" s="1">
        <v>45761</v>
      </c>
      <c r="F410" s="8">
        <f t="shared" si="66"/>
        <v>2025</v>
      </c>
      <c r="G410" s="1" t="str">
        <f t="shared" si="67"/>
        <v>April</v>
      </c>
      <c r="H410" s="1" t="str">
        <f t="shared" si="68"/>
        <v>Monday</v>
      </c>
      <c r="I410" s="2">
        <v>0.34554398148148147</v>
      </c>
      <c r="J410" s="8">
        <f t="shared" si="69"/>
        <v>8</v>
      </c>
      <c r="K410" s="8">
        <f t="shared" si="70"/>
        <v>17</v>
      </c>
      <c r="L410" t="s">
        <v>46</v>
      </c>
      <c r="M410" t="s">
        <v>47</v>
      </c>
      <c r="N410">
        <v>4</v>
      </c>
      <c r="O410" s="14">
        <v>247.67</v>
      </c>
      <c r="P410">
        <f>VLOOKUP(L410,'Product-cost'!A:B,2,FALSE)</f>
        <v>150</v>
      </c>
      <c r="Q410" t="s">
        <v>32</v>
      </c>
      <c r="R410" t="s">
        <v>75</v>
      </c>
      <c r="S410" t="s">
        <v>158</v>
      </c>
      <c r="T410" t="s">
        <v>893</v>
      </c>
      <c r="U410" s="14">
        <f t="shared" si="71"/>
        <v>990.68</v>
      </c>
      <c r="V410" s="14">
        <f t="shared" si="72"/>
        <v>600</v>
      </c>
      <c r="W410" s="10">
        <f>VLOOKUP(Q410,Taxrate!A:B,2,FALSE)</f>
        <v>0.2</v>
      </c>
      <c r="X410" s="14">
        <f t="shared" si="73"/>
        <v>198.136</v>
      </c>
      <c r="Y410" s="10">
        <f>VLOOKUP(L410,'Discount Rate'!A:B,2,FALSE)</f>
        <v>7.0000000000000007E-2</v>
      </c>
      <c r="Z410" s="14">
        <f t="shared" si="74"/>
        <v>69.3476</v>
      </c>
      <c r="AA410" s="14">
        <f t="shared" si="75"/>
        <v>723.19640000000004</v>
      </c>
      <c r="AB410" s="14">
        <f t="shared" si="76"/>
        <v>123.19640000000004</v>
      </c>
    </row>
    <row r="411" spans="1:28" x14ac:dyDescent="0.25">
      <c r="A411" t="s">
        <v>835</v>
      </c>
      <c r="B411" t="s">
        <v>743</v>
      </c>
      <c r="C411" t="s">
        <v>21</v>
      </c>
      <c r="D411" t="s">
        <v>22</v>
      </c>
      <c r="E411" s="1">
        <v>46297</v>
      </c>
      <c r="F411" s="8">
        <f t="shared" si="66"/>
        <v>2026</v>
      </c>
      <c r="G411" s="1" t="str">
        <f t="shared" si="67"/>
        <v>October</v>
      </c>
      <c r="H411" s="1" t="str">
        <f t="shared" si="68"/>
        <v>Friday</v>
      </c>
      <c r="I411" s="2">
        <v>0.33393518518518517</v>
      </c>
      <c r="J411" s="8">
        <f t="shared" si="69"/>
        <v>8</v>
      </c>
      <c r="K411" s="8">
        <f t="shared" si="70"/>
        <v>0</v>
      </c>
      <c r="L411" t="s">
        <v>73</v>
      </c>
      <c r="M411" t="s">
        <v>74</v>
      </c>
      <c r="N411">
        <v>10</v>
      </c>
      <c r="O411" s="14">
        <v>192.91</v>
      </c>
      <c r="P411">
        <f>VLOOKUP(L411,'Product-cost'!A:B,2,FALSE)</f>
        <v>50</v>
      </c>
      <c r="Q411" t="s">
        <v>51</v>
      </c>
      <c r="R411" t="s">
        <v>26</v>
      </c>
      <c r="T411" t="s">
        <v>895</v>
      </c>
      <c r="U411" s="14">
        <f t="shared" si="71"/>
        <v>1929.1</v>
      </c>
      <c r="V411" s="14">
        <f t="shared" si="72"/>
        <v>500</v>
      </c>
      <c r="W411" s="10">
        <f>VLOOKUP(Q411,Taxrate!A:B,2,FALSE)</f>
        <v>7.0000000000000007E-2</v>
      </c>
      <c r="X411" s="14">
        <f t="shared" si="73"/>
        <v>135.03700000000001</v>
      </c>
      <c r="Y411" s="10">
        <f>VLOOKUP(L411,'Discount Rate'!A:B,2,FALSE)</f>
        <v>0.03</v>
      </c>
      <c r="Z411" s="14">
        <f t="shared" si="74"/>
        <v>57.872999999999998</v>
      </c>
      <c r="AA411" s="14">
        <f t="shared" si="75"/>
        <v>1736.1899999999998</v>
      </c>
      <c r="AB411" s="14">
        <f t="shared" si="76"/>
        <v>1236.1899999999998</v>
      </c>
    </row>
    <row r="412" spans="1:28" x14ac:dyDescent="0.25">
      <c r="A412" t="s">
        <v>836</v>
      </c>
      <c r="B412" t="s">
        <v>684</v>
      </c>
      <c r="C412" t="s">
        <v>178</v>
      </c>
      <c r="D412" t="s">
        <v>59</v>
      </c>
      <c r="E412" s="1">
        <v>45020</v>
      </c>
      <c r="F412" s="8">
        <f t="shared" si="66"/>
        <v>2023</v>
      </c>
      <c r="G412" s="1" t="str">
        <f t="shared" si="67"/>
        <v>April</v>
      </c>
      <c r="H412" s="1" t="str">
        <f t="shared" si="68"/>
        <v>Tuesday</v>
      </c>
      <c r="I412" s="2">
        <v>0.8156944444444445</v>
      </c>
      <c r="J412" s="8">
        <f t="shared" si="69"/>
        <v>19</v>
      </c>
      <c r="K412" s="8">
        <f t="shared" si="70"/>
        <v>34</v>
      </c>
      <c r="L412" t="s">
        <v>15</v>
      </c>
      <c r="M412" t="s">
        <v>16</v>
      </c>
      <c r="N412">
        <v>7</v>
      </c>
      <c r="O412" s="14">
        <v>1215.25</v>
      </c>
      <c r="P412">
        <f>VLOOKUP(L412,'Product-cost'!A:B,2,FALSE)</f>
        <v>600</v>
      </c>
      <c r="Q412" t="s">
        <v>55</v>
      </c>
      <c r="R412" t="s">
        <v>222</v>
      </c>
      <c r="S412" t="s">
        <v>158</v>
      </c>
      <c r="T412" t="s">
        <v>893</v>
      </c>
      <c r="U412" s="14">
        <f t="shared" si="71"/>
        <v>8506.75</v>
      </c>
      <c r="V412" s="14">
        <f t="shared" si="72"/>
        <v>4200</v>
      </c>
      <c r="W412" s="10">
        <f>VLOOKUP(Q412,Taxrate!A:B,2,FALSE)</f>
        <v>0.12</v>
      </c>
      <c r="X412" s="14">
        <f t="shared" si="73"/>
        <v>1020.81</v>
      </c>
      <c r="Y412" s="10">
        <f>VLOOKUP(L412,'Discount Rate'!A:B,2,FALSE)</f>
        <v>0.05</v>
      </c>
      <c r="Z412" s="14">
        <f t="shared" si="74"/>
        <v>425.33750000000003</v>
      </c>
      <c r="AA412" s="14">
        <f t="shared" si="75"/>
        <v>7060.6025000000009</v>
      </c>
      <c r="AB412" s="14">
        <f t="shared" si="76"/>
        <v>2860.6025000000009</v>
      </c>
    </row>
    <row r="413" spans="1:28" x14ac:dyDescent="0.25">
      <c r="A413" t="s">
        <v>837</v>
      </c>
      <c r="B413" t="s">
        <v>569</v>
      </c>
      <c r="C413" t="s">
        <v>187</v>
      </c>
      <c r="D413" t="s">
        <v>156</v>
      </c>
      <c r="E413" s="1">
        <v>45486</v>
      </c>
      <c r="F413" s="8">
        <f t="shared" si="66"/>
        <v>2024</v>
      </c>
      <c r="G413" s="1" t="str">
        <f t="shared" si="67"/>
        <v>July</v>
      </c>
      <c r="H413" s="1" t="str">
        <f t="shared" si="68"/>
        <v>Saturday</v>
      </c>
      <c r="I413" s="2">
        <v>0.76413194444444443</v>
      </c>
      <c r="J413" s="8">
        <f t="shared" si="69"/>
        <v>18</v>
      </c>
      <c r="K413" s="8">
        <f t="shared" si="70"/>
        <v>20</v>
      </c>
      <c r="L413" t="s">
        <v>23</v>
      </c>
      <c r="M413" t="s">
        <v>24</v>
      </c>
      <c r="N413">
        <v>10</v>
      </c>
      <c r="O413" s="14">
        <v>754.21</v>
      </c>
      <c r="P413">
        <f>VLOOKUP(L413,'Product-cost'!A:B,2,FALSE)</f>
        <v>300</v>
      </c>
      <c r="Q413" t="s">
        <v>32</v>
      </c>
      <c r="R413" t="s">
        <v>157</v>
      </c>
      <c r="S413" t="s">
        <v>18</v>
      </c>
      <c r="T413" t="s">
        <v>893</v>
      </c>
      <c r="U413" s="14">
        <f t="shared" si="71"/>
        <v>7542.1</v>
      </c>
      <c r="V413" s="14">
        <f t="shared" si="72"/>
        <v>3000</v>
      </c>
      <c r="W413" s="10">
        <f>VLOOKUP(Q413,Taxrate!A:B,2,FALSE)</f>
        <v>0.2</v>
      </c>
      <c r="X413" s="14">
        <f t="shared" si="73"/>
        <v>1508.42</v>
      </c>
      <c r="Y413" s="10">
        <f>VLOOKUP(L413,'Discount Rate'!A:B,2,FALSE)</f>
        <v>0.1</v>
      </c>
      <c r="Z413" s="14">
        <f t="shared" si="74"/>
        <v>754.21</v>
      </c>
      <c r="AA413" s="14">
        <f t="shared" si="75"/>
        <v>5279.47</v>
      </c>
      <c r="AB413" s="14">
        <f t="shared" si="76"/>
        <v>2279.4700000000003</v>
      </c>
    </row>
    <row r="414" spans="1:28" x14ac:dyDescent="0.25">
      <c r="A414" t="s">
        <v>838</v>
      </c>
      <c r="B414" t="s">
        <v>704</v>
      </c>
      <c r="C414" t="s">
        <v>72</v>
      </c>
      <c r="D414" t="s">
        <v>59</v>
      </c>
      <c r="E414" s="1">
        <v>46204</v>
      </c>
      <c r="F414" s="8">
        <f t="shared" si="66"/>
        <v>2026</v>
      </c>
      <c r="G414" s="1" t="str">
        <f t="shared" si="67"/>
        <v>July</v>
      </c>
      <c r="H414" s="1" t="str">
        <f t="shared" si="68"/>
        <v>Wednesday</v>
      </c>
      <c r="I414" s="2">
        <v>0.87269675925925927</v>
      </c>
      <c r="J414" s="8">
        <f t="shared" si="69"/>
        <v>20</v>
      </c>
      <c r="K414" s="8">
        <f t="shared" si="70"/>
        <v>56</v>
      </c>
      <c r="L414" t="s">
        <v>15</v>
      </c>
      <c r="M414" t="s">
        <v>16</v>
      </c>
      <c r="N414">
        <v>15</v>
      </c>
      <c r="O414" s="14">
        <v>1135.81</v>
      </c>
      <c r="P414">
        <f>VLOOKUP(L414,'Product-cost'!A:B,2,FALSE)</f>
        <v>600</v>
      </c>
      <c r="Q414" t="s">
        <v>51</v>
      </c>
      <c r="R414" t="s">
        <v>222</v>
      </c>
      <c r="S414" t="s">
        <v>27</v>
      </c>
      <c r="T414" t="s">
        <v>893</v>
      </c>
      <c r="U414" s="14">
        <f t="shared" si="71"/>
        <v>17037.149999999998</v>
      </c>
      <c r="V414" s="14">
        <f t="shared" si="72"/>
        <v>9000</v>
      </c>
      <c r="W414" s="10">
        <f>VLOOKUP(Q414,Taxrate!A:B,2,FALSE)</f>
        <v>7.0000000000000007E-2</v>
      </c>
      <c r="X414" s="14">
        <f t="shared" si="73"/>
        <v>1192.6005</v>
      </c>
      <c r="Y414" s="10">
        <f>VLOOKUP(L414,'Discount Rate'!A:B,2,FALSE)</f>
        <v>0.05</v>
      </c>
      <c r="Z414" s="14">
        <f t="shared" si="74"/>
        <v>851.85749999999996</v>
      </c>
      <c r="AA414" s="14">
        <f t="shared" si="75"/>
        <v>14992.691999999997</v>
      </c>
      <c r="AB414" s="14">
        <f t="shared" si="76"/>
        <v>5992.6919999999973</v>
      </c>
    </row>
    <row r="415" spans="1:28" x14ac:dyDescent="0.25">
      <c r="A415" t="s">
        <v>839</v>
      </c>
      <c r="B415" t="s">
        <v>95</v>
      </c>
      <c r="C415" t="s">
        <v>13</v>
      </c>
      <c r="D415" t="s">
        <v>14</v>
      </c>
      <c r="E415" s="1">
        <v>45685</v>
      </c>
      <c r="F415" s="8">
        <f t="shared" si="66"/>
        <v>2025</v>
      </c>
      <c r="G415" s="1" t="str">
        <f t="shared" si="67"/>
        <v>January</v>
      </c>
      <c r="H415" s="1" t="str">
        <f t="shared" si="68"/>
        <v>Tuesday</v>
      </c>
      <c r="I415" s="2">
        <v>0.62516203703703699</v>
      </c>
      <c r="J415" s="8">
        <f t="shared" si="69"/>
        <v>15</v>
      </c>
      <c r="K415" s="8">
        <f t="shared" si="70"/>
        <v>0</v>
      </c>
      <c r="L415" t="s">
        <v>15</v>
      </c>
      <c r="M415" t="s">
        <v>16</v>
      </c>
      <c r="N415">
        <v>11</v>
      </c>
      <c r="O415" s="14">
        <v>978.91</v>
      </c>
      <c r="P415">
        <f>VLOOKUP(L415,'Product-cost'!A:B,2,FALSE)</f>
        <v>600</v>
      </c>
      <c r="Q415" t="s">
        <v>51</v>
      </c>
      <c r="R415" t="s">
        <v>33</v>
      </c>
      <c r="S415" t="s">
        <v>41</v>
      </c>
      <c r="T415" t="s">
        <v>893</v>
      </c>
      <c r="U415" s="14">
        <f t="shared" si="71"/>
        <v>10768.01</v>
      </c>
      <c r="V415" s="14">
        <f t="shared" si="72"/>
        <v>6600</v>
      </c>
      <c r="W415" s="10">
        <f>VLOOKUP(Q415,Taxrate!A:B,2,FALSE)</f>
        <v>7.0000000000000007E-2</v>
      </c>
      <c r="X415" s="14">
        <f t="shared" si="73"/>
        <v>753.76070000000004</v>
      </c>
      <c r="Y415" s="10">
        <f>VLOOKUP(L415,'Discount Rate'!A:B,2,FALSE)</f>
        <v>0.05</v>
      </c>
      <c r="Z415" s="14">
        <f t="shared" si="74"/>
        <v>538.40050000000008</v>
      </c>
      <c r="AA415" s="14">
        <f t="shared" si="75"/>
        <v>9475.8487999999998</v>
      </c>
      <c r="AB415" s="14">
        <f t="shared" si="76"/>
        <v>2875.8487999999998</v>
      </c>
    </row>
    <row r="416" spans="1:28" x14ac:dyDescent="0.25">
      <c r="A416" t="s">
        <v>840</v>
      </c>
      <c r="B416" t="s">
        <v>841</v>
      </c>
      <c r="C416" t="s">
        <v>72</v>
      </c>
      <c r="D416" t="s">
        <v>59</v>
      </c>
      <c r="E416" s="1">
        <v>44941</v>
      </c>
      <c r="F416" s="8">
        <f t="shared" si="66"/>
        <v>2023</v>
      </c>
      <c r="G416" s="1" t="str">
        <f t="shared" si="67"/>
        <v>January</v>
      </c>
      <c r="H416" s="1" t="str">
        <f t="shared" si="68"/>
        <v>Sunday</v>
      </c>
      <c r="I416" s="2">
        <v>0.90306712962962965</v>
      </c>
      <c r="J416" s="8">
        <f t="shared" si="69"/>
        <v>21</v>
      </c>
      <c r="K416" s="8">
        <f t="shared" si="70"/>
        <v>40</v>
      </c>
      <c r="L416" t="s">
        <v>15</v>
      </c>
      <c r="M416" t="s">
        <v>16</v>
      </c>
      <c r="N416">
        <v>10</v>
      </c>
      <c r="O416" s="14">
        <v>885.24</v>
      </c>
      <c r="P416">
        <f>VLOOKUP(L416,'Product-cost'!A:B,2,FALSE)</f>
        <v>600</v>
      </c>
      <c r="Q416" t="s">
        <v>32</v>
      </c>
      <c r="R416" t="s">
        <v>75</v>
      </c>
      <c r="T416" t="s">
        <v>895</v>
      </c>
      <c r="U416" s="14">
        <f t="shared" si="71"/>
        <v>8852.4</v>
      </c>
      <c r="V416" s="14">
        <f t="shared" si="72"/>
        <v>6000</v>
      </c>
      <c r="W416" s="10">
        <f>VLOOKUP(Q416,Taxrate!A:B,2,FALSE)</f>
        <v>0.2</v>
      </c>
      <c r="X416" s="14">
        <f t="shared" si="73"/>
        <v>1770.48</v>
      </c>
      <c r="Y416" s="10">
        <f>VLOOKUP(L416,'Discount Rate'!A:B,2,FALSE)</f>
        <v>0.05</v>
      </c>
      <c r="Z416" s="14">
        <f t="shared" si="74"/>
        <v>442.62</v>
      </c>
      <c r="AA416" s="14">
        <f t="shared" si="75"/>
        <v>6639.3</v>
      </c>
      <c r="AB416" s="14">
        <f t="shared" si="76"/>
        <v>639.30000000000018</v>
      </c>
    </row>
    <row r="417" spans="1:28" x14ac:dyDescent="0.25">
      <c r="A417" t="s">
        <v>842</v>
      </c>
      <c r="B417" t="s">
        <v>728</v>
      </c>
      <c r="C417" t="s">
        <v>165</v>
      </c>
      <c r="D417" t="s">
        <v>38</v>
      </c>
      <c r="E417" s="1">
        <v>45850</v>
      </c>
      <c r="F417" s="8">
        <f t="shared" si="66"/>
        <v>2025</v>
      </c>
      <c r="G417" s="1" t="str">
        <f t="shared" si="67"/>
        <v>July</v>
      </c>
      <c r="H417" s="1" t="str">
        <f t="shared" si="68"/>
        <v>Saturday</v>
      </c>
      <c r="I417" s="2">
        <v>0.49633101851851852</v>
      </c>
      <c r="J417" s="8">
        <f t="shared" si="69"/>
        <v>11</v>
      </c>
      <c r="K417" s="8">
        <f t="shared" si="70"/>
        <v>54</v>
      </c>
      <c r="L417" t="s">
        <v>15</v>
      </c>
      <c r="M417" t="s">
        <v>16</v>
      </c>
      <c r="N417">
        <v>12</v>
      </c>
      <c r="O417" s="14">
        <v>1107.23</v>
      </c>
      <c r="P417">
        <f>VLOOKUP(L417,'Product-cost'!A:B,2,FALSE)</f>
        <v>600</v>
      </c>
      <c r="Q417" t="s">
        <v>55</v>
      </c>
      <c r="R417" t="s">
        <v>84</v>
      </c>
      <c r="S417" t="s">
        <v>152</v>
      </c>
      <c r="T417" t="s">
        <v>893</v>
      </c>
      <c r="U417" s="14">
        <f t="shared" si="71"/>
        <v>13286.76</v>
      </c>
      <c r="V417" s="14">
        <f t="shared" si="72"/>
        <v>7200</v>
      </c>
      <c r="W417" s="10">
        <f>VLOOKUP(Q417,Taxrate!A:B,2,FALSE)</f>
        <v>0.12</v>
      </c>
      <c r="X417" s="14">
        <f t="shared" si="73"/>
        <v>1594.4112</v>
      </c>
      <c r="Y417" s="10">
        <f>VLOOKUP(L417,'Discount Rate'!A:B,2,FALSE)</f>
        <v>0.05</v>
      </c>
      <c r="Z417" s="14">
        <f t="shared" si="74"/>
        <v>664.33800000000008</v>
      </c>
      <c r="AA417" s="14">
        <f t="shared" si="75"/>
        <v>11028.0108</v>
      </c>
      <c r="AB417" s="14">
        <f t="shared" si="76"/>
        <v>3828.0108</v>
      </c>
    </row>
    <row r="418" spans="1:28" x14ac:dyDescent="0.25">
      <c r="A418" t="s">
        <v>843</v>
      </c>
      <c r="B418" t="s">
        <v>399</v>
      </c>
      <c r="C418" t="s">
        <v>187</v>
      </c>
      <c r="D418" t="s">
        <v>156</v>
      </c>
      <c r="E418" s="1">
        <v>46319</v>
      </c>
      <c r="F418" s="8">
        <f t="shared" si="66"/>
        <v>2026</v>
      </c>
      <c r="G418" s="1" t="str">
        <f t="shared" si="67"/>
        <v>October</v>
      </c>
      <c r="H418" s="1" t="str">
        <f t="shared" si="68"/>
        <v>Saturday</v>
      </c>
      <c r="I418" s="2">
        <v>0.64135416666666667</v>
      </c>
      <c r="J418" s="8">
        <f t="shared" si="69"/>
        <v>15</v>
      </c>
      <c r="K418" s="8">
        <f t="shared" si="70"/>
        <v>23</v>
      </c>
      <c r="L418" t="s">
        <v>15</v>
      </c>
      <c r="M418" t="s">
        <v>16</v>
      </c>
      <c r="N418">
        <v>4</v>
      </c>
      <c r="O418" s="14">
        <v>500</v>
      </c>
      <c r="P418">
        <f>VLOOKUP(L418,'Product-cost'!A:B,2,FALSE)</f>
        <v>600</v>
      </c>
      <c r="Q418" t="s">
        <v>39</v>
      </c>
      <c r="R418" t="s">
        <v>252</v>
      </c>
      <c r="T418" t="s">
        <v>895</v>
      </c>
      <c r="U418" s="14">
        <f t="shared" si="71"/>
        <v>2000</v>
      </c>
      <c r="V418" s="14">
        <f t="shared" si="72"/>
        <v>2400</v>
      </c>
      <c r="W418" s="10">
        <f>VLOOKUP(Q418,Taxrate!A:B,2,FALSE)</f>
        <v>0.15</v>
      </c>
      <c r="X418" s="14">
        <f t="shared" si="73"/>
        <v>300</v>
      </c>
      <c r="Y418" s="10">
        <f>VLOOKUP(L418,'Discount Rate'!A:B,2,FALSE)</f>
        <v>0.05</v>
      </c>
      <c r="Z418" s="14">
        <f t="shared" si="74"/>
        <v>100</v>
      </c>
      <c r="AA418" s="14">
        <f t="shared" si="75"/>
        <v>1600</v>
      </c>
      <c r="AB418" s="14">
        <f t="shared" si="76"/>
        <v>-800</v>
      </c>
    </row>
    <row r="419" spans="1:28" x14ac:dyDescent="0.25">
      <c r="A419" t="s">
        <v>844</v>
      </c>
      <c r="B419" t="s">
        <v>845</v>
      </c>
      <c r="C419" t="s">
        <v>21</v>
      </c>
      <c r="D419" t="s">
        <v>22</v>
      </c>
      <c r="E419" s="1">
        <v>44963</v>
      </c>
      <c r="F419" s="8">
        <f t="shared" si="66"/>
        <v>2023</v>
      </c>
      <c r="G419" s="1" t="str">
        <f t="shared" si="67"/>
        <v>February</v>
      </c>
      <c r="H419" s="1" t="str">
        <f t="shared" si="68"/>
        <v>Monday</v>
      </c>
      <c r="I419" s="2">
        <v>0.46552083333333333</v>
      </c>
      <c r="J419" s="8">
        <f t="shared" si="69"/>
        <v>11</v>
      </c>
      <c r="K419" s="8">
        <f t="shared" si="70"/>
        <v>10</v>
      </c>
      <c r="L419" t="s">
        <v>30</v>
      </c>
      <c r="M419" t="s">
        <v>31</v>
      </c>
      <c r="N419">
        <v>7</v>
      </c>
      <c r="O419" s="14">
        <v>325.57</v>
      </c>
      <c r="P419">
        <f>VLOOKUP(L419,'Product-cost'!A:B,2,FALSE)</f>
        <v>200</v>
      </c>
      <c r="Q419" t="s">
        <v>39</v>
      </c>
      <c r="R419" t="s">
        <v>26</v>
      </c>
      <c r="S419" t="s">
        <v>123</v>
      </c>
      <c r="T419" t="s">
        <v>893</v>
      </c>
      <c r="U419" s="14">
        <f t="shared" si="71"/>
        <v>2278.9899999999998</v>
      </c>
      <c r="V419" s="14">
        <f t="shared" si="72"/>
        <v>1400</v>
      </c>
      <c r="W419" s="10">
        <f>VLOOKUP(Q419,Taxrate!A:B,2,FALSE)</f>
        <v>0.15</v>
      </c>
      <c r="X419" s="14">
        <f t="shared" si="73"/>
        <v>341.84849999999994</v>
      </c>
      <c r="Y419" s="10">
        <f>VLOOKUP(L419,'Discount Rate'!A:B,2,FALSE)</f>
        <v>0.08</v>
      </c>
      <c r="Z419" s="14">
        <f t="shared" si="74"/>
        <v>182.3192</v>
      </c>
      <c r="AA419" s="14">
        <f t="shared" si="75"/>
        <v>1754.8222999999998</v>
      </c>
      <c r="AB419" s="14">
        <f t="shared" si="76"/>
        <v>354.82229999999981</v>
      </c>
    </row>
    <row r="420" spans="1:28" x14ac:dyDescent="0.25">
      <c r="A420" t="s">
        <v>846</v>
      </c>
      <c r="B420" t="s">
        <v>334</v>
      </c>
      <c r="C420" t="s">
        <v>44</v>
      </c>
      <c r="D420" t="s">
        <v>45</v>
      </c>
      <c r="E420" s="1">
        <v>45991</v>
      </c>
      <c r="F420" s="8">
        <f t="shared" si="66"/>
        <v>2025</v>
      </c>
      <c r="G420" s="1" t="str">
        <f t="shared" si="67"/>
        <v>November</v>
      </c>
      <c r="H420" s="1" t="str">
        <f t="shared" si="68"/>
        <v>Sunday</v>
      </c>
      <c r="I420" s="2">
        <v>0.40946759259259258</v>
      </c>
      <c r="J420" s="8">
        <f t="shared" si="69"/>
        <v>9</v>
      </c>
      <c r="K420" s="8">
        <f t="shared" si="70"/>
        <v>49</v>
      </c>
      <c r="L420" t="s">
        <v>46</v>
      </c>
      <c r="M420" t="s">
        <v>47</v>
      </c>
      <c r="N420">
        <v>2</v>
      </c>
      <c r="O420" s="14">
        <v>239.68</v>
      </c>
      <c r="P420">
        <f>VLOOKUP(L420,'Product-cost'!A:B,2,FALSE)</f>
        <v>150</v>
      </c>
      <c r="Q420" t="s">
        <v>51</v>
      </c>
      <c r="R420" t="s">
        <v>48</v>
      </c>
      <c r="S420" t="s">
        <v>230</v>
      </c>
      <c r="T420" t="s">
        <v>893</v>
      </c>
      <c r="U420" s="14">
        <f t="shared" si="71"/>
        <v>479.36</v>
      </c>
      <c r="V420" s="14">
        <f t="shared" si="72"/>
        <v>300</v>
      </c>
      <c r="W420" s="10">
        <f>VLOOKUP(Q420,Taxrate!A:B,2,FALSE)</f>
        <v>7.0000000000000007E-2</v>
      </c>
      <c r="X420" s="14">
        <f t="shared" si="73"/>
        <v>33.555200000000006</v>
      </c>
      <c r="Y420" s="10">
        <f>VLOOKUP(L420,'Discount Rate'!A:B,2,FALSE)</f>
        <v>7.0000000000000007E-2</v>
      </c>
      <c r="Z420" s="14">
        <f t="shared" si="74"/>
        <v>33.555200000000006</v>
      </c>
      <c r="AA420" s="14">
        <f t="shared" si="75"/>
        <v>412.24959999999999</v>
      </c>
      <c r="AB420" s="14">
        <f t="shared" si="76"/>
        <v>112.24959999999999</v>
      </c>
    </row>
    <row r="421" spans="1:28" x14ac:dyDescent="0.25">
      <c r="A421" t="s">
        <v>847</v>
      </c>
      <c r="B421" t="s">
        <v>848</v>
      </c>
      <c r="C421" t="s">
        <v>118</v>
      </c>
      <c r="D421" t="s">
        <v>59</v>
      </c>
      <c r="E421" s="1">
        <v>45061</v>
      </c>
      <c r="F421" s="8">
        <f t="shared" si="66"/>
        <v>2023</v>
      </c>
      <c r="G421" s="1" t="str">
        <f t="shared" si="67"/>
        <v>May</v>
      </c>
      <c r="H421" s="1" t="str">
        <f t="shared" si="68"/>
        <v>Monday</v>
      </c>
      <c r="I421" s="2">
        <v>0.75248842592592591</v>
      </c>
      <c r="J421" s="8">
        <f t="shared" si="69"/>
        <v>18</v>
      </c>
      <c r="K421" s="8">
        <f t="shared" si="70"/>
        <v>3</v>
      </c>
      <c r="L421" t="s">
        <v>15</v>
      </c>
      <c r="M421" t="s">
        <v>16</v>
      </c>
      <c r="N421">
        <v>7</v>
      </c>
      <c r="O421" s="14">
        <v>1108.6500000000001</v>
      </c>
      <c r="P421">
        <f>VLOOKUP(L421,'Product-cost'!A:B,2,FALSE)</f>
        <v>600</v>
      </c>
      <c r="Q421" t="s">
        <v>39</v>
      </c>
      <c r="R421" t="s">
        <v>60</v>
      </c>
      <c r="S421" t="s">
        <v>18</v>
      </c>
      <c r="T421" t="s">
        <v>893</v>
      </c>
      <c r="U421" s="14">
        <f t="shared" si="71"/>
        <v>7760.5500000000011</v>
      </c>
      <c r="V421" s="14">
        <f t="shared" si="72"/>
        <v>4200</v>
      </c>
      <c r="W421" s="10">
        <f>VLOOKUP(Q421,Taxrate!A:B,2,FALSE)</f>
        <v>0.15</v>
      </c>
      <c r="X421" s="14">
        <f t="shared" si="73"/>
        <v>1164.0825000000002</v>
      </c>
      <c r="Y421" s="10">
        <f>VLOOKUP(L421,'Discount Rate'!A:B,2,FALSE)</f>
        <v>0.05</v>
      </c>
      <c r="Z421" s="14">
        <f t="shared" si="74"/>
        <v>388.02750000000009</v>
      </c>
      <c r="AA421" s="14">
        <f t="shared" si="75"/>
        <v>6208.4400000000005</v>
      </c>
      <c r="AB421" s="14">
        <f t="shared" si="76"/>
        <v>2008.4400000000005</v>
      </c>
    </row>
    <row r="422" spans="1:28" x14ac:dyDescent="0.25">
      <c r="A422" t="s">
        <v>849</v>
      </c>
      <c r="B422" t="s">
        <v>850</v>
      </c>
      <c r="C422" t="s">
        <v>91</v>
      </c>
      <c r="D422" t="s">
        <v>92</v>
      </c>
      <c r="E422" s="1">
        <v>45622</v>
      </c>
      <c r="F422" s="8">
        <f t="shared" si="66"/>
        <v>2024</v>
      </c>
      <c r="G422" s="1" t="str">
        <f t="shared" si="67"/>
        <v>November</v>
      </c>
      <c r="H422" s="1" t="str">
        <f t="shared" si="68"/>
        <v>Tuesday</v>
      </c>
      <c r="I422" s="2">
        <v>0.64815972222222218</v>
      </c>
      <c r="J422" s="8">
        <f t="shared" si="69"/>
        <v>15</v>
      </c>
      <c r="K422" s="8">
        <f t="shared" si="70"/>
        <v>33</v>
      </c>
      <c r="L422" t="s">
        <v>46</v>
      </c>
      <c r="M422" t="s">
        <v>47</v>
      </c>
      <c r="N422">
        <v>2</v>
      </c>
      <c r="O422" s="14">
        <v>500</v>
      </c>
      <c r="P422">
        <f>VLOOKUP(L422,'Product-cost'!A:B,2,FALSE)</f>
        <v>150</v>
      </c>
      <c r="Q422" t="s">
        <v>51</v>
      </c>
      <c r="R422" t="s">
        <v>198</v>
      </c>
      <c r="S422" t="s">
        <v>102</v>
      </c>
      <c r="T422" t="s">
        <v>895</v>
      </c>
      <c r="U422" s="14">
        <f t="shared" si="71"/>
        <v>1000</v>
      </c>
      <c r="V422" s="14">
        <f t="shared" si="72"/>
        <v>300</v>
      </c>
      <c r="W422" s="10">
        <f>VLOOKUP(Q422,Taxrate!A:B,2,FALSE)</f>
        <v>7.0000000000000007E-2</v>
      </c>
      <c r="X422" s="14">
        <f t="shared" si="73"/>
        <v>70</v>
      </c>
      <c r="Y422" s="10">
        <f>VLOOKUP(L422,'Discount Rate'!A:B,2,FALSE)</f>
        <v>7.0000000000000007E-2</v>
      </c>
      <c r="Z422" s="14">
        <f t="shared" si="74"/>
        <v>70</v>
      </c>
      <c r="AA422" s="14">
        <f t="shared" si="75"/>
        <v>860</v>
      </c>
      <c r="AB422" s="14">
        <f t="shared" si="76"/>
        <v>560</v>
      </c>
    </row>
    <row r="423" spans="1:28" x14ac:dyDescent="0.25">
      <c r="A423" t="s">
        <v>851</v>
      </c>
      <c r="B423" t="s">
        <v>852</v>
      </c>
      <c r="C423" t="s">
        <v>91</v>
      </c>
      <c r="D423" t="s">
        <v>92</v>
      </c>
      <c r="E423" s="1">
        <v>45307</v>
      </c>
      <c r="F423" s="8">
        <f t="shared" si="66"/>
        <v>2024</v>
      </c>
      <c r="G423" s="1" t="str">
        <f t="shared" si="67"/>
        <v>January</v>
      </c>
      <c r="H423" s="1" t="str">
        <f t="shared" si="68"/>
        <v>Tuesday</v>
      </c>
      <c r="I423" s="2">
        <v>0.45210648148148147</v>
      </c>
      <c r="J423" s="8">
        <f t="shared" si="69"/>
        <v>10</v>
      </c>
      <c r="K423" s="8">
        <f t="shared" si="70"/>
        <v>51</v>
      </c>
      <c r="L423" t="s">
        <v>15</v>
      </c>
      <c r="M423" t="s">
        <v>16</v>
      </c>
      <c r="N423">
        <v>10</v>
      </c>
      <c r="O423" s="14">
        <v>1279.8699999999999</v>
      </c>
      <c r="P423">
        <f>VLOOKUP(L423,'Product-cost'!A:B,2,FALSE)</f>
        <v>600</v>
      </c>
      <c r="Q423" t="s">
        <v>25</v>
      </c>
      <c r="R423" t="s">
        <v>112</v>
      </c>
      <c r="S423" t="s">
        <v>102</v>
      </c>
      <c r="T423" t="s">
        <v>895</v>
      </c>
      <c r="U423" s="14">
        <f t="shared" si="71"/>
        <v>12798.699999999999</v>
      </c>
      <c r="V423" s="14">
        <f t="shared" si="72"/>
        <v>6000</v>
      </c>
      <c r="W423" s="10">
        <f>VLOOKUP(Q423,Taxrate!A:B,2,FALSE)</f>
        <v>0.1</v>
      </c>
      <c r="X423" s="14">
        <f t="shared" si="73"/>
        <v>1279.8699999999999</v>
      </c>
      <c r="Y423" s="10">
        <f>VLOOKUP(L423,'Discount Rate'!A:B,2,FALSE)</f>
        <v>0.05</v>
      </c>
      <c r="Z423" s="14">
        <f t="shared" si="74"/>
        <v>639.93499999999995</v>
      </c>
      <c r="AA423" s="14">
        <f t="shared" si="75"/>
        <v>10878.894999999999</v>
      </c>
      <c r="AB423" s="14">
        <f t="shared" si="76"/>
        <v>4878.8949999999986</v>
      </c>
    </row>
    <row r="424" spans="1:28" x14ac:dyDescent="0.25">
      <c r="A424" t="s">
        <v>853</v>
      </c>
      <c r="B424" t="s">
        <v>95</v>
      </c>
      <c r="C424" t="s">
        <v>126</v>
      </c>
      <c r="D424" t="s">
        <v>22</v>
      </c>
      <c r="E424" s="1">
        <v>45044</v>
      </c>
      <c r="F424" s="8">
        <f t="shared" si="66"/>
        <v>2023</v>
      </c>
      <c r="G424" s="1" t="str">
        <f t="shared" si="67"/>
        <v>April</v>
      </c>
      <c r="H424" s="1" t="str">
        <f t="shared" si="68"/>
        <v>Friday</v>
      </c>
      <c r="I424" s="2">
        <v>0.70339120370370367</v>
      </c>
      <c r="J424" s="8">
        <f t="shared" si="69"/>
        <v>16</v>
      </c>
      <c r="K424" s="8">
        <f t="shared" si="70"/>
        <v>52</v>
      </c>
      <c r="L424" t="s">
        <v>46</v>
      </c>
      <c r="M424" t="s">
        <v>47</v>
      </c>
      <c r="N424">
        <v>7</v>
      </c>
      <c r="O424" s="14">
        <v>283.42</v>
      </c>
      <c r="P424">
        <f>VLOOKUP(L424,'Product-cost'!A:B,2,FALSE)</f>
        <v>150</v>
      </c>
      <c r="Q424" t="s">
        <v>32</v>
      </c>
      <c r="R424" t="s">
        <v>26</v>
      </c>
      <c r="S424" t="s">
        <v>88</v>
      </c>
      <c r="T424" t="s">
        <v>893</v>
      </c>
      <c r="U424" s="14">
        <f t="shared" si="71"/>
        <v>1983.94</v>
      </c>
      <c r="V424" s="14">
        <f t="shared" si="72"/>
        <v>1050</v>
      </c>
      <c r="W424" s="10">
        <f>VLOOKUP(Q424,Taxrate!A:B,2,FALSE)</f>
        <v>0.2</v>
      </c>
      <c r="X424" s="14">
        <f t="shared" si="73"/>
        <v>396.78800000000001</v>
      </c>
      <c r="Y424" s="10">
        <f>VLOOKUP(L424,'Discount Rate'!A:B,2,FALSE)</f>
        <v>7.0000000000000007E-2</v>
      </c>
      <c r="Z424" s="14">
        <f t="shared" si="74"/>
        <v>138.87580000000003</v>
      </c>
      <c r="AA424" s="14">
        <f t="shared" si="75"/>
        <v>1448.2762</v>
      </c>
      <c r="AB424" s="14">
        <f t="shared" si="76"/>
        <v>398.27620000000002</v>
      </c>
    </row>
    <row r="425" spans="1:28" x14ac:dyDescent="0.25">
      <c r="A425" t="s">
        <v>854</v>
      </c>
      <c r="B425" t="s">
        <v>855</v>
      </c>
      <c r="C425" t="s">
        <v>91</v>
      </c>
      <c r="D425" t="s">
        <v>92</v>
      </c>
      <c r="E425" s="1">
        <v>45843</v>
      </c>
      <c r="F425" s="8">
        <f t="shared" si="66"/>
        <v>2025</v>
      </c>
      <c r="G425" s="1" t="str">
        <f t="shared" si="67"/>
        <v>July</v>
      </c>
      <c r="H425" s="1" t="str">
        <f t="shared" si="68"/>
        <v>Saturday</v>
      </c>
      <c r="I425" s="2">
        <v>0.42116898148148146</v>
      </c>
      <c r="J425" s="8">
        <f t="shared" si="69"/>
        <v>10</v>
      </c>
      <c r="K425" s="8">
        <f t="shared" si="70"/>
        <v>6</v>
      </c>
      <c r="L425" t="s">
        <v>15</v>
      </c>
      <c r="M425" t="s">
        <v>16</v>
      </c>
      <c r="N425">
        <v>15</v>
      </c>
      <c r="O425" s="14">
        <v>500</v>
      </c>
      <c r="P425">
        <f>VLOOKUP(L425,'Product-cost'!A:B,2,FALSE)</f>
        <v>600</v>
      </c>
      <c r="Q425" t="s">
        <v>32</v>
      </c>
      <c r="R425" t="s">
        <v>112</v>
      </c>
      <c r="S425" t="s">
        <v>96</v>
      </c>
      <c r="T425" t="s">
        <v>893</v>
      </c>
      <c r="U425" s="14">
        <f t="shared" si="71"/>
        <v>7500</v>
      </c>
      <c r="V425" s="14">
        <f t="shared" si="72"/>
        <v>9000</v>
      </c>
      <c r="W425" s="10">
        <f>VLOOKUP(Q425,Taxrate!A:B,2,FALSE)</f>
        <v>0.2</v>
      </c>
      <c r="X425" s="14">
        <f t="shared" si="73"/>
        <v>1500</v>
      </c>
      <c r="Y425" s="10">
        <f>VLOOKUP(L425,'Discount Rate'!A:B,2,FALSE)</f>
        <v>0.05</v>
      </c>
      <c r="Z425" s="14">
        <f t="shared" si="74"/>
        <v>375</v>
      </c>
      <c r="AA425" s="14">
        <f t="shared" si="75"/>
        <v>5625</v>
      </c>
      <c r="AB425" s="14">
        <f t="shared" si="76"/>
        <v>-3375</v>
      </c>
    </row>
    <row r="426" spans="1:28" x14ac:dyDescent="0.25">
      <c r="A426" t="s">
        <v>856</v>
      </c>
      <c r="B426" t="s">
        <v>857</v>
      </c>
      <c r="C426" t="s">
        <v>155</v>
      </c>
      <c r="D426" t="s">
        <v>156</v>
      </c>
      <c r="E426" s="1">
        <v>45746</v>
      </c>
      <c r="F426" s="8">
        <f t="shared" si="66"/>
        <v>2025</v>
      </c>
      <c r="G426" s="1" t="str">
        <f t="shared" si="67"/>
        <v>March</v>
      </c>
      <c r="H426" s="1" t="str">
        <f t="shared" si="68"/>
        <v>Sunday</v>
      </c>
      <c r="I426" s="2">
        <v>0.87526620370370367</v>
      </c>
      <c r="J426" s="8">
        <f t="shared" si="69"/>
        <v>21</v>
      </c>
      <c r="K426" s="8">
        <f t="shared" si="70"/>
        <v>0</v>
      </c>
      <c r="L426" t="s">
        <v>15</v>
      </c>
      <c r="M426" t="s">
        <v>16</v>
      </c>
      <c r="N426">
        <v>7</v>
      </c>
      <c r="O426" s="14">
        <v>500</v>
      </c>
      <c r="P426">
        <f>VLOOKUP(L426,'Product-cost'!A:B,2,FALSE)</f>
        <v>600</v>
      </c>
      <c r="Q426" t="s">
        <v>51</v>
      </c>
      <c r="R426" t="s">
        <v>252</v>
      </c>
      <c r="T426" t="s">
        <v>895</v>
      </c>
      <c r="U426" s="14">
        <f t="shared" si="71"/>
        <v>3500</v>
      </c>
      <c r="V426" s="14">
        <f t="shared" si="72"/>
        <v>4200</v>
      </c>
      <c r="W426" s="10">
        <f>VLOOKUP(Q426,Taxrate!A:B,2,FALSE)</f>
        <v>7.0000000000000007E-2</v>
      </c>
      <c r="X426" s="14">
        <f t="shared" si="73"/>
        <v>245.00000000000003</v>
      </c>
      <c r="Y426" s="10">
        <f>VLOOKUP(L426,'Discount Rate'!A:B,2,FALSE)</f>
        <v>0.05</v>
      </c>
      <c r="Z426" s="14">
        <f t="shared" si="74"/>
        <v>175</v>
      </c>
      <c r="AA426" s="14">
        <f t="shared" si="75"/>
        <v>3080</v>
      </c>
      <c r="AB426" s="14">
        <f t="shared" si="76"/>
        <v>-1120</v>
      </c>
    </row>
    <row r="427" spans="1:28" x14ac:dyDescent="0.25">
      <c r="A427" t="s">
        <v>858</v>
      </c>
      <c r="B427" t="s">
        <v>859</v>
      </c>
      <c r="C427" t="s">
        <v>21</v>
      </c>
      <c r="D427" t="s">
        <v>22</v>
      </c>
      <c r="E427" s="1">
        <v>45283</v>
      </c>
      <c r="F427" s="8">
        <f t="shared" si="66"/>
        <v>2023</v>
      </c>
      <c r="G427" s="1" t="str">
        <f t="shared" si="67"/>
        <v>December</v>
      </c>
      <c r="H427" s="1" t="str">
        <f t="shared" si="68"/>
        <v>Saturday</v>
      </c>
      <c r="I427" s="2">
        <v>0.89947916666666672</v>
      </c>
      <c r="J427" s="8">
        <f t="shared" si="69"/>
        <v>21</v>
      </c>
      <c r="K427" s="8">
        <f t="shared" si="70"/>
        <v>35</v>
      </c>
      <c r="L427" t="s">
        <v>23</v>
      </c>
      <c r="M427" t="s">
        <v>24</v>
      </c>
      <c r="N427">
        <v>3</v>
      </c>
      <c r="O427" s="14">
        <v>753.19</v>
      </c>
      <c r="P427">
        <f>VLOOKUP(L427,'Product-cost'!A:B,2,FALSE)</f>
        <v>300</v>
      </c>
      <c r="Q427" t="s">
        <v>51</v>
      </c>
      <c r="R427" t="s">
        <v>26</v>
      </c>
      <c r="S427" t="s">
        <v>34</v>
      </c>
      <c r="T427" t="s">
        <v>893</v>
      </c>
      <c r="U427" s="14">
        <f t="shared" si="71"/>
        <v>2259.5700000000002</v>
      </c>
      <c r="V427" s="14">
        <f t="shared" si="72"/>
        <v>900</v>
      </c>
      <c r="W427" s="10">
        <f>VLOOKUP(Q427,Taxrate!A:B,2,FALSE)</f>
        <v>7.0000000000000007E-2</v>
      </c>
      <c r="X427" s="14">
        <f t="shared" si="73"/>
        <v>158.16990000000001</v>
      </c>
      <c r="Y427" s="10">
        <f>VLOOKUP(L427,'Discount Rate'!A:B,2,FALSE)</f>
        <v>0.1</v>
      </c>
      <c r="Z427" s="14">
        <f t="shared" si="74"/>
        <v>225.95700000000002</v>
      </c>
      <c r="AA427" s="14">
        <f t="shared" si="75"/>
        <v>1875.4431000000002</v>
      </c>
      <c r="AB427" s="14">
        <f t="shared" si="76"/>
        <v>975.44310000000019</v>
      </c>
    </row>
    <row r="428" spans="1:28" x14ac:dyDescent="0.25">
      <c r="A428" t="s">
        <v>860</v>
      </c>
      <c r="B428" t="s">
        <v>861</v>
      </c>
      <c r="C428" t="s">
        <v>37</v>
      </c>
      <c r="D428" t="s">
        <v>38</v>
      </c>
      <c r="E428" s="1">
        <v>46006</v>
      </c>
      <c r="F428" s="8">
        <f t="shared" si="66"/>
        <v>2025</v>
      </c>
      <c r="G428" s="1" t="str">
        <f t="shared" si="67"/>
        <v>December</v>
      </c>
      <c r="H428" s="1" t="str">
        <f t="shared" si="68"/>
        <v>Monday</v>
      </c>
      <c r="I428" s="2">
        <v>0.794525462962963</v>
      </c>
      <c r="J428" s="8">
        <f t="shared" si="69"/>
        <v>19</v>
      </c>
      <c r="K428" s="8">
        <f t="shared" si="70"/>
        <v>4</v>
      </c>
      <c r="L428" t="s">
        <v>23</v>
      </c>
      <c r="M428" t="s">
        <v>24</v>
      </c>
      <c r="N428">
        <v>3</v>
      </c>
      <c r="O428" s="14">
        <v>537.5</v>
      </c>
      <c r="P428">
        <f>VLOOKUP(L428,'Product-cost'!A:B,2,FALSE)</f>
        <v>300</v>
      </c>
      <c r="Q428" t="s">
        <v>39</v>
      </c>
      <c r="R428" t="s">
        <v>84</v>
      </c>
      <c r="S428" t="s">
        <v>41</v>
      </c>
      <c r="T428" t="s">
        <v>893</v>
      </c>
      <c r="U428" s="14">
        <f t="shared" si="71"/>
        <v>1612.5</v>
      </c>
      <c r="V428" s="14">
        <f t="shared" si="72"/>
        <v>900</v>
      </c>
      <c r="W428" s="10">
        <f>VLOOKUP(Q428,Taxrate!A:B,2,FALSE)</f>
        <v>0.15</v>
      </c>
      <c r="X428" s="14">
        <f t="shared" si="73"/>
        <v>241.875</v>
      </c>
      <c r="Y428" s="10">
        <f>VLOOKUP(L428,'Discount Rate'!A:B,2,FALSE)</f>
        <v>0.1</v>
      </c>
      <c r="Z428" s="14">
        <f t="shared" si="74"/>
        <v>161.25</v>
      </c>
      <c r="AA428" s="14">
        <f t="shared" si="75"/>
        <v>1209.375</v>
      </c>
      <c r="AB428" s="14">
        <f t="shared" si="76"/>
        <v>309.375</v>
      </c>
    </row>
    <row r="429" spans="1:28" x14ac:dyDescent="0.25">
      <c r="A429" t="s">
        <v>862</v>
      </c>
      <c r="B429" t="s">
        <v>863</v>
      </c>
      <c r="C429" t="s">
        <v>63</v>
      </c>
      <c r="D429" t="s">
        <v>14</v>
      </c>
      <c r="E429" s="1">
        <v>44937</v>
      </c>
      <c r="F429" s="8">
        <f t="shared" si="66"/>
        <v>2023</v>
      </c>
      <c r="G429" s="1" t="str">
        <f t="shared" si="67"/>
        <v>January</v>
      </c>
      <c r="H429" s="1" t="str">
        <f t="shared" si="68"/>
        <v>Wednesday</v>
      </c>
      <c r="I429" s="2">
        <v>0.46087962962962964</v>
      </c>
      <c r="J429" s="8">
        <f t="shared" si="69"/>
        <v>11</v>
      </c>
      <c r="K429" s="8">
        <f t="shared" si="70"/>
        <v>3</v>
      </c>
      <c r="L429" t="s">
        <v>30</v>
      </c>
      <c r="M429" t="s">
        <v>31</v>
      </c>
      <c r="N429">
        <v>14</v>
      </c>
      <c r="O429" s="14">
        <v>436.82</v>
      </c>
      <c r="P429">
        <f>VLOOKUP(L429,'Product-cost'!A:B,2,FALSE)</f>
        <v>200</v>
      </c>
      <c r="Q429" t="s">
        <v>39</v>
      </c>
      <c r="R429" t="s">
        <v>17</v>
      </c>
      <c r="S429" t="s">
        <v>230</v>
      </c>
      <c r="T429" t="s">
        <v>893</v>
      </c>
      <c r="U429" s="14">
        <f t="shared" si="71"/>
        <v>6115.48</v>
      </c>
      <c r="V429" s="14">
        <f t="shared" si="72"/>
        <v>2800</v>
      </c>
      <c r="W429" s="10">
        <f>VLOOKUP(Q429,Taxrate!A:B,2,FALSE)</f>
        <v>0.15</v>
      </c>
      <c r="X429" s="14">
        <f t="shared" si="73"/>
        <v>917.32199999999989</v>
      </c>
      <c r="Y429" s="10">
        <f>VLOOKUP(L429,'Discount Rate'!A:B,2,FALSE)</f>
        <v>0.08</v>
      </c>
      <c r="Z429" s="14">
        <f t="shared" si="74"/>
        <v>489.23839999999996</v>
      </c>
      <c r="AA429" s="14">
        <f t="shared" si="75"/>
        <v>4708.9195999999993</v>
      </c>
      <c r="AB429" s="14">
        <f t="shared" si="76"/>
        <v>1908.9195999999993</v>
      </c>
    </row>
    <row r="430" spans="1:28" x14ac:dyDescent="0.25">
      <c r="A430" t="s">
        <v>864</v>
      </c>
      <c r="B430" t="s">
        <v>865</v>
      </c>
      <c r="C430" t="s">
        <v>126</v>
      </c>
      <c r="D430" t="s">
        <v>22</v>
      </c>
      <c r="E430" s="1">
        <v>45948</v>
      </c>
      <c r="F430" s="8">
        <f t="shared" si="66"/>
        <v>2025</v>
      </c>
      <c r="G430" s="1" t="str">
        <f t="shared" si="67"/>
        <v>October</v>
      </c>
      <c r="H430" s="1" t="str">
        <f t="shared" si="68"/>
        <v>Saturday</v>
      </c>
      <c r="I430" s="2">
        <v>0.43107638888888888</v>
      </c>
      <c r="J430" s="8">
        <f t="shared" si="69"/>
        <v>10</v>
      </c>
      <c r="K430" s="8">
        <f t="shared" si="70"/>
        <v>20</v>
      </c>
      <c r="L430" t="s">
        <v>30</v>
      </c>
      <c r="M430" t="s">
        <v>31</v>
      </c>
      <c r="N430">
        <v>8</v>
      </c>
      <c r="O430" s="14">
        <v>418.96</v>
      </c>
      <c r="P430">
        <f>VLOOKUP(L430,'Product-cost'!A:B,2,FALSE)</f>
        <v>200</v>
      </c>
      <c r="Q430" t="s">
        <v>25</v>
      </c>
      <c r="R430" t="s">
        <v>52</v>
      </c>
      <c r="S430" t="s">
        <v>152</v>
      </c>
      <c r="T430" t="s">
        <v>893</v>
      </c>
      <c r="U430" s="14">
        <f t="shared" si="71"/>
        <v>3351.68</v>
      </c>
      <c r="V430" s="14">
        <f t="shared" si="72"/>
        <v>1600</v>
      </c>
      <c r="W430" s="10">
        <f>VLOOKUP(Q430,Taxrate!A:B,2,FALSE)</f>
        <v>0.1</v>
      </c>
      <c r="X430" s="14">
        <f t="shared" si="73"/>
        <v>335.16800000000001</v>
      </c>
      <c r="Y430" s="10">
        <f>VLOOKUP(L430,'Discount Rate'!A:B,2,FALSE)</f>
        <v>0.08</v>
      </c>
      <c r="Z430" s="14">
        <f t="shared" si="74"/>
        <v>268.13439999999997</v>
      </c>
      <c r="AA430" s="14">
        <f t="shared" si="75"/>
        <v>2748.3775999999998</v>
      </c>
      <c r="AB430" s="14">
        <f t="shared" si="76"/>
        <v>1148.3775999999998</v>
      </c>
    </row>
    <row r="431" spans="1:28" x14ac:dyDescent="0.25">
      <c r="A431" t="s">
        <v>866</v>
      </c>
      <c r="B431" t="s">
        <v>777</v>
      </c>
      <c r="C431" t="s">
        <v>155</v>
      </c>
      <c r="D431" t="s">
        <v>156</v>
      </c>
      <c r="E431" s="1">
        <v>45553</v>
      </c>
      <c r="F431" s="8">
        <f t="shared" si="66"/>
        <v>2024</v>
      </c>
      <c r="G431" s="1" t="str">
        <f t="shared" si="67"/>
        <v>September</v>
      </c>
      <c r="H431" s="1" t="str">
        <f t="shared" si="68"/>
        <v>Wednesday</v>
      </c>
      <c r="I431" s="2">
        <v>0.60844907407407411</v>
      </c>
      <c r="J431" s="8">
        <f t="shared" si="69"/>
        <v>14</v>
      </c>
      <c r="K431" s="8">
        <f t="shared" si="70"/>
        <v>36</v>
      </c>
      <c r="L431" t="s">
        <v>30</v>
      </c>
      <c r="M431" t="s">
        <v>31</v>
      </c>
      <c r="N431">
        <v>2</v>
      </c>
      <c r="O431" s="14">
        <v>336.81</v>
      </c>
      <c r="P431">
        <f>VLOOKUP(L431,'Product-cost'!A:B,2,FALSE)</f>
        <v>200</v>
      </c>
      <c r="Q431" t="s">
        <v>39</v>
      </c>
      <c r="R431" t="s">
        <v>252</v>
      </c>
      <c r="S431" t="s">
        <v>158</v>
      </c>
      <c r="T431" t="s">
        <v>893</v>
      </c>
      <c r="U431" s="14">
        <f t="shared" si="71"/>
        <v>673.62</v>
      </c>
      <c r="V431" s="14">
        <f t="shared" si="72"/>
        <v>400</v>
      </c>
      <c r="W431" s="10">
        <f>VLOOKUP(Q431,Taxrate!A:B,2,FALSE)</f>
        <v>0.15</v>
      </c>
      <c r="X431" s="14">
        <f t="shared" si="73"/>
        <v>101.04299999999999</v>
      </c>
      <c r="Y431" s="10">
        <f>VLOOKUP(L431,'Discount Rate'!A:B,2,FALSE)</f>
        <v>0.08</v>
      </c>
      <c r="Z431" s="14">
        <f t="shared" si="74"/>
        <v>53.889600000000002</v>
      </c>
      <c r="AA431" s="14">
        <f t="shared" si="75"/>
        <v>518.68740000000003</v>
      </c>
      <c r="AB431" s="14">
        <f t="shared" si="76"/>
        <v>118.68740000000003</v>
      </c>
    </row>
    <row r="432" spans="1:28" x14ac:dyDescent="0.25">
      <c r="A432" t="s">
        <v>867</v>
      </c>
      <c r="B432" t="s">
        <v>868</v>
      </c>
      <c r="C432" t="s">
        <v>37</v>
      </c>
      <c r="D432" t="s">
        <v>38</v>
      </c>
      <c r="E432" s="1">
        <v>45606</v>
      </c>
      <c r="F432" s="8">
        <f t="shared" si="66"/>
        <v>2024</v>
      </c>
      <c r="G432" s="1" t="str">
        <f t="shared" si="67"/>
        <v>November</v>
      </c>
      <c r="H432" s="1" t="str">
        <f t="shared" si="68"/>
        <v>Sunday</v>
      </c>
      <c r="I432" s="2">
        <v>0.58415509259259257</v>
      </c>
      <c r="J432" s="8">
        <f t="shared" si="69"/>
        <v>14</v>
      </c>
      <c r="K432" s="8">
        <f t="shared" si="70"/>
        <v>1</v>
      </c>
      <c r="L432" t="s">
        <v>73</v>
      </c>
      <c r="M432" t="s">
        <v>74</v>
      </c>
      <c r="N432">
        <v>11</v>
      </c>
      <c r="O432" s="14">
        <v>500</v>
      </c>
      <c r="P432">
        <f>VLOOKUP(L432,'Product-cost'!A:B,2,FALSE)</f>
        <v>50</v>
      </c>
      <c r="Q432" t="s">
        <v>51</v>
      </c>
      <c r="R432" t="s">
        <v>40</v>
      </c>
      <c r="S432" t="s">
        <v>230</v>
      </c>
      <c r="T432" t="s">
        <v>893</v>
      </c>
      <c r="U432" s="14">
        <f t="shared" si="71"/>
        <v>5500</v>
      </c>
      <c r="V432" s="14">
        <f t="shared" si="72"/>
        <v>550</v>
      </c>
      <c r="W432" s="10">
        <f>VLOOKUP(Q432,Taxrate!A:B,2,FALSE)</f>
        <v>7.0000000000000007E-2</v>
      </c>
      <c r="X432" s="14">
        <f t="shared" si="73"/>
        <v>385.00000000000006</v>
      </c>
      <c r="Y432" s="10">
        <f>VLOOKUP(L432,'Discount Rate'!A:B,2,FALSE)</f>
        <v>0.03</v>
      </c>
      <c r="Z432" s="14">
        <f t="shared" si="74"/>
        <v>165</v>
      </c>
      <c r="AA432" s="14">
        <f t="shared" si="75"/>
        <v>4950</v>
      </c>
      <c r="AB432" s="14">
        <f t="shared" si="76"/>
        <v>4400</v>
      </c>
    </row>
    <row r="433" spans="1:28" x14ac:dyDescent="0.25">
      <c r="A433" t="s">
        <v>869</v>
      </c>
      <c r="B433" t="s">
        <v>556</v>
      </c>
      <c r="C433" t="s">
        <v>37</v>
      </c>
      <c r="D433" t="s">
        <v>38</v>
      </c>
      <c r="E433" s="1">
        <v>46045</v>
      </c>
      <c r="F433" s="8">
        <f t="shared" si="66"/>
        <v>2026</v>
      </c>
      <c r="G433" s="1" t="str">
        <f t="shared" si="67"/>
        <v>January</v>
      </c>
      <c r="H433" s="1" t="str">
        <f t="shared" si="68"/>
        <v>Friday</v>
      </c>
      <c r="I433" s="2">
        <v>0.55049768518518516</v>
      </c>
      <c r="J433" s="8">
        <f t="shared" si="69"/>
        <v>13</v>
      </c>
      <c r="K433" s="8">
        <f t="shared" si="70"/>
        <v>12</v>
      </c>
      <c r="L433" t="s">
        <v>30</v>
      </c>
      <c r="M433" t="s">
        <v>31</v>
      </c>
      <c r="N433">
        <v>12</v>
      </c>
      <c r="O433" s="14">
        <v>456.71</v>
      </c>
      <c r="P433">
        <f>VLOOKUP(L433,'Product-cost'!A:B,2,FALSE)</f>
        <v>200</v>
      </c>
      <c r="Q433" t="s">
        <v>25</v>
      </c>
      <c r="R433" t="s">
        <v>84</v>
      </c>
      <c r="T433" t="s">
        <v>895</v>
      </c>
      <c r="U433" s="14">
        <f t="shared" si="71"/>
        <v>5480.5199999999995</v>
      </c>
      <c r="V433" s="14">
        <f t="shared" si="72"/>
        <v>2400</v>
      </c>
      <c r="W433" s="10">
        <f>VLOOKUP(Q433,Taxrate!A:B,2,FALSE)</f>
        <v>0.1</v>
      </c>
      <c r="X433" s="14">
        <f t="shared" si="73"/>
        <v>548.05200000000002</v>
      </c>
      <c r="Y433" s="10">
        <f>VLOOKUP(L433,'Discount Rate'!A:B,2,FALSE)</f>
        <v>0.08</v>
      </c>
      <c r="Z433" s="14">
        <f t="shared" si="74"/>
        <v>438.44159999999999</v>
      </c>
      <c r="AA433" s="14">
        <f t="shared" si="75"/>
        <v>4494.0263999999997</v>
      </c>
      <c r="AB433" s="14">
        <f t="shared" si="76"/>
        <v>2094.0263999999997</v>
      </c>
    </row>
    <row r="434" spans="1:28" x14ac:dyDescent="0.25">
      <c r="A434" t="s">
        <v>870</v>
      </c>
      <c r="B434" t="s">
        <v>871</v>
      </c>
      <c r="C434" t="s">
        <v>155</v>
      </c>
      <c r="D434" t="s">
        <v>156</v>
      </c>
      <c r="E434" s="1">
        <v>46057</v>
      </c>
      <c r="F434" s="8">
        <f t="shared" si="66"/>
        <v>2026</v>
      </c>
      <c r="G434" s="1" t="str">
        <f t="shared" si="67"/>
        <v>February</v>
      </c>
      <c r="H434" s="1" t="str">
        <f t="shared" si="68"/>
        <v>Wednesday</v>
      </c>
      <c r="I434" s="2">
        <v>0.65384259259259259</v>
      </c>
      <c r="J434" s="8">
        <f t="shared" si="69"/>
        <v>15</v>
      </c>
      <c r="K434" s="8">
        <f t="shared" si="70"/>
        <v>41</v>
      </c>
      <c r="L434" t="s">
        <v>23</v>
      </c>
      <c r="M434" t="s">
        <v>24</v>
      </c>
      <c r="N434">
        <v>4</v>
      </c>
      <c r="O434" s="14">
        <v>704.74</v>
      </c>
      <c r="P434">
        <f>VLOOKUP(L434,'Product-cost'!A:B,2,FALSE)</f>
        <v>300</v>
      </c>
      <c r="Q434" t="s">
        <v>39</v>
      </c>
      <c r="R434" t="s">
        <v>157</v>
      </c>
      <c r="S434" t="s">
        <v>88</v>
      </c>
      <c r="T434" t="s">
        <v>893</v>
      </c>
      <c r="U434" s="14">
        <f t="shared" si="71"/>
        <v>2818.96</v>
      </c>
      <c r="V434" s="14">
        <f t="shared" si="72"/>
        <v>1200</v>
      </c>
      <c r="W434" s="10">
        <f>VLOOKUP(Q434,Taxrate!A:B,2,FALSE)</f>
        <v>0.15</v>
      </c>
      <c r="X434" s="14">
        <f t="shared" si="73"/>
        <v>422.84399999999999</v>
      </c>
      <c r="Y434" s="10">
        <f>VLOOKUP(L434,'Discount Rate'!A:B,2,FALSE)</f>
        <v>0.1</v>
      </c>
      <c r="Z434" s="14">
        <f t="shared" si="74"/>
        <v>281.89600000000002</v>
      </c>
      <c r="AA434" s="14">
        <f t="shared" si="75"/>
        <v>2114.2199999999998</v>
      </c>
      <c r="AB434" s="14">
        <f t="shared" si="76"/>
        <v>914.2199999999998</v>
      </c>
    </row>
    <row r="435" spans="1:28" x14ac:dyDescent="0.25">
      <c r="A435" t="s">
        <v>872</v>
      </c>
      <c r="B435" t="s">
        <v>873</v>
      </c>
      <c r="C435" t="s">
        <v>178</v>
      </c>
      <c r="D435" t="s">
        <v>59</v>
      </c>
      <c r="E435" s="1">
        <v>46356</v>
      </c>
      <c r="F435" s="8">
        <f t="shared" si="66"/>
        <v>2026</v>
      </c>
      <c r="G435" s="1" t="str">
        <f t="shared" si="67"/>
        <v>November</v>
      </c>
      <c r="H435" s="1" t="str">
        <f t="shared" si="68"/>
        <v>Monday</v>
      </c>
      <c r="I435" s="2">
        <v>0.47810185185185183</v>
      </c>
      <c r="J435" s="8">
        <f t="shared" si="69"/>
        <v>11</v>
      </c>
      <c r="K435" s="8">
        <f t="shared" si="70"/>
        <v>28</v>
      </c>
      <c r="L435" t="s">
        <v>46</v>
      </c>
      <c r="M435" t="s">
        <v>47</v>
      </c>
      <c r="N435">
        <v>7</v>
      </c>
      <c r="O435" s="14">
        <v>500</v>
      </c>
      <c r="P435">
        <f>VLOOKUP(L435,'Product-cost'!A:B,2,FALSE)</f>
        <v>150</v>
      </c>
      <c r="Q435" t="s">
        <v>55</v>
      </c>
      <c r="R435" s="9" t="s">
        <v>892</v>
      </c>
      <c r="T435" t="s">
        <v>895</v>
      </c>
      <c r="U435" s="14">
        <f t="shared" si="71"/>
        <v>3500</v>
      </c>
      <c r="V435" s="14">
        <f t="shared" si="72"/>
        <v>1050</v>
      </c>
      <c r="W435" s="10">
        <f>VLOOKUP(Q435,Taxrate!A:B,2,FALSE)</f>
        <v>0.12</v>
      </c>
      <c r="X435" s="14">
        <f t="shared" si="73"/>
        <v>420</v>
      </c>
      <c r="Y435" s="10">
        <f>VLOOKUP(L435,'Discount Rate'!A:B,2,FALSE)</f>
        <v>7.0000000000000007E-2</v>
      </c>
      <c r="Z435" s="14">
        <f t="shared" si="74"/>
        <v>245.00000000000003</v>
      </c>
      <c r="AA435" s="14">
        <f t="shared" si="75"/>
        <v>2835</v>
      </c>
      <c r="AB435" s="14">
        <f t="shared" si="76"/>
        <v>1785</v>
      </c>
    </row>
  </sheetData>
  <autoFilter ref="A1:AB435"/>
  <hyperlinks>
    <hyperlink ref="R435" r:id="rId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Y97"/>
  <sheetViews>
    <sheetView showGridLines="0" tabSelected="1" zoomScale="24" zoomScaleNormal="24" workbookViewId="0">
      <selection activeCell="V23" sqref="V23"/>
    </sheetView>
  </sheetViews>
  <sheetFormatPr defaultRowHeight="46.5" x14ac:dyDescent="0.25"/>
  <cols>
    <col min="1" max="1" width="69.42578125" style="17" customWidth="1"/>
    <col min="2" max="6" width="63" style="20" customWidth="1"/>
    <col min="7" max="7" width="28.140625" style="17" customWidth="1"/>
    <col min="8" max="16384" width="9.140625" style="17"/>
  </cols>
  <sheetData>
    <row r="1" spans="2:13" ht="92.25" x14ac:dyDescent="0.25">
      <c r="B1" s="22"/>
      <c r="D1" s="21" t="s">
        <v>910</v>
      </c>
    </row>
    <row r="2" spans="2:13" ht="76.5" customHeight="1" x14ac:dyDescent="0.25">
      <c r="B2" s="20" t="s">
        <v>905</v>
      </c>
      <c r="C2" s="20" t="s">
        <v>906</v>
      </c>
      <c r="D2" s="20" t="s">
        <v>907</v>
      </c>
      <c r="E2" s="20" t="s">
        <v>908</v>
      </c>
      <c r="F2" s="20" t="s">
        <v>909</v>
      </c>
    </row>
    <row r="3" spans="2:13" s="18" customFormat="1" ht="39.75" customHeight="1" x14ac:dyDescent="0.35">
      <c r="B3" s="20">
        <v>1331871.611</v>
      </c>
      <c r="C3" s="20">
        <v>867350</v>
      </c>
      <c r="D3" s="20">
        <v>215288.03140000001</v>
      </c>
      <c r="E3" s="20">
        <v>435</v>
      </c>
      <c r="F3" s="20">
        <v>9</v>
      </c>
    </row>
    <row r="4" spans="2:13" s="19" customFormat="1" x14ac:dyDescent="0.35">
      <c r="B4" s="20"/>
      <c r="C4" s="20"/>
      <c r="D4" s="20"/>
      <c r="E4" s="20"/>
      <c r="F4" s="20"/>
    </row>
    <row r="5" spans="2:13" s="19" customFormat="1" x14ac:dyDescent="0.35">
      <c r="B5" s="20"/>
      <c r="C5" s="20"/>
      <c r="D5" s="20"/>
      <c r="E5" s="20"/>
      <c r="F5" s="20"/>
    </row>
    <row r="15" spans="2:13" x14ac:dyDescent="0.25">
      <c r="F15" s="20" t="s">
        <v>904</v>
      </c>
      <c r="M15" s="17" t="s">
        <v>904</v>
      </c>
    </row>
    <row r="97" spans="25:25" x14ac:dyDescent="0.25">
      <c r="Y97" s="17" t="s">
        <v>904</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activeCell="E21" sqref="E21"/>
    </sheetView>
  </sheetViews>
  <sheetFormatPr defaultRowHeight="15" x14ac:dyDescent="0.25"/>
  <cols>
    <col min="1" max="1" width="19.140625" customWidth="1"/>
  </cols>
  <sheetData>
    <row r="1" spans="1:2" ht="15" customHeight="1" x14ac:dyDescent="0.25">
      <c r="A1" s="4" t="s">
        <v>6</v>
      </c>
      <c r="B1" s="6" t="s">
        <v>877</v>
      </c>
    </row>
    <row r="2" spans="1:2" ht="15" customHeight="1" x14ac:dyDescent="0.25">
      <c r="A2" s="3" t="s">
        <v>15</v>
      </c>
      <c r="B2" s="5">
        <v>600</v>
      </c>
    </row>
    <row r="3" spans="1:2" ht="15" customHeight="1" x14ac:dyDescent="0.25">
      <c r="A3" s="3" t="s">
        <v>23</v>
      </c>
      <c r="B3" s="5">
        <v>300</v>
      </c>
    </row>
    <row r="4" spans="1:2" ht="15" customHeight="1" x14ac:dyDescent="0.25">
      <c r="A4" s="3" t="s">
        <v>30</v>
      </c>
      <c r="B4" s="5">
        <v>200</v>
      </c>
    </row>
    <row r="5" spans="1:2" ht="15" customHeight="1" x14ac:dyDescent="0.25">
      <c r="A5" s="3" t="s">
        <v>73</v>
      </c>
      <c r="B5" s="5">
        <v>50</v>
      </c>
    </row>
    <row r="6" spans="1:2" ht="15" customHeight="1" x14ac:dyDescent="0.25">
      <c r="A6" s="3" t="s">
        <v>46</v>
      </c>
      <c r="B6" s="5">
        <v>150</v>
      </c>
    </row>
    <row r="7" spans="1:2" ht="15" customHeight="1"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sqref="A1:B1048576"/>
    </sheetView>
  </sheetViews>
  <sheetFormatPr defaultRowHeight="15" x14ac:dyDescent="0.25"/>
  <cols>
    <col min="1" max="1" width="16" customWidth="1"/>
  </cols>
  <sheetData>
    <row r="1" spans="1:2" ht="14.25" customHeight="1" x14ac:dyDescent="0.25">
      <c r="A1" s="4" t="s">
        <v>874</v>
      </c>
      <c r="B1" s="6" t="s">
        <v>875</v>
      </c>
    </row>
    <row r="2" spans="1:2" ht="14.25" customHeight="1" x14ac:dyDescent="0.25">
      <c r="A2" s="3" t="s">
        <v>51</v>
      </c>
      <c r="B2" s="5">
        <v>7.0000000000000007E-2</v>
      </c>
    </row>
    <row r="3" spans="1:2" ht="14.25" customHeight="1" x14ac:dyDescent="0.25">
      <c r="A3" s="3" t="s">
        <v>32</v>
      </c>
      <c r="B3" s="5">
        <v>0.2</v>
      </c>
    </row>
    <row r="4" spans="1:2" ht="14.25" customHeight="1" x14ac:dyDescent="0.25">
      <c r="A4" s="3" t="s">
        <v>25</v>
      </c>
      <c r="B4" s="5">
        <v>0.1</v>
      </c>
    </row>
    <row r="5" spans="1:2" ht="14.25" customHeight="1" x14ac:dyDescent="0.25">
      <c r="A5" s="3" t="s">
        <v>39</v>
      </c>
      <c r="B5" s="5">
        <v>0.15</v>
      </c>
    </row>
    <row r="6" spans="1:2" ht="14.25" customHeight="1" x14ac:dyDescent="0.25">
      <c r="A6" s="3" t="s">
        <v>55</v>
      </c>
      <c r="B6" s="5">
        <v>0.12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sqref="A1:B1048576"/>
    </sheetView>
  </sheetViews>
  <sheetFormatPr defaultRowHeight="15" x14ac:dyDescent="0.25"/>
  <cols>
    <col min="1" max="1" width="19.42578125" customWidth="1"/>
    <col min="2" max="2" width="15.140625" customWidth="1"/>
  </cols>
  <sheetData>
    <row r="1" spans="1:2" ht="17.25" customHeight="1" x14ac:dyDescent="0.25">
      <c r="A1" s="4" t="s">
        <v>6</v>
      </c>
      <c r="B1" s="6" t="s">
        <v>876</v>
      </c>
    </row>
    <row r="2" spans="1:2" ht="17.25" customHeight="1" x14ac:dyDescent="0.25">
      <c r="A2" s="3" t="s">
        <v>15</v>
      </c>
      <c r="B2" s="5">
        <v>0.05</v>
      </c>
    </row>
    <row r="3" spans="1:2" ht="17.25" customHeight="1" x14ac:dyDescent="0.25">
      <c r="A3" s="3" t="s">
        <v>23</v>
      </c>
      <c r="B3" s="5">
        <v>0.1</v>
      </c>
    </row>
    <row r="4" spans="1:2" ht="17.25" customHeight="1" x14ac:dyDescent="0.25">
      <c r="A4" s="3" t="s">
        <v>30</v>
      </c>
      <c r="B4" s="5">
        <v>0.08</v>
      </c>
    </row>
    <row r="5" spans="1:2" ht="17.25" customHeight="1" x14ac:dyDescent="0.25">
      <c r="A5" s="3" t="s">
        <v>73</v>
      </c>
      <c r="B5" s="5">
        <v>0.03</v>
      </c>
    </row>
    <row r="6" spans="1:2" ht="17.25" customHeight="1" x14ac:dyDescent="0.25">
      <c r="A6" s="3" t="s">
        <v>46</v>
      </c>
      <c r="B6" s="5">
        <v>7.0000000000000007E-2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table</vt:lpstr>
      <vt:lpstr>Sales Dataset</vt:lpstr>
      <vt:lpstr>dashboard</vt:lpstr>
      <vt:lpstr>Product-cost</vt:lpstr>
      <vt:lpstr>Taxrate</vt:lpstr>
      <vt:lpstr>Discount Rate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abisola awoyemi</dc:creator>
  <cp:lastModifiedBy>USER</cp:lastModifiedBy>
  <dcterms:created xsi:type="dcterms:W3CDTF">2026-02-13T07:48:33Z</dcterms:created>
  <dcterms:modified xsi:type="dcterms:W3CDTF">2026-03-06T02:54:42Z</dcterms:modified>
</cp:coreProperties>
</file>